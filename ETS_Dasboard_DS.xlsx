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1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peernayakgarib.INFICS\Desktop\Power BI\"/>
    </mc:Choice>
  </mc:AlternateContent>
  <xr:revisionPtr revIDLastSave="1471" documentId="13_ncr:1_{9B81B782-3569-45C2-8AF8-7062C78D4C06}" xr6:coauthVersionLast="47" xr6:coauthVersionMax="47" xr10:uidLastSave="{B1F0711A-79D9-4379-BC88-0BC4D7BDE535}"/>
  <bookViews>
    <workbookView xWindow="820" yWindow="-110" windowWidth="18490" windowHeight="11020" tabRatio="766" firstSheet="4" activeTab="4" xr2:uid="{E71653A0-886F-421F-8F40-9440FA8835B8}"/>
  </bookViews>
  <sheets>
    <sheet name="HOME" sheetId="32" r:id="rId1"/>
    <sheet name="SETTINGS" sheetId="18" r:id="rId2"/>
    <sheet name="EMPLOYEES" sheetId="19" r:id="rId3"/>
    <sheet name="SKILL" sheetId="34" r:id="rId4"/>
    <sheet name="Finance_History" sheetId="35" r:id="rId5"/>
    <sheet name="APPRAISAL_PROMOTION" sheetId="33" r:id="rId6"/>
    <sheet name="LEAVE" sheetId="28" r:id="rId7"/>
  </sheets>
  <definedNames>
    <definedName name="CNT_EMPLOYEES">COUNTA(T_EMPLOYEES[EMPLOYEE FIRST NAME])</definedName>
    <definedName name="L_DEPARTMENT">T_DEPARTMENT[DEPARTMENT]</definedName>
    <definedName name="L_EMPLABELS">OFFSET(T_EMPLOYEES[[#Headers],[EMPLOYEE LABEL]],1,0,CNT_EMPLOYEES)</definedName>
    <definedName name="L_ETHNICITY">T_ETHNICITY[ETHNICITY]</definedName>
    <definedName name="L_EXITREASON">#REF!</definedName>
    <definedName name="L_EXITTYPE">#REF!</definedName>
    <definedName name="L_GENDER">T_GENDER[GENDER]</definedName>
    <definedName name="L_HIRESOURCE">T_HIRESOURCE[HIRE SOURCE]</definedName>
    <definedName name="L_JOBCATEGORY">T_JOBCATEGORY[JOB CATEGORY]</definedName>
    <definedName name="L_JOBLEVEL">T_JOBLEVEL[JOB LEVEL]</definedName>
    <definedName name="L_JOBTITLE">T_JOBTITLE[JOB TITLE]</definedName>
    <definedName name="L_JOBTYPE">T_JOBTYPE[JOB TYPE]</definedName>
    <definedName name="L_LEAVETYPES">T_LEAVE_TYPES[LEAVE TYPE]</definedName>
    <definedName name="L_LOCATION">T_LOCATION[LOCATION]</definedName>
    <definedName name="L_RECORDREASON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35" l="1"/>
  <c r="J56" i="35"/>
  <c r="I55" i="35"/>
  <c r="J55" i="35"/>
  <c r="K56" i="35" s="1"/>
  <c r="I54" i="35"/>
  <c r="J54" i="35"/>
  <c r="K55" i="35" s="1"/>
  <c r="I53" i="35"/>
  <c r="J53" i="35"/>
  <c r="K54" i="35" s="1"/>
  <c r="I52" i="35"/>
  <c r="J52" i="35"/>
  <c r="K53" i="35" s="1"/>
  <c r="I51" i="35"/>
  <c r="J51" i="35"/>
  <c r="K52" i="35" s="1"/>
  <c r="I50" i="35"/>
  <c r="J50" i="35"/>
  <c r="K51" i="35" s="1"/>
  <c r="I49" i="35"/>
  <c r="J49" i="35"/>
  <c r="K50" i="35" s="1"/>
  <c r="I48" i="35"/>
  <c r="J48" i="35"/>
  <c r="K49" i="35" s="1"/>
  <c r="I47" i="35"/>
  <c r="J47" i="35"/>
  <c r="K48" i="35" s="1"/>
  <c r="I46" i="35"/>
  <c r="J46" i="35"/>
  <c r="K47" i="35" s="1"/>
  <c r="I45" i="35"/>
  <c r="J45" i="35"/>
  <c r="K46" i="35" s="1"/>
  <c r="I44" i="35"/>
  <c r="J44" i="35"/>
  <c r="K45" i="35" s="1"/>
  <c r="I43" i="35"/>
  <c r="J43" i="35"/>
  <c r="K44" i="35" s="1"/>
  <c r="I42" i="35"/>
  <c r="J42" i="35"/>
  <c r="K43" i="35" s="1"/>
  <c r="I41" i="35"/>
  <c r="J41" i="35"/>
  <c r="K42" i="35" s="1"/>
  <c r="I40" i="35"/>
  <c r="J40" i="35"/>
  <c r="K41" i="35" s="1"/>
  <c r="I39" i="35"/>
  <c r="J39" i="35"/>
  <c r="K40" i="35" s="1"/>
  <c r="I38" i="35"/>
  <c r="J38" i="35"/>
  <c r="K39" i="35" s="1"/>
  <c r="I35" i="35"/>
  <c r="I36" i="35"/>
  <c r="I37" i="35"/>
  <c r="J35" i="35"/>
  <c r="J36" i="35"/>
  <c r="J37" i="35"/>
  <c r="K38" i="35" s="1"/>
  <c r="K36" i="35"/>
  <c r="K37" i="35"/>
  <c r="I32" i="35"/>
  <c r="I33" i="35"/>
  <c r="I34" i="35"/>
  <c r="J32" i="35"/>
  <c r="J33" i="35"/>
  <c r="J34" i="35"/>
  <c r="K35" i="35" s="1"/>
  <c r="K33" i="35"/>
  <c r="K34" i="35"/>
  <c r="I30" i="35"/>
  <c r="I31" i="35"/>
  <c r="J30" i="35"/>
  <c r="J31" i="35"/>
  <c r="K32" i="35" s="1"/>
  <c r="K31" i="35"/>
  <c r="I29" i="35"/>
  <c r="J29" i="35"/>
  <c r="K30" i="35" s="1"/>
  <c r="I27" i="35"/>
  <c r="X8" i="19"/>
  <c r="K2" i="35"/>
  <c r="I2" i="35"/>
  <c r="I3" i="35"/>
  <c r="I4" i="35"/>
  <c r="I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8" i="35"/>
  <c r="T8" i="19"/>
  <c r="J10" i="35"/>
  <c r="K11" i="35" s="1"/>
  <c r="J28" i="35"/>
  <c r="K29" i="35" s="1"/>
  <c r="J16" i="35"/>
  <c r="K17" i="35" s="1"/>
  <c r="J7" i="35"/>
  <c r="K8" i="35" s="1"/>
  <c r="J13" i="35"/>
  <c r="K14" i="35" s="1"/>
  <c r="J25" i="35"/>
  <c r="K26" i="35" s="1"/>
  <c r="J19" i="35"/>
  <c r="K20" i="35" s="1"/>
  <c r="J4" i="35"/>
  <c r="K5" i="35" s="1"/>
  <c r="J22" i="35"/>
  <c r="K23" i="35" s="1"/>
  <c r="J9" i="35"/>
  <c r="K10" i="35" s="1"/>
  <c r="J27" i="35"/>
  <c r="K28" i="35" s="1"/>
  <c r="J15" i="35"/>
  <c r="K16" i="35" s="1"/>
  <c r="J6" i="35"/>
  <c r="K7" i="35" s="1"/>
  <c r="J12" i="35"/>
  <c r="K13" i="35" s="1"/>
  <c r="J24" i="35"/>
  <c r="K25" i="35" s="1"/>
  <c r="J18" i="35"/>
  <c r="K19" i="35" s="1"/>
  <c r="J3" i="35"/>
  <c r="K4" i="35" s="1"/>
  <c r="J21" i="35"/>
  <c r="K22" i="35" s="1"/>
  <c r="J8" i="35"/>
  <c r="K9" i="35" s="1"/>
  <c r="J26" i="35"/>
  <c r="K27" i="35" s="1"/>
  <c r="J14" i="35"/>
  <c r="K15" i="35" s="1"/>
  <c r="J5" i="35"/>
  <c r="K6" i="35" s="1"/>
  <c r="J11" i="35"/>
  <c r="K12" i="35" s="1"/>
  <c r="J23" i="35"/>
  <c r="K24" i="35" s="1"/>
  <c r="J17" i="35"/>
  <c r="K18" i="35" s="1"/>
  <c r="J2" i="35"/>
  <c r="K3" i="35" s="1"/>
  <c r="J20" i="35"/>
  <c r="K21" i="35" s="1"/>
  <c r="T9" i="19"/>
  <c r="AA4" i="19"/>
  <c r="T4" i="19"/>
  <c r="T5" i="19"/>
  <c r="T6" i="19"/>
  <c r="T7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T88" i="19"/>
  <c r="T89" i="19"/>
  <c r="T90" i="19"/>
  <c r="T91" i="19"/>
  <c r="T92" i="19"/>
  <c r="T93" i="19"/>
  <c r="T94" i="19"/>
  <c r="T95" i="19"/>
  <c r="T96" i="19"/>
  <c r="T97" i="19"/>
  <c r="T98" i="19"/>
  <c r="T99" i="19"/>
  <c r="T100" i="19"/>
  <c r="T101" i="19"/>
  <c r="T102" i="19"/>
  <c r="T103" i="19"/>
  <c r="T104" i="19"/>
  <c r="T105" i="19"/>
  <c r="T106" i="19"/>
  <c r="T107" i="19"/>
  <c r="T108" i="19"/>
  <c r="T109" i="19"/>
  <c r="T110" i="19"/>
  <c r="T111" i="19"/>
  <c r="T112" i="19"/>
  <c r="T113" i="19"/>
  <c r="T114" i="19"/>
  <c r="T115" i="19"/>
  <c r="T116" i="19"/>
  <c r="T117" i="19"/>
  <c r="T118" i="19"/>
  <c r="T119" i="19"/>
  <c r="T120" i="19"/>
  <c r="T121" i="19"/>
  <c r="T122" i="19"/>
  <c r="T123" i="19"/>
  <c r="T124" i="19"/>
  <c r="T125" i="19"/>
  <c r="T126" i="19"/>
  <c r="T127" i="19"/>
  <c r="T128" i="19"/>
  <c r="T129" i="19"/>
  <c r="T130" i="19"/>
  <c r="T131" i="19"/>
  <c r="T132" i="19"/>
  <c r="T133" i="19"/>
  <c r="T134" i="19"/>
  <c r="T135" i="19"/>
  <c r="T136" i="19"/>
  <c r="T137" i="19"/>
  <c r="T138" i="19"/>
  <c r="T139" i="19"/>
  <c r="T140" i="19"/>
  <c r="T141" i="19"/>
  <c r="T142" i="19"/>
  <c r="T143" i="19"/>
  <c r="T144" i="19"/>
  <c r="T145" i="19"/>
  <c r="T146" i="19"/>
  <c r="T147" i="19"/>
  <c r="T148" i="19"/>
  <c r="T149" i="19"/>
  <c r="T150" i="19"/>
  <c r="T151" i="19"/>
  <c r="T152" i="19"/>
  <c r="T153" i="19"/>
  <c r="T154" i="19"/>
  <c r="T155" i="19"/>
  <c r="T156" i="19"/>
  <c r="T157" i="19"/>
  <c r="T158" i="19"/>
  <c r="T159" i="19"/>
  <c r="T160" i="19"/>
  <c r="T161" i="19"/>
  <c r="T162" i="19"/>
  <c r="T163" i="19"/>
  <c r="T164" i="19"/>
  <c r="T165" i="19"/>
  <c r="T166" i="19"/>
  <c r="T167" i="19"/>
  <c r="T168" i="19"/>
  <c r="T169" i="19"/>
  <c r="T170" i="19"/>
  <c r="T171" i="19"/>
  <c r="T172" i="19"/>
  <c r="T173" i="19"/>
  <c r="T174" i="19"/>
  <c r="T175" i="19"/>
  <c r="T176" i="19"/>
  <c r="T177" i="19"/>
  <c r="T178" i="19"/>
  <c r="T179" i="19"/>
  <c r="T180" i="19"/>
  <c r="T181" i="19"/>
  <c r="T182" i="19"/>
  <c r="T183" i="19"/>
  <c r="T184" i="19"/>
  <c r="T185" i="19"/>
  <c r="T186" i="19"/>
  <c r="T187" i="19"/>
  <c r="T188" i="19"/>
  <c r="T189" i="19"/>
  <c r="T190" i="19"/>
  <c r="T191" i="19"/>
  <c r="T192" i="19"/>
  <c r="T193" i="19"/>
  <c r="T194" i="19"/>
  <c r="T195" i="19"/>
  <c r="T196" i="19"/>
  <c r="T197" i="19"/>
  <c r="T198" i="19"/>
  <c r="T199" i="19"/>
  <c r="T200" i="19"/>
  <c r="T201" i="19"/>
  <c r="T202" i="19"/>
  <c r="T203" i="19"/>
  <c r="T204" i="19"/>
  <c r="T205" i="19"/>
  <c r="T206" i="19"/>
  <c r="T207" i="19"/>
  <c r="T208" i="19"/>
  <c r="T209" i="19"/>
  <c r="T210" i="19"/>
  <c r="T211" i="19"/>
  <c r="T212" i="19"/>
  <c r="T213" i="19"/>
  <c r="T214" i="19"/>
  <c r="T215" i="19"/>
  <c r="T216" i="19"/>
  <c r="T217" i="19"/>
  <c r="T218" i="19"/>
  <c r="T219" i="19"/>
  <c r="T220" i="19"/>
  <c r="T221" i="19"/>
  <c r="T222" i="19"/>
  <c r="T223" i="19"/>
  <c r="T224" i="19"/>
  <c r="T225" i="19"/>
  <c r="T226" i="19"/>
  <c r="T227" i="19"/>
  <c r="T228" i="19"/>
  <c r="T229" i="19"/>
  <c r="T230" i="19"/>
  <c r="T231" i="19"/>
  <c r="T232" i="19"/>
  <c r="T233" i="19"/>
  <c r="T234" i="19"/>
  <c r="T235" i="19"/>
  <c r="T236" i="19"/>
  <c r="T237" i="19"/>
  <c r="T238" i="19"/>
  <c r="T239" i="19"/>
  <c r="T240" i="19"/>
  <c r="T241" i="19"/>
  <c r="T242" i="19"/>
  <c r="T243" i="19"/>
  <c r="T244" i="19"/>
  <c r="T245" i="19"/>
  <c r="T246" i="19"/>
  <c r="T247" i="19"/>
  <c r="T248" i="19"/>
  <c r="T249" i="19"/>
  <c r="T250" i="19"/>
  <c r="T251" i="19"/>
  <c r="T252" i="19"/>
  <c r="T253" i="19"/>
  <c r="T254" i="19"/>
  <c r="T255" i="19"/>
  <c r="T256" i="19"/>
  <c r="T257" i="19"/>
  <c r="T258" i="19"/>
  <c r="T259" i="19"/>
  <c r="T260" i="19"/>
  <c r="T261" i="19"/>
  <c r="T262" i="19"/>
  <c r="T263" i="19"/>
  <c r="T264" i="19"/>
  <c r="T265" i="19"/>
  <c r="T266" i="19"/>
  <c r="T267" i="19"/>
  <c r="T268" i="19"/>
  <c r="T269" i="19"/>
  <c r="T270" i="19"/>
  <c r="T271" i="19"/>
  <c r="T272" i="19"/>
  <c r="T273" i="19"/>
  <c r="T274" i="19"/>
  <c r="T275" i="19"/>
  <c r="T276" i="19"/>
  <c r="T277" i="19"/>
  <c r="T278" i="19"/>
  <c r="T279" i="19"/>
  <c r="T280" i="19"/>
  <c r="T281" i="19"/>
  <c r="T282" i="19"/>
  <c r="T283" i="19"/>
  <c r="T284" i="19"/>
  <c r="T285" i="19"/>
  <c r="T286" i="19"/>
  <c r="T287" i="19"/>
  <c r="T288" i="19"/>
  <c r="T289" i="19"/>
  <c r="T290" i="19"/>
  <c r="T291" i="19"/>
  <c r="T292" i="19"/>
  <c r="T293" i="19"/>
  <c r="T294" i="19"/>
  <c r="T295" i="19"/>
  <c r="T296" i="19"/>
  <c r="T297" i="19"/>
  <c r="T298" i="19"/>
  <c r="T299" i="19"/>
  <c r="T300" i="19"/>
  <c r="T301" i="19"/>
  <c r="T302" i="19"/>
  <c r="T303" i="19"/>
  <c r="T304" i="19"/>
  <c r="T305" i="19"/>
  <c r="T306" i="19"/>
  <c r="T307" i="19"/>
  <c r="T308" i="19"/>
  <c r="T309" i="19"/>
  <c r="T310" i="19"/>
  <c r="T311" i="19"/>
  <c r="T312" i="19"/>
  <c r="T313" i="19"/>
  <c r="T314" i="19"/>
  <c r="T315" i="19"/>
  <c r="T316" i="19"/>
  <c r="T317" i="19"/>
  <c r="T318" i="19"/>
  <c r="T319" i="19"/>
  <c r="T320" i="19"/>
  <c r="T321" i="19"/>
  <c r="T322" i="19"/>
  <c r="T323" i="19"/>
  <c r="T324" i="19"/>
  <c r="T325" i="19"/>
  <c r="T326" i="19"/>
  <c r="T327" i="19"/>
  <c r="T328" i="19"/>
  <c r="T329" i="19"/>
  <c r="T330" i="19"/>
  <c r="T331" i="19"/>
  <c r="T332" i="19"/>
  <c r="T333" i="19"/>
  <c r="T334" i="19"/>
  <c r="T335" i="19"/>
  <c r="T336" i="19"/>
  <c r="T337" i="19"/>
  <c r="T338" i="19"/>
  <c r="T339" i="19"/>
  <c r="T340" i="19"/>
  <c r="T341" i="19"/>
  <c r="T342" i="19"/>
  <c r="T343" i="19"/>
  <c r="T344" i="19"/>
  <c r="T345" i="19"/>
  <c r="T346" i="19"/>
  <c r="T347" i="19"/>
  <c r="T348" i="19"/>
  <c r="T349" i="19"/>
  <c r="T350" i="19"/>
  <c r="T351" i="19"/>
  <c r="T352" i="19"/>
  <c r="T353" i="19"/>
  <c r="T354" i="19"/>
  <c r="T355" i="19"/>
  <c r="T356" i="19"/>
  <c r="T357" i="19"/>
  <c r="T358" i="19"/>
  <c r="T359" i="19"/>
  <c r="T360" i="19"/>
  <c r="T361" i="19"/>
  <c r="T362" i="19"/>
  <c r="T363" i="19"/>
  <c r="T364" i="19"/>
  <c r="T365" i="19"/>
  <c r="T366" i="19"/>
  <c r="T367" i="19"/>
  <c r="T368" i="19"/>
  <c r="T369" i="19"/>
  <c r="T370" i="19"/>
  <c r="T371" i="19"/>
  <c r="T372" i="19"/>
  <c r="T373" i="19"/>
  <c r="T374" i="19"/>
  <c r="T375" i="19"/>
  <c r="T376" i="19"/>
  <c r="T377" i="19"/>
  <c r="T378" i="19"/>
  <c r="T379" i="19"/>
  <c r="T380" i="19"/>
  <c r="T381" i="19"/>
  <c r="T382" i="19"/>
  <c r="T383" i="19"/>
  <c r="T384" i="19"/>
  <c r="T385" i="19"/>
  <c r="T386" i="19"/>
  <c r="T387" i="19"/>
  <c r="T388" i="19"/>
  <c r="T389" i="19"/>
  <c r="T390" i="19"/>
  <c r="T391" i="19"/>
  <c r="T392" i="19"/>
  <c r="T393" i="19"/>
  <c r="T394" i="19"/>
  <c r="T395" i="19"/>
  <c r="T396" i="19"/>
  <c r="T397" i="19"/>
  <c r="T398" i="19"/>
  <c r="T399" i="19"/>
  <c r="T400" i="19"/>
  <c r="T401" i="19"/>
  <c r="T402" i="19"/>
  <c r="T403" i="19"/>
  <c r="T404" i="19"/>
  <c r="T405" i="19"/>
  <c r="T406" i="19"/>
  <c r="T407" i="19"/>
  <c r="T408" i="19"/>
  <c r="T409" i="19"/>
  <c r="T410" i="19"/>
  <c r="T411" i="19"/>
  <c r="T412" i="19"/>
  <c r="T413" i="19"/>
  <c r="T414" i="19"/>
  <c r="T415" i="19"/>
  <c r="T416" i="19"/>
  <c r="T417" i="19"/>
  <c r="T418" i="19"/>
  <c r="T419" i="19"/>
  <c r="T420" i="19"/>
  <c r="T421" i="19"/>
  <c r="T422" i="19"/>
  <c r="T423" i="19"/>
  <c r="T424" i="19"/>
  <c r="T425" i="19"/>
  <c r="T426" i="19"/>
  <c r="T427" i="19"/>
  <c r="T428" i="19"/>
  <c r="T429" i="19"/>
  <c r="T430" i="19"/>
  <c r="T431" i="19"/>
  <c r="T432" i="19"/>
  <c r="T433" i="19"/>
  <c r="T434" i="19"/>
  <c r="T435" i="19"/>
  <c r="T436" i="19"/>
  <c r="T437" i="19"/>
  <c r="T438" i="19"/>
  <c r="T439" i="19"/>
  <c r="T440" i="19"/>
  <c r="T441" i="19"/>
  <c r="T442" i="19"/>
  <c r="T443" i="19"/>
  <c r="T444" i="19"/>
  <c r="T445" i="19"/>
  <c r="T446" i="19"/>
  <c r="T447" i="19"/>
  <c r="T448" i="19"/>
  <c r="T449" i="19"/>
  <c r="T450" i="19"/>
  <c r="T451" i="19"/>
  <c r="T452" i="19"/>
  <c r="T453" i="19"/>
  <c r="T454" i="19"/>
  <c r="T455" i="19"/>
  <c r="T456" i="19"/>
  <c r="T457" i="19"/>
  <c r="T458" i="19"/>
  <c r="T459" i="19"/>
  <c r="T460" i="19"/>
  <c r="T461" i="19"/>
  <c r="T462" i="19"/>
  <c r="T463" i="19"/>
  <c r="T464" i="19"/>
  <c r="T465" i="19"/>
  <c r="T466" i="19"/>
  <c r="T467" i="19"/>
  <c r="T468" i="19"/>
  <c r="T469" i="19"/>
  <c r="T470" i="19"/>
  <c r="T471" i="19"/>
  <c r="T472" i="19"/>
  <c r="T473" i="19"/>
  <c r="T474" i="19"/>
  <c r="T475" i="19"/>
  <c r="T476" i="19"/>
  <c r="T477" i="19"/>
  <c r="T478" i="19"/>
  <c r="T479" i="19"/>
  <c r="T480" i="19"/>
  <c r="T481" i="19"/>
  <c r="T482" i="19"/>
  <c r="T483" i="19"/>
  <c r="T484" i="19"/>
  <c r="T485" i="19"/>
  <c r="T486" i="19"/>
  <c r="T487" i="19"/>
  <c r="T488" i="19"/>
  <c r="T489" i="19"/>
  <c r="T490" i="19"/>
  <c r="T491" i="19"/>
  <c r="T492" i="19"/>
  <c r="T493" i="19"/>
  <c r="T494" i="19"/>
  <c r="T495" i="19"/>
  <c r="T496" i="19"/>
  <c r="T497" i="19"/>
  <c r="T498" i="19"/>
  <c r="T499" i="19"/>
  <c r="T500" i="19"/>
  <c r="T501" i="19"/>
  <c r="T502" i="19"/>
  <c r="T503" i="19"/>
  <c r="T504" i="19"/>
  <c r="T505" i="19"/>
  <c r="T506" i="19"/>
  <c r="T507" i="19"/>
  <c r="T508" i="19"/>
  <c r="T509" i="19"/>
  <c r="T510" i="19"/>
  <c r="T511" i="19"/>
  <c r="T512" i="19"/>
  <c r="T513" i="19"/>
  <c r="T514" i="19"/>
  <c r="T515" i="19"/>
  <c r="T516" i="19"/>
  <c r="T517" i="19"/>
  <c r="T518" i="19"/>
  <c r="T519" i="19"/>
  <c r="T520" i="19"/>
  <c r="T521" i="19"/>
  <c r="T522" i="19"/>
  <c r="T523" i="19"/>
  <c r="T524" i="19"/>
  <c r="T525" i="19"/>
  <c r="T526" i="19"/>
  <c r="T527" i="19"/>
  <c r="T528" i="19"/>
  <c r="T529" i="19"/>
  <c r="T530" i="19"/>
  <c r="T531" i="19"/>
  <c r="T532" i="19"/>
  <c r="T533" i="19"/>
  <c r="T534" i="19"/>
  <c r="T535" i="19"/>
  <c r="T536" i="19"/>
  <c r="T537" i="19"/>
  <c r="T538" i="19"/>
  <c r="T539" i="19"/>
  <c r="T540" i="19"/>
  <c r="T541" i="19"/>
  <c r="T542" i="19"/>
  <c r="T543" i="19"/>
  <c r="T544" i="19"/>
  <c r="T545" i="19"/>
  <c r="T546" i="19"/>
  <c r="T547" i="19"/>
  <c r="T548" i="19"/>
  <c r="T549" i="19"/>
  <c r="T550" i="19"/>
  <c r="T551" i="19"/>
  <c r="T552" i="19"/>
  <c r="T553" i="19"/>
  <c r="T554" i="19"/>
  <c r="T555" i="19"/>
  <c r="T556" i="19"/>
  <c r="T557" i="19"/>
  <c r="T558" i="19"/>
  <c r="T559" i="19"/>
  <c r="T560" i="19"/>
  <c r="T561" i="19"/>
  <c r="T562" i="19"/>
  <c r="T563" i="19"/>
  <c r="T564" i="19"/>
  <c r="T565" i="19"/>
  <c r="T566" i="19"/>
  <c r="T567" i="19"/>
  <c r="T568" i="19"/>
  <c r="T569" i="19"/>
  <c r="T570" i="19"/>
  <c r="T571" i="19"/>
  <c r="T572" i="19"/>
  <c r="T573" i="19"/>
  <c r="T574" i="19"/>
  <c r="T575" i="19"/>
  <c r="T576" i="19"/>
  <c r="T577" i="19"/>
  <c r="T578" i="19"/>
  <c r="T579" i="19"/>
  <c r="T580" i="19"/>
  <c r="T581" i="19"/>
  <c r="T582" i="19"/>
  <c r="T583" i="19"/>
  <c r="T584" i="19"/>
  <c r="T585" i="19"/>
  <c r="T586" i="19"/>
  <c r="T587" i="19"/>
  <c r="T588" i="19"/>
  <c r="T589" i="19"/>
  <c r="T590" i="19"/>
  <c r="T591" i="19"/>
  <c r="T592" i="19"/>
  <c r="T593" i="19"/>
  <c r="X332" i="19"/>
  <c r="Z10" i="19"/>
  <c r="Z11" i="19"/>
  <c r="Z12" i="19"/>
  <c r="Z13" i="19"/>
  <c r="Z14" i="19"/>
  <c r="Z15" i="19"/>
  <c r="Z16" i="19"/>
  <c r="Z17" i="19"/>
  <c r="Z18" i="19"/>
  <c r="Z19" i="19"/>
  <c r="Z20" i="19"/>
  <c r="Z21" i="19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6" i="19"/>
  <c r="Z37" i="19"/>
  <c r="Z38" i="19"/>
  <c r="Z39" i="19"/>
  <c r="Z40" i="19"/>
  <c r="Z41" i="19"/>
  <c r="Z42" i="19"/>
  <c r="Z43" i="19"/>
  <c r="Z44" i="19"/>
  <c r="Z45" i="19"/>
  <c r="Z46" i="19"/>
  <c r="Z47" i="19"/>
  <c r="Z48" i="19"/>
  <c r="Z49" i="19"/>
  <c r="Z50" i="19"/>
  <c r="Z51" i="19"/>
  <c r="Z52" i="19"/>
  <c r="Z53" i="19"/>
  <c r="Z54" i="19"/>
  <c r="Z55" i="19"/>
  <c r="Z56" i="19"/>
  <c r="Z57" i="19"/>
  <c r="Z58" i="19"/>
  <c r="Z59" i="19"/>
  <c r="Z60" i="19"/>
  <c r="Z61" i="19"/>
  <c r="Z62" i="19"/>
  <c r="Z63" i="19"/>
  <c r="Z64" i="19"/>
  <c r="Z65" i="19"/>
  <c r="Z66" i="19"/>
  <c r="Z67" i="19"/>
  <c r="Z68" i="19"/>
  <c r="Z69" i="19"/>
  <c r="Z70" i="19"/>
  <c r="Z71" i="19"/>
  <c r="Z72" i="19"/>
  <c r="Z73" i="19"/>
  <c r="Z74" i="19"/>
  <c r="Z75" i="19"/>
  <c r="Z76" i="19"/>
  <c r="Z77" i="19"/>
  <c r="Z78" i="19"/>
  <c r="Z79" i="19"/>
  <c r="Z80" i="19"/>
  <c r="Z81" i="19"/>
  <c r="Z82" i="19"/>
  <c r="Z83" i="19"/>
  <c r="Z84" i="19"/>
  <c r="Z85" i="19"/>
  <c r="Z86" i="19"/>
  <c r="Z87" i="19"/>
  <c r="Z88" i="19"/>
  <c r="Z89" i="19"/>
  <c r="Z90" i="19"/>
  <c r="Z91" i="19"/>
  <c r="Z92" i="19"/>
  <c r="Z93" i="19"/>
  <c r="Z94" i="19"/>
  <c r="Z95" i="19"/>
  <c r="Z96" i="19"/>
  <c r="Z97" i="19"/>
  <c r="Z98" i="19"/>
  <c r="Z99" i="19"/>
  <c r="Z100" i="19"/>
  <c r="Z101" i="19"/>
  <c r="Z102" i="19"/>
  <c r="Z103" i="19"/>
  <c r="Z104" i="19"/>
  <c r="Z105" i="19"/>
  <c r="Z106" i="19"/>
  <c r="Z107" i="19"/>
  <c r="Z108" i="19"/>
  <c r="Z109" i="19"/>
  <c r="Z110" i="19"/>
  <c r="Z111" i="19"/>
  <c r="Z112" i="19"/>
  <c r="Z113" i="19"/>
  <c r="Z114" i="19"/>
  <c r="Z115" i="19"/>
  <c r="Z116" i="19"/>
  <c r="Z117" i="19"/>
  <c r="Z118" i="19"/>
  <c r="Z119" i="19"/>
  <c r="Z120" i="19"/>
  <c r="Z121" i="19"/>
  <c r="Z122" i="19"/>
  <c r="Z123" i="19"/>
  <c r="Z124" i="19"/>
  <c r="Z125" i="19"/>
  <c r="Z126" i="19"/>
  <c r="Z127" i="19"/>
  <c r="Z128" i="19"/>
  <c r="Z129" i="19"/>
  <c r="Z130" i="19"/>
  <c r="Z131" i="19"/>
  <c r="Z132" i="19"/>
  <c r="Z133" i="19"/>
  <c r="Z134" i="19"/>
  <c r="Z135" i="19"/>
  <c r="Z136" i="19"/>
  <c r="Z137" i="19"/>
  <c r="Z138" i="19"/>
  <c r="Z139" i="19"/>
  <c r="Z140" i="19"/>
  <c r="Z141" i="19"/>
  <c r="Z142" i="19"/>
  <c r="Z143" i="19"/>
  <c r="Z144" i="19"/>
  <c r="Z145" i="19"/>
  <c r="Z146" i="19"/>
  <c r="Z147" i="19"/>
  <c r="Z148" i="19"/>
  <c r="Z149" i="19"/>
  <c r="Z150" i="19"/>
  <c r="Z151" i="19"/>
  <c r="Z152" i="19"/>
  <c r="Z153" i="19"/>
  <c r="Z154" i="19"/>
  <c r="Z155" i="19"/>
  <c r="Z156" i="19"/>
  <c r="Z157" i="19"/>
  <c r="Z158" i="19"/>
  <c r="Z159" i="19"/>
  <c r="Z160" i="19"/>
  <c r="Z161" i="19"/>
  <c r="Z162" i="19"/>
  <c r="Z163" i="19"/>
  <c r="Z164" i="19"/>
  <c r="Z165" i="19"/>
  <c r="Z166" i="19"/>
  <c r="Z167" i="19"/>
  <c r="Z168" i="19"/>
  <c r="Z169" i="19"/>
  <c r="Z170" i="19"/>
  <c r="Z171" i="19"/>
  <c r="Z172" i="19"/>
  <c r="Z173" i="19"/>
  <c r="Z174" i="19"/>
  <c r="Z175" i="19"/>
  <c r="Z176" i="19"/>
  <c r="Z177" i="19"/>
  <c r="Z178" i="19"/>
  <c r="Z179" i="19"/>
  <c r="Z180" i="19"/>
  <c r="Z181" i="19"/>
  <c r="Z182" i="19"/>
  <c r="Z183" i="19"/>
  <c r="Z184" i="19"/>
  <c r="Z185" i="19"/>
  <c r="Z186" i="19"/>
  <c r="Z187" i="19"/>
  <c r="Z188" i="19"/>
  <c r="Z189" i="19"/>
  <c r="Z190" i="19"/>
  <c r="Z191" i="19"/>
  <c r="Z192" i="19"/>
  <c r="Z193" i="19"/>
  <c r="Z194" i="19"/>
  <c r="Z195" i="19"/>
  <c r="Z196" i="19"/>
  <c r="Z197" i="19"/>
  <c r="Z198" i="19"/>
  <c r="Z199" i="19"/>
  <c r="Z200" i="19"/>
  <c r="Z201" i="19"/>
  <c r="Z202" i="19"/>
  <c r="Z203" i="19"/>
  <c r="Z204" i="19"/>
  <c r="Z205" i="19"/>
  <c r="Z206" i="19"/>
  <c r="Z207" i="19"/>
  <c r="Z208" i="19"/>
  <c r="Z209" i="19"/>
  <c r="Z210" i="19"/>
  <c r="Z211" i="19"/>
  <c r="Z212" i="19"/>
  <c r="Z213" i="19"/>
  <c r="Z214" i="19"/>
  <c r="Z215" i="19"/>
  <c r="Z216" i="19"/>
  <c r="Z217" i="19"/>
  <c r="Z218" i="19"/>
  <c r="Z219" i="19"/>
  <c r="Z220" i="19"/>
  <c r="Z221" i="19"/>
  <c r="Z222" i="19"/>
  <c r="Z223" i="19"/>
  <c r="Z224" i="19"/>
  <c r="Z225" i="19"/>
  <c r="Z226" i="19"/>
  <c r="Z227" i="19"/>
  <c r="Z228" i="19"/>
  <c r="Z229" i="19"/>
  <c r="Z230" i="19"/>
  <c r="Z231" i="19"/>
  <c r="Z232" i="19"/>
  <c r="Z233" i="19"/>
  <c r="Z234" i="19"/>
  <c r="Z235" i="19"/>
  <c r="Z236" i="19"/>
  <c r="Z237" i="19"/>
  <c r="Z238" i="19"/>
  <c r="Z239" i="19"/>
  <c r="Z240" i="19"/>
  <c r="Z241" i="19"/>
  <c r="Z242" i="19"/>
  <c r="Z243" i="19"/>
  <c r="Z244" i="19"/>
  <c r="Z245" i="19"/>
  <c r="Z246" i="19"/>
  <c r="Z247" i="19"/>
  <c r="Z248" i="19"/>
  <c r="Z249" i="19"/>
  <c r="Z250" i="19"/>
  <c r="Z251" i="19"/>
  <c r="Z252" i="19"/>
  <c r="Z253" i="19"/>
  <c r="Z254" i="19"/>
  <c r="Z255" i="19"/>
  <c r="Z256" i="19"/>
  <c r="Z257" i="19"/>
  <c r="Z258" i="19"/>
  <c r="Z259" i="19"/>
  <c r="Z260" i="19"/>
  <c r="Z261" i="19"/>
  <c r="Z262" i="19"/>
  <c r="Z263" i="19"/>
  <c r="Z264" i="19"/>
  <c r="Z265" i="19"/>
  <c r="Z266" i="19"/>
  <c r="Z267" i="19"/>
  <c r="Z268" i="19"/>
  <c r="Z269" i="19"/>
  <c r="Z270" i="19"/>
  <c r="Z271" i="19"/>
  <c r="Z272" i="19"/>
  <c r="Z273" i="19"/>
  <c r="Z274" i="19"/>
  <c r="Z275" i="19"/>
  <c r="Z276" i="19"/>
  <c r="Z277" i="19"/>
  <c r="Z278" i="19"/>
  <c r="Z279" i="19"/>
  <c r="Z280" i="19"/>
  <c r="Z281" i="19"/>
  <c r="Z282" i="19"/>
  <c r="Z283" i="19"/>
  <c r="Z284" i="19"/>
  <c r="Z285" i="19"/>
  <c r="Z286" i="19"/>
  <c r="Z287" i="19"/>
  <c r="Z288" i="19"/>
  <c r="Z289" i="19"/>
  <c r="Z290" i="19"/>
  <c r="Z291" i="19"/>
  <c r="Z292" i="19"/>
  <c r="Z293" i="19"/>
  <c r="Z294" i="19"/>
  <c r="Z295" i="19"/>
  <c r="Z296" i="19"/>
  <c r="Z297" i="19"/>
  <c r="Z298" i="19"/>
  <c r="Z299" i="19"/>
  <c r="Z300" i="19"/>
  <c r="Z301" i="19"/>
  <c r="Z302" i="19"/>
  <c r="Z303" i="19"/>
  <c r="Z304" i="19"/>
  <c r="Z305" i="19"/>
  <c r="Z306" i="19"/>
  <c r="Z307" i="19"/>
  <c r="Z308" i="19"/>
  <c r="Z309" i="19"/>
  <c r="Z310" i="19"/>
  <c r="Z311" i="19"/>
  <c r="Z312" i="19"/>
  <c r="Z313" i="19"/>
  <c r="Z314" i="19"/>
  <c r="Z315" i="19"/>
  <c r="Z316" i="19"/>
  <c r="Z317" i="19"/>
  <c r="Z318" i="19"/>
  <c r="Z319" i="19"/>
  <c r="Z320" i="19"/>
  <c r="Z321" i="19"/>
  <c r="Z322" i="19"/>
  <c r="Z323" i="19"/>
  <c r="Z324" i="19"/>
  <c r="Z325" i="19"/>
  <c r="Z326" i="19"/>
  <c r="Z327" i="19"/>
  <c r="Z328" i="19"/>
  <c r="Z329" i="19"/>
  <c r="Z330" i="19"/>
  <c r="Z331" i="19"/>
  <c r="Z332" i="19"/>
  <c r="Z333" i="19"/>
  <c r="Z334" i="19"/>
  <c r="Z335" i="19"/>
  <c r="Z336" i="19"/>
  <c r="Z337" i="19"/>
  <c r="Z338" i="19"/>
  <c r="Z339" i="19"/>
  <c r="Z340" i="19"/>
  <c r="Z341" i="19"/>
  <c r="Z342" i="19"/>
  <c r="Z343" i="19"/>
  <c r="Z344" i="19"/>
  <c r="Z345" i="19"/>
  <c r="Z346" i="19"/>
  <c r="Z347" i="19"/>
  <c r="Z348" i="19"/>
  <c r="Z349" i="19"/>
  <c r="Z350" i="19"/>
  <c r="Z351" i="19"/>
  <c r="Z352" i="19"/>
  <c r="Z353" i="19"/>
  <c r="Z354" i="19"/>
  <c r="Z355" i="19"/>
  <c r="Z356" i="19"/>
  <c r="Z357" i="19"/>
  <c r="Z358" i="19"/>
  <c r="Z359" i="19"/>
  <c r="Z360" i="19"/>
  <c r="Z361" i="19"/>
  <c r="Z362" i="19"/>
  <c r="Z363" i="19"/>
  <c r="Z364" i="19"/>
  <c r="Z365" i="19"/>
  <c r="Z366" i="19"/>
  <c r="Z367" i="19"/>
  <c r="Z368" i="19"/>
  <c r="Z369" i="19"/>
  <c r="Z370" i="19"/>
  <c r="Z371" i="19"/>
  <c r="Z372" i="19"/>
  <c r="Z373" i="19"/>
  <c r="Z374" i="19"/>
  <c r="Z375" i="19"/>
  <c r="Z376" i="19"/>
  <c r="Z377" i="19"/>
  <c r="Z378" i="19"/>
  <c r="Z379" i="19"/>
  <c r="Z380" i="19"/>
  <c r="Z381" i="19"/>
  <c r="Z382" i="19"/>
  <c r="Z383" i="19"/>
  <c r="Z384" i="19"/>
  <c r="Z385" i="19"/>
  <c r="Z386" i="19"/>
  <c r="Z387" i="19"/>
  <c r="Z388" i="19"/>
  <c r="Z389" i="19"/>
  <c r="Z390" i="19"/>
  <c r="Z391" i="19"/>
  <c r="Z392" i="19"/>
  <c r="Z393" i="19"/>
  <c r="Z394" i="19"/>
  <c r="Z395" i="19"/>
  <c r="Z396" i="19"/>
  <c r="Z397" i="19"/>
  <c r="Z398" i="19"/>
  <c r="Z399" i="19"/>
  <c r="Z400" i="19"/>
  <c r="Z401" i="19"/>
  <c r="Z402" i="19"/>
  <c r="Z403" i="19"/>
  <c r="Z404" i="19"/>
  <c r="Z405" i="19"/>
  <c r="Z406" i="19"/>
  <c r="Z407" i="19"/>
  <c r="Z408" i="19"/>
  <c r="Z409" i="19"/>
  <c r="Z410" i="19"/>
  <c r="Z411" i="19"/>
  <c r="Z412" i="19"/>
  <c r="Z413" i="19"/>
  <c r="Z414" i="19"/>
  <c r="Z415" i="19"/>
  <c r="Z416" i="19"/>
  <c r="Z417" i="19"/>
  <c r="Z418" i="19"/>
  <c r="Z419" i="19"/>
  <c r="Z420" i="19"/>
  <c r="Z421" i="19"/>
  <c r="Z422" i="19"/>
  <c r="Z423" i="19"/>
  <c r="Z424" i="19"/>
  <c r="Z425" i="19"/>
  <c r="Z426" i="19"/>
  <c r="Z427" i="19"/>
  <c r="Z428" i="19"/>
  <c r="Z429" i="19"/>
  <c r="Z430" i="19"/>
  <c r="Z431" i="19"/>
  <c r="Z432" i="19"/>
  <c r="Z433" i="19"/>
  <c r="Z434" i="19"/>
  <c r="Z435" i="19"/>
  <c r="Z436" i="19"/>
  <c r="Z437" i="19"/>
  <c r="Z438" i="19"/>
  <c r="Z439" i="19"/>
  <c r="Z440" i="19"/>
  <c r="Z441" i="19"/>
  <c r="Z442" i="19"/>
  <c r="Z443" i="19"/>
  <c r="Z444" i="19"/>
  <c r="Z445" i="19"/>
  <c r="Z446" i="19"/>
  <c r="Z447" i="19"/>
  <c r="Z448" i="19"/>
  <c r="Z449" i="19"/>
  <c r="Z450" i="19"/>
  <c r="Z451" i="19"/>
  <c r="Z452" i="19"/>
  <c r="Z453" i="19"/>
  <c r="Z454" i="19"/>
  <c r="Z455" i="19"/>
  <c r="Z456" i="19"/>
  <c r="Z457" i="19"/>
  <c r="Z458" i="19"/>
  <c r="Z459" i="19"/>
  <c r="Z460" i="19"/>
  <c r="Z461" i="19"/>
  <c r="Z462" i="19"/>
  <c r="Z463" i="19"/>
  <c r="Z464" i="19"/>
  <c r="Z465" i="19"/>
  <c r="Z466" i="19"/>
  <c r="Z467" i="19"/>
  <c r="Z468" i="19"/>
  <c r="Z469" i="19"/>
  <c r="Z470" i="19"/>
  <c r="Z471" i="19"/>
  <c r="Z472" i="19"/>
  <c r="Z473" i="19"/>
  <c r="Z474" i="19"/>
  <c r="Z475" i="19"/>
  <c r="Z476" i="19"/>
  <c r="Z477" i="19"/>
  <c r="Z478" i="19"/>
  <c r="Z479" i="19"/>
  <c r="Z480" i="19"/>
  <c r="Z481" i="19"/>
  <c r="Z482" i="19"/>
  <c r="Z483" i="19"/>
  <c r="Z484" i="19"/>
  <c r="Z485" i="19"/>
  <c r="Z486" i="19"/>
  <c r="Z487" i="19"/>
  <c r="Z488" i="19"/>
  <c r="Z489" i="19"/>
  <c r="Z490" i="19"/>
  <c r="Z491" i="19"/>
  <c r="Z492" i="19"/>
  <c r="Z493" i="19"/>
  <c r="Z494" i="19"/>
  <c r="Z495" i="19"/>
  <c r="Z496" i="19"/>
  <c r="Z497" i="19"/>
  <c r="Z498" i="19"/>
  <c r="Z499" i="19"/>
  <c r="Z500" i="19"/>
  <c r="Z501" i="19"/>
  <c r="Z502" i="19"/>
  <c r="Z503" i="19"/>
  <c r="Z504" i="19"/>
  <c r="Z505" i="19"/>
  <c r="Z506" i="19"/>
  <c r="Z507" i="19"/>
  <c r="Z508" i="19"/>
  <c r="Z509" i="19"/>
  <c r="Z510" i="19"/>
  <c r="Z511" i="19"/>
  <c r="Z512" i="19"/>
  <c r="Z513" i="19"/>
  <c r="Z514" i="19"/>
  <c r="Z515" i="19"/>
  <c r="Z516" i="19"/>
  <c r="Z517" i="19"/>
  <c r="Z518" i="19"/>
  <c r="Z519" i="19"/>
  <c r="Z520" i="19"/>
  <c r="Z521" i="19"/>
  <c r="Z522" i="19"/>
  <c r="Z523" i="19"/>
  <c r="Z524" i="19"/>
  <c r="Z525" i="19"/>
  <c r="Z526" i="19"/>
  <c r="Z527" i="19"/>
  <c r="Z528" i="19"/>
  <c r="Z529" i="19"/>
  <c r="Z530" i="19"/>
  <c r="Z531" i="19"/>
  <c r="Z532" i="19"/>
  <c r="Z533" i="19"/>
  <c r="Z534" i="19"/>
  <c r="Z535" i="19"/>
  <c r="Z536" i="19"/>
  <c r="Z537" i="19"/>
  <c r="Z538" i="19"/>
  <c r="Z539" i="19"/>
  <c r="Z540" i="19"/>
  <c r="Z541" i="19"/>
  <c r="Z542" i="19"/>
  <c r="Z543" i="19"/>
  <c r="Z544" i="19"/>
  <c r="Z545" i="19"/>
  <c r="Z546" i="19"/>
  <c r="Z547" i="19"/>
  <c r="Z548" i="19"/>
  <c r="Z549" i="19"/>
  <c r="Z550" i="19"/>
  <c r="Z551" i="19"/>
  <c r="Z552" i="19"/>
  <c r="Z553" i="19"/>
  <c r="Z554" i="19"/>
  <c r="Z555" i="19"/>
  <c r="Z556" i="19"/>
  <c r="Z557" i="19"/>
  <c r="Z558" i="19"/>
  <c r="Z559" i="19"/>
  <c r="Z560" i="19"/>
  <c r="Z561" i="19"/>
  <c r="Z562" i="19"/>
  <c r="Z563" i="19"/>
  <c r="Z564" i="19"/>
  <c r="Z565" i="19"/>
  <c r="Z566" i="19"/>
  <c r="Z567" i="19"/>
  <c r="Z568" i="19"/>
  <c r="Z569" i="19"/>
  <c r="Z570" i="19"/>
  <c r="Z571" i="19"/>
  <c r="Z572" i="19"/>
  <c r="Z573" i="19"/>
  <c r="Z574" i="19"/>
  <c r="Z575" i="19"/>
  <c r="Z576" i="19"/>
  <c r="Z577" i="19"/>
  <c r="Z578" i="19"/>
  <c r="Z579" i="19"/>
  <c r="Z580" i="19"/>
  <c r="Z581" i="19"/>
  <c r="Z582" i="19"/>
  <c r="Z583" i="19"/>
  <c r="Z584" i="19"/>
  <c r="Z585" i="19"/>
  <c r="Z586" i="19"/>
  <c r="Z587" i="19"/>
  <c r="Z588" i="19"/>
  <c r="Z589" i="19"/>
  <c r="Z590" i="19"/>
  <c r="Z591" i="19"/>
  <c r="Z592" i="19"/>
  <c r="Z593" i="19"/>
  <c r="Z5" i="19"/>
  <c r="Z6" i="19"/>
  <c r="Z7" i="19"/>
  <c r="Z8" i="19"/>
  <c r="Z4" i="19"/>
  <c r="Z9" i="19"/>
  <c r="X6" i="19"/>
  <c r="I10" i="28"/>
  <c r="AI4" i="19"/>
  <c r="AI6" i="19"/>
  <c r="AA6" i="19"/>
  <c r="AM5" i="19"/>
  <c r="AI7" i="19"/>
  <c r="AH5" i="19"/>
  <c r="AI10" i="19"/>
  <c r="AJ26" i="19"/>
  <c r="AE10" i="19"/>
  <c r="AF10" i="19"/>
  <c r="AJ12" i="19"/>
  <c r="AA13" i="19"/>
  <c r="AH8" i="19"/>
  <c r="AH6" i="19"/>
  <c r="AH10" i="19"/>
  <c r="AH9" i="19"/>
  <c r="AH4" i="19"/>
  <c r="AH7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H38" i="19"/>
  <c r="AH39" i="19"/>
  <c r="AH40" i="19"/>
  <c r="AH41" i="19"/>
  <c r="AH42" i="19"/>
  <c r="AH43" i="19"/>
  <c r="AH44" i="19"/>
  <c r="AH45" i="19"/>
  <c r="AH46" i="19"/>
  <c r="AH47" i="19"/>
  <c r="AH48" i="19"/>
  <c r="AH49" i="19"/>
  <c r="AH50" i="19"/>
  <c r="AH51" i="19"/>
  <c r="AH52" i="19"/>
  <c r="AH53" i="19"/>
  <c r="AH54" i="19"/>
  <c r="AH55" i="19"/>
  <c r="AH56" i="19"/>
  <c r="AH57" i="19"/>
  <c r="AH58" i="19"/>
  <c r="AH59" i="19"/>
  <c r="AH60" i="19"/>
  <c r="AH61" i="19"/>
  <c r="AH62" i="19"/>
  <c r="AH63" i="19"/>
  <c r="AH64" i="19"/>
  <c r="AH65" i="19"/>
  <c r="AH66" i="19"/>
  <c r="AH67" i="19"/>
  <c r="AH68" i="19"/>
  <c r="AH69" i="19"/>
  <c r="AH70" i="19"/>
  <c r="AH71" i="19"/>
  <c r="AH72" i="19"/>
  <c r="AH73" i="19"/>
  <c r="AH74" i="19"/>
  <c r="AH75" i="19"/>
  <c r="AH76" i="19"/>
  <c r="AH77" i="19"/>
  <c r="AH78" i="19"/>
  <c r="AH79" i="19"/>
  <c r="AH80" i="19"/>
  <c r="AH81" i="19"/>
  <c r="AH82" i="19"/>
  <c r="AH83" i="19"/>
  <c r="AH84" i="19"/>
  <c r="AH85" i="19"/>
  <c r="AH86" i="19"/>
  <c r="AH87" i="19"/>
  <c r="AH88" i="19"/>
  <c r="AH89" i="19"/>
  <c r="AH90" i="19"/>
  <c r="AH91" i="19"/>
  <c r="AH92" i="19"/>
  <c r="AH93" i="19"/>
  <c r="AH94" i="19"/>
  <c r="AH95" i="19"/>
  <c r="AH96" i="19"/>
  <c r="AH97" i="19"/>
  <c r="AH98" i="19"/>
  <c r="AH99" i="19"/>
  <c r="AH100" i="19"/>
  <c r="AH101" i="19"/>
  <c r="AH102" i="19"/>
  <c r="AH103" i="19"/>
  <c r="AH104" i="19"/>
  <c r="AH105" i="19"/>
  <c r="AH106" i="19"/>
  <c r="AH107" i="19"/>
  <c r="AH108" i="19"/>
  <c r="AH109" i="19"/>
  <c r="AH110" i="19"/>
  <c r="AH111" i="19"/>
  <c r="AH112" i="19"/>
  <c r="AH113" i="19"/>
  <c r="AH114" i="19"/>
  <c r="AH115" i="19"/>
  <c r="AH116" i="19"/>
  <c r="AH117" i="19"/>
  <c r="AH118" i="19"/>
  <c r="AH119" i="19"/>
  <c r="AH120" i="19"/>
  <c r="AH121" i="19"/>
  <c r="AH122" i="19"/>
  <c r="AH123" i="19"/>
  <c r="AH124" i="19"/>
  <c r="AH125" i="19"/>
  <c r="AH126" i="19"/>
  <c r="AH127" i="19"/>
  <c r="AH128" i="19"/>
  <c r="AH129" i="19"/>
  <c r="AH130" i="19"/>
  <c r="AH131" i="19"/>
  <c r="AH132" i="19"/>
  <c r="AH133" i="19"/>
  <c r="AH134" i="19"/>
  <c r="AH135" i="19"/>
  <c r="AH136" i="19"/>
  <c r="AH137" i="19"/>
  <c r="AH138" i="19"/>
  <c r="AH139" i="19"/>
  <c r="AH140" i="19"/>
  <c r="AH141" i="19"/>
  <c r="AH142" i="19"/>
  <c r="AH143" i="19"/>
  <c r="AH144" i="19"/>
  <c r="AH145" i="19"/>
  <c r="AH146" i="19"/>
  <c r="AH147" i="19"/>
  <c r="AH148" i="19"/>
  <c r="AH149" i="19"/>
  <c r="AH150" i="19"/>
  <c r="AH151" i="19"/>
  <c r="AH152" i="19"/>
  <c r="AH153" i="19"/>
  <c r="AH154" i="19"/>
  <c r="AH155" i="19"/>
  <c r="AH156" i="19"/>
  <c r="AH157" i="19"/>
  <c r="AH158" i="19"/>
  <c r="AH159" i="19"/>
  <c r="AH160" i="19"/>
  <c r="AH161" i="19"/>
  <c r="AH162" i="19"/>
  <c r="AH163" i="19"/>
  <c r="AH164" i="19"/>
  <c r="AH165" i="19"/>
  <c r="AH166" i="19"/>
  <c r="AH167" i="19"/>
  <c r="AH168" i="19"/>
  <c r="AH169" i="19"/>
  <c r="AH170" i="19"/>
  <c r="AH171" i="19"/>
  <c r="AH172" i="19"/>
  <c r="AH173" i="19"/>
  <c r="AH174" i="19"/>
  <c r="AH175" i="19"/>
  <c r="AH176" i="19"/>
  <c r="AH177" i="19"/>
  <c r="AH178" i="19"/>
  <c r="AH179" i="19"/>
  <c r="AH180" i="19"/>
  <c r="AH181" i="19"/>
  <c r="AH182" i="19"/>
  <c r="AH183" i="19"/>
  <c r="AH184" i="19"/>
  <c r="AH185" i="19"/>
  <c r="AH186" i="19"/>
  <c r="AH187" i="19"/>
  <c r="AH188" i="19"/>
  <c r="AH189" i="19"/>
  <c r="AH190" i="19"/>
  <c r="AH191" i="19"/>
  <c r="AH192" i="19"/>
  <c r="AH193" i="19"/>
  <c r="AH194" i="19"/>
  <c r="AH195" i="19"/>
  <c r="AH196" i="19"/>
  <c r="AH197" i="19"/>
  <c r="AH198" i="19"/>
  <c r="AH199" i="19"/>
  <c r="AH200" i="19"/>
  <c r="AH201" i="19"/>
  <c r="AH202" i="19"/>
  <c r="AH203" i="19"/>
  <c r="AH204" i="19"/>
  <c r="AH205" i="19"/>
  <c r="AH206" i="19"/>
  <c r="AH207" i="19"/>
  <c r="AH208" i="19"/>
  <c r="AH209" i="19"/>
  <c r="AH210" i="19"/>
  <c r="AH211" i="19"/>
  <c r="AH212" i="19"/>
  <c r="AH213" i="19"/>
  <c r="AH214" i="19"/>
  <c r="AH215" i="19"/>
  <c r="AH216" i="19"/>
  <c r="AH217" i="19"/>
  <c r="AH218" i="19"/>
  <c r="AH219" i="19"/>
  <c r="AH220" i="19"/>
  <c r="AH221" i="19"/>
  <c r="AH222" i="19"/>
  <c r="AH223" i="19"/>
  <c r="AH224" i="19"/>
  <c r="AH225" i="19"/>
  <c r="AH226" i="19"/>
  <c r="AH227" i="19"/>
  <c r="AH228" i="19"/>
  <c r="AH229" i="19"/>
  <c r="AH230" i="19"/>
  <c r="AH231" i="19"/>
  <c r="AH232" i="19"/>
  <c r="AH233" i="19"/>
  <c r="AH234" i="19"/>
  <c r="AH235" i="19"/>
  <c r="AH236" i="19"/>
  <c r="AH237" i="19"/>
  <c r="AH238" i="19"/>
  <c r="AH239" i="19"/>
  <c r="AH240" i="19"/>
  <c r="AH241" i="19"/>
  <c r="AH242" i="19"/>
  <c r="AH243" i="19"/>
  <c r="AH244" i="19"/>
  <c r="AH245" i="19"/>
  <c r="AH246" i="19"/>
  <c r="AH247" i="19"/>
  <c r="AH248" i="19"/>
  <c r="AH249" i="19"/>
  <c r="AH250" i="19"/>
  <c r="AH251" i="19"/>
  <c r="AH252" i="19"/>
  <c r="AH253" i="19"/>
  <c r="AH254" i="19"/>
  <c r="AH255" i="19"/>
  <c r="AH256" i="19"/>
  <c r="AH257" i="19"/>
  <c r="AH258" i="19"/>
  <c r="AH259" i="19"/>
  <c r="AH260" i="19"/>
  <c r="AH261" i="19"/>
  <c r="AH262" i="19"/>
  <c r="AH263" i="19"/>
  <c r="AH264" i="19"/>
  <c r="AH265" i="19"/>
  <c r="AH266" i="19"/>
  <c r="AH267" i="19"/>
  <c r="AH268" i="19"/>
  <c r="AH269" i="19"/>
  <c r="AH270" i="19"/>
  <c r="AH271" i="19"/>
  <c r="AH272" i="19"/>
  <c r="AH273" i="19"/>
  <c r="AH274" i="19"/>
  <c r="AH275" i="19"/>
  <c r="AH276" i="19"/>
  <c r="AH277" i="19"/>
  <c r="AH278" i="19"/>
  <c r="AH279" i="19"/>
  <c r="AH280" i="19"/>
  <c r="AH281" i="19"/>
  <c r="AH282" i="19"/>
  <c r="AH283" i="19"/>
  <c r="AH284" i="19"/>
  <c r="AH285" i="19"/>
  <c r="AH286" i="19"/>
  <c r="AH287" i="19"/>
  <c r="AH288" i="19"/>
  <c r="AH289" i="19"/>
  <c r="AH290" i="19"/>
  <c r="AH291" i="19"/>
  <c r="AH292" i="19"/>
  <c r="AH293" i="19"/>
  <c r="AH294" i="19"/>
  <c r="AH295" i="19"/>
  <c r="AH296" i="19"/>
  <c r="AH297" i="19"/>
  <c r="AH298" i="19"/>
  <c r="AH299" i="19"/>
  <c r="AH300" i="19"/>
  <c r="AH301" i="19"/>
  <c r="AH302" i="19"/>
  <c r="AH303" i="19"/>
  <c r="AH304" i="19"/>
  <c r="AH305" i="19"/>
  <c r="AH306" i="19"/>
  <c r="AH307" i="19"/>
  <c r="AH308" i="19"/>
  <c r="AH309" i="19"/>
  <c r="AH310" i="19"/>
  <c r="AH311" i="19"/>
  <c r="AH312" i="19"/>
  <c r="AH313" i="19"/>
  <c r="AH314" i="19"/>
  <c r="AH315" i="19"/>
  <c r="AH316" i="19"/>
  <c r="AH317" i="19"/>
  <c r="AH318" i="19"/>
  <c r="AH319" i="19"/>
  <c r="AH320" i="19"/>
  <c r="AH321" i="19"/>
  <c r="AH322" i="19"/>
  <c r="AH323" i="19"/>
  <c r="AH324" i="19"/>
  <c r="AH325" i="19"/>
  <c r="AH326" i="19"/>
  <c r="AH327" i="19"/>
  <c r="AH328" i="19"/>
  <c r="AH329" i="19"/>
  <c r="AH330" i="19"/>
  <c r="AH331" i="19"/>
  <c r="AH332" i="19"/>
  <c r="AH333" i="19"/>
  <c r="AH334" i="19"/>
  <c r="AH335" i="19"/>
  <c r="AH336" i="19"/>
  <c r="AH337" i="19"/>
  <c r="AH338" i="19"/>
  <c r="AH339" i="19"/>
  <c r="AH340" i="19"/>
  <c r="AH341" i="19"/>
  <c r="AH342" i="19"/>
  <c r="AH343" i="19"/>
  <c r="AH344" i="19"/>
  <c r="AH345" i="19"/>
  <c r="AH346" i="19"/>
  <c r="AH347" i="19"/>
  <c r="AH348" i="19"/>
  <c r="AH349" i="19"/>
  <c r="AH350" i="19"/>
  <c r="AH351" i="19"/>
  <c r="AH352" i="19"/>
  <c r="AH353" i="19"/>
  <c r="AH354" i="19"/>
  <c r="AH355" i="19"/>
  <c r="AH356" i="19"/>
  <c r="AH357" i="19"/>
  <c r="AH358" i="19"/>
  <c r="AH359" i="19"/>
  <c r="AH360" i="19"/>
  <c r="AH361" i="19"/>
  <c r="AH362" i="19"/>
  <c r="AH363" i="19"/>
  <c r="AH364" i="19"/>
  <c r="AH365" i="19"/>
  <c r="AH366" i="19"/>
  <c r="AH367" i="19"/>
  <c r="AH368" i="19"/>
  <c r="AH369" i="19"/>
  <c r="AH370" i="19"/>
  <c r="AH371" i="19"/>
  <c r="AH372" i="19"/>
  <c r="AH373" i="19"/>
  <c r="AH374" i="19"/>
  <c r="AH375" i="19"/>
  <c r="AH376" i="19"/>
  <c r="AH377" i="19"/>
  <c r="AH378" i="19"/>
  <c r="AH379" i="19"/>
  <c r="AH380" i="19"/>
  <c r="AH381" i="19"/>
  <c r="AH382" i="19"/>
  <c r="AH383" i="19"/>
  <c r="AH384" i="19"/>
  <c r="AH385" i="19"/>
  <c r="AH386" i="19"/>
  <c r="AH387" i="19"/>
  <c r="AH388" i="19"/>
  <c r="AH389" i="19"/>
  <c r="AH390" i="19"/>
  <c r="AH391" i="19"/>
  <c r="AH392" i="19"/>
  <c r="AH393" i="19"/>
  <c r="AH394" i="19"/>
  <c r="AH395" i="19"/>
  <c r="AH396" i="19"/>
  <c r="AH397" i="19"/>
  <c r="AH398" i="19"/>
  <c r="AH399" i="19"/>
  <c r="AH400" i="19"/>
  <c r="AH401" i="19"/>
  <c r="AH402" i="19"/>
  <c r="AH403" i="19"/>
  <c r="AH404" i="19"/>
  <c r="AH405" i="19"/>
  <c r="AH406" i="19"/>
  <c r="AH407" i="19"/>
  <c r="AH408" i="19"/>
  <c r="AH409" i="19"/>
  <c r="AH410" i="19"/>
  <c r="AH411" i="19"/>
  <c r="AH412" i="19"/>
  <c r="AH413" i="19"/>
  <c r="AH414" i="19"/>
  <c r="AH415" i="19"/>
  <c r="AH416" i="19"/>
  <c r="AH417" i="19"/>
  <c r="AH418" i="19"/>
  <c r="AH419" i="19"/>
  <c r="AH420" i="19"/>
  <c r="AH421" i="19"/>
  <c r="AH422" i="19"/>
  <c r="AH423" i="19"/>
  <c r="AH424" i="19"/>
  <c r="AH425" i="19"/>
  <c r="AH426" i="19"/>
  <c r="AH427" i="19"/>
  <c r="AH428" i="19"/>
  <c r="AH429" i="19"/>
  <c r="AH430" i="19"/>
  <c r="AH431" i="19"/>
  <c r="AH432" i="19"/>
  <c r="AH433" i="19"/>
  <c r="AH434" i="19"/>
  <c r="AH435" i="19"/>
  <c r="AH436" i="19"/>
  <c r="AH437" i="19"/>
  <c r="AH438" i="19"/>
  <c r="AH439" i="19"/>
  <c r="AH440" i="19"/>
  <c r="AH441" i="19"/>
  <c r="AH442" i="19"/>
  <c r="AH443" i="19"/>
  <c r="AH444" i="19"/>
  <c r="AH445" i="19"/>
  <c r="AH446" i="19"/>
  <c r="AH447" i="19"/>
  <c r="AH448" i="19"/>
  <c r="AH449" i="19"/>
  <c r="AH450" i="19"/>
  <c r="AH451" i="19"/>
  <c r="AH452" i="19"/>
  <c r="AH453" i="19"/>
  <c r="AH454" i="19"/>
  <c r="AH455" i="19"/>
  <c r="AH456" i="19"/>
  <c r="AH457" i="19"/>
  <c r="AH458" i="19"/>
  <c r="AH459" i="19"/>
  <c r="AH460" i="19"/>
  <c r="AH461" i="19"/>
  <c r="AH462" i="19"/>
  <c r="AH463" i="19"/>
  <c r="AH464" i="19"/>
  <c r="AH465" i="19"/>
  <c r="AH466" i="19"/>
  <c r="AH467" i="19"/>
  <c r="AH468" i="19"/>
  <c r="AH469" i="19"/>
  <c r="AH470" i="19"/>
  <c r="AH471" i="19"/>
  <c r="AH472" i="19"/>
  <c r="AH473" i="19"/>
  <c r="AH474" i="19"/>
  <c r="AH475" i="19"/>
  <c r="AH476" i="19"/>
  <c r="AH477" i="19"/>
  <c r="AH478" i="19"/>
  <c r="AH479" i="19"/>
  <c r="AH480" i="19"/>
  <c r="AH481" i="19"/>
  <c r="AH482" i="19"/>
  <c r="AH483" i="19"/>
  <c r="AH484" i="19"/>
  <c r="AH485" i="19"/>
  <c r="AH486" i="19"/>
  <c r="AH487" i="19"/>
  <c r="AH488" i="19"/>
  <c r="AH489" i="19"/>
  <c r="AH490" i="19"/>
  <c r="AH491" i="19"/>
  <c r="AH492" i="19"/>
  <c r="AH493" i="19"/>
  <c r="AH494" i="19"/>
  <c r="AH495" i="19"/>
  <c r="AH496" i="19"/>
  <c r="AH497" i="19"/>
  <c r="AH498" i="19"/>
  <c r="AH499" i="19"/>
  <c r="AH500" i="19"/>
  <c r="AH501" i="19"/>
  <c r="AH502" i="19"/>
  <c r="AH503" i="19"/>
  <c r="AH504" i="19"/>
  <c r="AH505" i="19"/>
  <c r="AH506" i="19"/>
  <c r="AH507" i="19"/>
  <c r="AH508" i="19"/>
  <c r="AH509" i="19"/>
  <c r="AH510" i="19"/>
  <c r="AH511" i="19"/>
  <c r="AH512" i="19"/>
  <c r="AH513" i="19"/>
  <c r="AH514" i="19"/>
  <c r="AH515" i="19"/>
  <c r="AH516" i="19"/>
  <c r="AH517" i="19"/>
  <c r="AH518" i="19"/>
  <c r="AH519" i="19"/>
  <c r="AH520" i="19"/>
  <c r="AH521" i="19"/>
  <c r="AH522" i="19"/>
  <c r="AH523" i="19"/>
  <c r="AH524" i="19"/>
  <c r="AH525" i="19"/>
  <c r="AH526" i="19"/>
  <c r="AH527" i="19"/>
  <c r="AH528" i="19"/>
  <c r="AH529" i="19"/>
  <c r="AH530" i="19"/>
  <c r="AH531" i="19"/>
  <c r="AH532" i="19"/>
  <c r="AH533" i="19"/>
  <c r="AH534" i="19"/>
  <c r="AH535" i="19"/>
  <c r="AH536" i="19"/>
  <c r="AH537" i="19"/>
  <c r="AH538" i="19"/>
  <c r="AH539" i="19"/>
  <c r="AH540" i="19"/>
  <c r="AH541" i="19"/>
  <c r="AH542" i="19"/>
  <c r="AH543" i="19"/>
  <c r="AH544" i="19"/>
  <c r="AH545" i="19"/>
  <c r="AH546" i="19"/>
  <c r="AH547" i="19"/>
  <c r="AH548" i="19"/>
  <c r="AH549" i="19"/>
  <c r="AH550" i="19"/>
  <c r="AH551" i="19"/>
  <c r="AH552" i="19"/>
  <c r="AH553" i="19"/>
  <c r="AH554" i="19"/>
  <c r="AH555" i="19"/>
  <c r="AH556" i="19"/>
  <c r="AH557" i="19"/>
  <c r="AH558" i="19"/>
  <c r="AH559" i="19"/>
  <c r="AH560" i="19"/>
  <c r="AH561" i="19"/>
  <c r="AH562" i="19"/>
  <c r="AH563" i="19"/>
  <c r="AH564" i="19"/>
  <c r="AH565" i="19"/>
  <c r="AH566" i="19"/>
  <c r="AH567" i="19"/>
  <c r="AH568" i="19"/>
  <c r="AH569" i="19"/>
  <c r="AH570" i="19"/>
  <c r="AH571" i="19"/>
  <c r="AH572" i="19"/>
  <c r="AH573" i="19"/>
  <c r="AH574" i="19"/>
  <c r="AH575" i="19"/>
  <c r="AH576" i="19"/>
  <c r="AH577" i="19"/>
  <c r="AH578" i="19"/>
  <c r="AH579" i="19"/>
  <c r="AH580" i="19"/>
  <c r="AH581" i="19"/>
  <c r="AH582" i="19"/>
  <c r="AH583" i="19"/>
  <c r="AH584" i="19"/>
  <c r="AH585" i="19"/>
  <c r="AH586" i="19"/>
  <c r="AH587" i="19"/>
  <c r="AH588" i="19"/>
  <c r="AH589" i="19"/>
  <c r="AH590" i="19"/>
  <c r="AH591" i="19"/>
  <c r="AH592" i="19"/>
  <c r="AH593" i="19"/>
  <c r="I15" i="28"/>
  <c r="X251" i="19"/>
  <c r="X127" i="19"/>
  <c r="X121" i="19"/>
  <c r="I755" i="28" l="1"/>
  <c r="J755" i="28" s="1" a="1"/>
  <c r="J755" i="28" s="1"/>
  <c r="I756" i="28"/>
  <c r="J756" i="28" s="1" a="1"/>
  <c r="J756" i="28" s="1"/>
  <c r="I757" i="28"/>
  <c r="J757" i="28" s="1" a="1"/>
  <c r="J757" i="28" s="1"/>
  <c r="I758" i="28"/>
  <c r="J758" i="28" s="1" a="1"/>
  <c r="J758" i="28" s="1"/>
  <c r="I759" i="28"/>
  <c r="J759" i="28" s="1" a="1"/>
  <c r="J759" i="28" s="1"/>
  <c r="I760" i="28"/>
  <c r="J760" i="28" s="1" a="1"/>
  <c r="J760" i="28" s="1"/>
  <c r="I761" i="28"/>
  <c r="J761" i="28" s="1" a="1"/>
  <c r="J761" i="28" s="1"/>
  <c r="I762" i="28"/>
  <c r="J762" i="28" s="1" a="1"/>
  <c r="J762" i="28" s="1"/>
  <c r="I763" i="28"/>
  <c r="J763" i="28" s="1" a="1"/>
  <c r="J763" i="28" s="1"/>
  <c r="I764" i="28"/>
  <c r="J764" i="28" s="1" a="1"/>
  <c r="J764" i="28" s="1"/>
  <c r="I765" i="28"/>
  <c r="J765" i="28" s="1" a="1"/>
  <c r="J765" i="28" s="1"/>
  <c r="I766" i="28"/>
  <c r="J766" i="28" s="1" a="1"/>
  <c r="J766" i="28" s="1"/>
  <c r="I767" i="28"/>
  <c r="J767" i="28" s="1" a="1"/>
  <c r="J767" i="28" s="1"/>
  <c r="I768" i="28"/>
  <c r="J768" i="28" s="1" a="1"/>
  <c r="J768" i="28" s="1"/>
  <c r="I769" i="28"/>
  <c r="J769" i="28" s="1" a="1"/>
  <c r="J769" i="28" s="1"/>
  <c r="I770" i="28"/>
  <c r="J770" i="28" s="1" a="1"/>
  <c r="J770" i="28" s="1"/>
  <c r="I771" i="28"/>
  <c r="J771" i="28" s="1" a="1"/>
  <c r="J771" i="28" s="1"/>
  <c r="I772" i="28"/>
  <c r="J772" i="28" s="1" a="1"/>
  <c r="J772" i="28" s="1"/>
  <c r="I773" i="28"/>
  <c r="J773" i="28" s="1" a="1"/>
  <c r="J773" i="28" s="1"/>
  <c r="I774" i="28"/>
  <c r="J774" i="28" s="1" a="1"/>
  <c r="J774" i="28" s="1"/>
  <c r="I775" i="28"/>
  <c r="J775" i="28" s="1" a="1"/>
  <c r="J775" i="28" s="1"/>
  <c r="I776" i="28"/>
  <c r="J776" i="28" s="1" a="1"/>
  <c r="J776" i="28" s="1"/>
  <c r="I777" i="28"/>
  <c r="J777" i="28" s="1" a="1"/>
  <c r="J777" i="28" s="1"/>
  <c r="I778" i="28"/>
  <c r="J778" i="28" s="1" a="1"/>
  <c r="J778" i="28" s="1"/>
  <c r="I779" i="28"/>
  <c r="J779" i="28" s="1" a="1"/>
  <c r="J779" i="28" s="1"/>
  <c r="I780" i="28"/>
  <c r="J780" i="28" s="1" a="1"/>
  <c r="J780" i="28" s="1"/>
  <c r="I781" i="28"/>
  <c r="J781" i="28" s="1" a="1"/>
  <c r="J781" i="28" s="1"/>
  <c r="I782" i="28"/>
  <c r="J782" i="28" s="1" a="1"/>
  <c r="J782" i="28" s="1"/>
  <c r="I783" i="28"/>
  <c r="J783" i="28" s="1" a="1"/>
  <c r="J783" i="28" s="1"/>
  <c r="I784" i="28"/>
  <c r="J784" i="28" s="1" a="1"/>
  <c r="J784" i="28" s="1"/>
  <c r="I785" i="28"/>
  <c r="J785" i="28" s="1" a="1"/>
  <c r="J785" i="28" s="1"/>
  <c r="I786" i="28"/>
  <c r="J786" i="28" s="1" a="1"/>
  <c r="J786" i="28" s="1"/>
  <c r="I787" i="28"/>
  <c r="J787" i="28" s="1" a="1"/>
  <c r="J787" i="28" s="1"/>
  <c r="I788" i="28"/>
  <c r="J788" i="28" s="1" a="1"/>
  <c r="J788" i="28" s="1"/>
  <c r="I789" i="28"/>
  <c r="J789" i="28" s="1" a="1"/>
  <c r="J789" i="28" s="1"/>
  <c r="I790" i="28"/>
  <c r="J790" i="28" s="1" a="1"/>
  <c r="J790" i="28" s="1"/>
  <c r="I791" i="28"/>
  <c r="J791" i="28" s="1" a="1"/>
  <c r="J791" i="28" s="1"/>
  <c r="I792" i="28"/>
  <c r="J792" i="28" s="1" a="1"/>
  <c r="J792" i="28" s="1"/>
  <c r="I793" i="28"/>
  <c r="J793" i="28" s="1" a="1"/>
  <c r="J793" i="28" s="1"/>
  <c r="I794" i="28"/>
  <c r="J794" i="28" s="1" a="1"/>
  <c r="J794" i="28" s="1"/>
  <c r="I795" i="28"/>
  <c r="J795" i="28" s="1" a="1"/>
  <c r="J795" i="28" s="1"/>
  <c r="I796" i="28"/>
  <c r="J796" i="28" s="1" a="1"/>
  <c r="J796" i="28" s="1"/>
  <c r="I797" i="28"/>
  <c r="J797" i="28" s="1" a="1"/>
  <c r="J797" i="28" s="1"/>
  <c r="I798" i="28"/>
  <c r="J798" i="28" s="1" a="1"/>
  <c r="J798" i="28" s="1"/>
  <c r="I799" i="28"/>
  <c r="J799" i="28" s="1" a="1"/>
  <c r="J799" i="28" s="1"/>
  <c r="I800" i="28"/>
  <c r="J800" i="28" s="1" a="1"/>
  <c r="J800" i="28" s="1"/>
  <c r="I801" i="28"/>
  <c r="J801" i="28" s="1" a="1"/>
  <c r="J801" i="28" s="1"/>
  <c r="I802" i="28"/>
  <c r="J802" i="28" s="1" a="1"/>
  <c r="J802" i="28" s="1"/>
  <c r="I4" i="28"/>
  <c r="J4" i="28" s="1" a="1"/>
  <c r="J4" i="28" s="1"/>
  <c r="I5" i="28"/>
  <c r="J5" i="28" s="1" a="1"/>
  <c r="J5" i="28" s="1"/>
  <c r="I6" i="28"/>
  <c r="J6" i="28" s="1" a="1"/>
  <c r="J6" i="28" s="1"/>
  <c r="I7" i="28"/>
  <c r="J7" i="28" s="1" a="1"/>
  <c r="J7" i="28" s="1"/>
  <c r="I8" i="28"/>
  <c r="J8" i="28" s="1" a="1"/>
  <c r="J8" i="28" s="1"/>
  <c r="I9" i="28"/>
  <c r="J9" i="28" s="1" a="1"/>
  <c r="J9" i="28" s="1"/>
  <c r="J10" i="28" a="1"/>
  <c r="J10" i="28" s="1"/>
  <c r="I11" i="28"/>
  <c r="J11" i="28" s="1" a="1"/>
  <c r="J11" i="28" s="1"/>
  <c r="I12" i="28"/>
  <c r="J12" i="28" s="1" a="1"/>
  <c r="J12" i="28" s="1"/>
  <c r="I13" i="28"/>
  <c r="J13" i="28" s="1" a="1"/>
  <c r="J13" i="28" s="1"/>
  <c r="I14" i="28"/>
  <c r="J14" i="28" s="1" a="1"/>
  <c r="J14" i="28" s="1"/>
  <c r="J15" i="28" a="1"/>
  <c r="J15" i="28" s="1"/>
  <c r="I16" i="28"/>
  <c r="J16" i="28" s="1" a="1"/>
  <c r="J16" i="28" s="1"/>
  <c r="I17" i="28"/>
  <c r="J17" i="28" s="1" a="1"/>
  <c r="J17" i="28" s="1"/>
  <c r="I18" i="28"/>
  <c r="J18" i="28" s="1" a="1"/>
  <c r="J18" i="28" s="1"/>
  <c r="I19" i="28"/>
  <c r="J19" i="28" s="1" a="1"/>
  <c r="J19" i="28" s="1"/>
  <c r="I20" i="28"/>
  <c r="J20" i="28" s="1" a="1"/>
  <c r="J20" i="28" s="1"/>
  <c r="I21" i="28"/>
  <c r="J21" i="28" s="1" a="1"/>
  <c r="J21" i="28" s="1"/>
  <c r="I22" i="28"/>
  <c r="J22" i="28" s="1" a="1"/>
  <c r="J22" i="28" s="1"/>
  <c r="I23" i="28"/>
  <c r="J23" i="28" s="1" a="1"/>
  <c r="J23" i="28" s="1"/>
  <c r="I24" i="28"/>
  <c r="J24" i="28" s="1" a="1"/>
  <c r="J24" i="28" s="1"/>
  <c r="I25" i="28"/>
  <c r="J25" i="28" s="1" a="1"/>
  <c r="J25" i="28" s="1"/>
  <c r="I26" i="28"/>
  <c r="J26" i="28" s="1" a="1"/>
  <c r="J26" i="28" s="1"/>
  <c r="I27" i="28"/>
  <c r="J27" i="28" s="1" a="1"/>
  <c r="J27" i="28" s="1"/>
  <c r="I28" i="28"/>
  <c r="J28" i="28" s="1" a="1"/>
  <c r="J28" i="28" s="1"/>
  <c r="I29" i="28"/>
  <c r="J29" i="28" s="1" a="1"/>
  <c r="J29" i="28" s="1"/>
  <c r="I30" i="28"/>
  <c r="J30" i="28" s="1" a="1"/>
  <c r="J30" i="28" s="1"/>
  <c r="I31" i="28"/>
  <c r="J31" i="28" s="1" a="1"/>
  <c r="J31" i="28" s="1"/>
  <c r="I32" i="28"/>
  <c r="J32" i="28" s="1" a="1"/>
  <c r="J32" i="28" s="1"/>
  <c r="I33" i="28"/>
  <c r="J33" i="28" s="1" a="1"/>
  <c r="J33" i="28" s="1"/>
  <c r="I34" i="28"/>
  <c r="J34" i="28" s="1" a="1"/>
  <c r="J34" i="28" s="1"/>
  <c r="I35" i="28"/>
  <c r="J35" i="28" s="1" a="1"/>
  <c r="J35" i="28" s="1"/>
  <c r="I36" i="28"/>
  <c r="J36" i="28" s="1" a="1"/>
  <c r="J36" i="28" s="1"/>
  <c r="I37" i="28"/>
  <c r="J37" i="28" s="1" a="1"/>
  <c r="J37" i="28" s="1"/>
  <c r="I38" i="28"/>
  <c r="J38" i="28" s="1" a="1"/>
  <c r="J38" i="28" s="1"/>
  <c r="I39" i="28"/>
  <c r="J39" i="28" s="1" a="1"/>
  <c r="J39" i="28" s="1"/>
  <c r="I40" i="28"/>
  <c r="J40" i="28" s="1" a="1"/>
  <c r="J40" i="28" s="1"/>
  <c r="I41" i="28"/>
  <c r="J41" i="28" s="1" a="1"/>
  <c r="J41" i="28" s="1"/>
  <c r="I42" i="28"/>
  <c r="J42" i="28" s="1" a="1"/>
  <c r="J42" i="28" s="1"/>
  <c r="I43" i="28"/>
  <c r="J43" i="28" s="1" a="1"/>
  <c r="J43" i="28" s="1"/>
  <c r="I44" i="28"/>
  <c r="J44" i="28" s="1" a="1"/>
  <c r="J44" i="28" s="1"/>
  <c r="I45" i="28"/>
  <c r="J45" i="28" s="1" a="1"/>
  <c r="J45" i="28" s="1"/>
  <c r="I46" i="28"/>
  <c r="J46" i="28" s="1" a="1"/>
  <c r="J46" i="28" s="1"/>
  <c r="I47" i="28"/>
  <c r="J47" i="28" s="1" a="1"/>
  <c r="J47" i="28" s="1"/>
  <c r="I48" i="28"/>
  <c r="J48" i="28" s="1" a="1"/>
  <c r="J48" i="28" s="1"/>
  <c r="I49" i="28"/>
  <c r="J49" i="28" s="1" a="1"/>
  <c r="J49" i="28" s="1"/>
  <c r="I50" i="28"/>
  <c r="J50" i="28" s="1" a="1"/>
  <c r="J50" i="28" s="1"/>
  <c r="I51" i="28"/>
  <c r="J51" i="28" s="1" a="1"/>
  <c r="J51" i="28" s="1"/>
  <c r="I52" i="28"/>
  <c r="J52" i="28" s="1" a="1"/>
  <c r="J52" i="28" s="1"/>
  <c r="I53" i="28"/>
  <c r="J53" i="28" s="1" a="1"/>
  <c r="J53" i="28" s="1"/>
  <c r="I54" i="28"/>
  <c r="J54" i="28" s="1" a="1"/>
  <c r="J54" i="28" s="1"/>
  <c r="I55" i="28"/>
  <c r="J55" i="28" s="1" a="1"/>
  <c r="J55" i="28" s="1"/>
  <c r="I56" i="28"/>
  <c r="J56" i="28" s="1" a="1"/>
  <c r="J56" i="28" s="1"/>
  <c r="I57" i="28"/>
  <c r="J57" i="28" s="1" a="1"/>
  <c r="J57" i="28" s="1"/>
  <c r="I58" i="28"/>
  <c r="J58" i="28" s="1" a="1"/>
  <c r="J58" i="28" s="1"/>
  <c r="I59" i="28"/>
  <c r="J59" i="28" s="1" a="1"/>
  <c r="J59" i="28" s="1"/>
  <c r="I60" i="28"/>
  <c r="J60" i="28" s="1" a="1"/>
  <c r="J60" i="28" s="1"/>
  <c r="I61" i="28"/>
  <c r="J61" i="28" s="1" a="1"/>
  <c r="J61" i="28" s="1"/>
  <c r="I62" i="28"/>
  <c r="J62" i="28" s="1" a="1"/>
  <c r="J62" i="28" s="1"/>
  <c r="I63" i="28"/>
  <c r="J63" i="28" s="1" a="1"/>
  <c r="J63" i="28" s="1"/>
  <c r="I64" i="28"/>
  <c r="J64" i="28" s="1" a="1"/>
  <c r="J64" i="28" s="1"/>
  <c r="I65" i="28"/>
  <c r="J65" i="28" s="1" a="1"/>
  <c r="J65" i="28" s="1"/>
  <c r="I66" i="28"/>
  <c r="J66" i="28" s="1" a="1"/>
  <c r="J66" i="28" s="1"/>
  <c r="I67" i="28"/>
  <c r="J67" i="28" s="1" a="1"/>
  <c r="J67" i="28" s="1"/>
  <c r="I68" i="28"/>
  <c r="J68" i="28" s="1" a="1"/>
  <c r="J68" i="28" s="1"/>
  <c r="I69" i="28"/>
  <c r="J69" i="28" s="1" a="1"/>
  <c r="J69" i="28" s="1"/>
  <c r="I70" i="28"/>
  <c r="J70" i="28" s="1" a="1"/>
  <c r="J70" i="28" s="1"/>
  <c r="I71" i="28"/>
  <c r="J71" i="28" s="1" a="1"/>
  <c r="J71" i="28" s="1"/>
  <c r="I72" i="28"/>
  <c r="J72" i="28" s="1" a="1"/>
  <c r="J72" i="28" s="1"/>
  <c r="I73" i="28"/>
  <c r="J73" i="28" s="1" a="1"/>
  <c r="J73" i="28" s="1"/>
  <c r="I74" i="28"/>
  <c r="J74" i="28" s="1" a="1"/>
  <c r="J74" i="28" s="1"/>
  <c r="I75" i="28"/>
  <c r="J75" i="28" s="1" a="1"/>
  <c r="J75" i="28" s="1"/>
  <c r="I76" i="28"/>
  <c r="J76" i="28" s="1" a="1"/>
  <c r="J76" i="28" s="1"/>
  <c r="I77" i="28"/>
  <c r="J77" i="28" s="1" a="1"/>
  <c r="J77" i="28" s="1"/>
  <c r="I78" i="28"/>
  <c r="J78" i="28" s="1" a="1"/>
  <c r="J78" i="28" s="1"/>
  <c r="I79" i="28"/>
  <c r="J79" i="28" s="1" a="1"/>
  <c r="J79" i="28" s="1"/>
  <c r="I80" i="28"/>
  <c r="J80" i="28" s="1" a="1"/>
  <c r="J80" i="28" s="1"/>
  <c r="I81" i="28"/>
  <c r="J81" i="28" s="1" a="1"/>
  <c r="J81" i="28" s="1"/>
  <c r="I82" i="28"/>
  <c r="J82" i="28" s="1" a="1"/>
  <c r="J82" i="28" s="1"/>
  <c r="I83" i="28"/>
  <c r="J83" i="28" s="1" a="1"/>
  <c r="J83" i="28" s="1"/>
  <c r="I84" i="28"/>
  <c r="J84" i="28" s="1" a="1"/>
  <c r="J84" i="28" s="1"/>
  <c r="I85" i="28"/>
  <c r="J85" i="28" s="1" a="1"/>
  <c r="J85" i="28" s="1"/>
  <c r="I86" i="28"/>
  <c r="J86" i="28" s="1" a="1"/>
  <c r="J86" i="28" s="1"/>
  <c r="I87" i="28"/>
  <c r="J87" i="28" s="1" a="1"/>
  <c r="J87" i="28" s="1"/>
  <c r="I88" i="28"/>
  <c r="J88" i="28" s="1" a="1"/>
  <c r="J88" i="28" s="1"/>
  <c r="I89" i="28"/>
  <c r="J89" i="28" s="1" a="1"/>
  <c r="J89" i="28" s="1"/>
  <c r="I90" i="28"/>
  <c r="J90" i="28" s="1" a="1"/>
  <c r="J90" i="28" s="1"/>
  <c r="I91" i="28"/>
  <c r="J91" i="28" s="1" a="1"/>
  <c r="J91" i="28" s="1"/>
  <c r="I92" i="28"/>
  <c r="J92" i="28" s="1" a="1"/>
  <c r="J92" i="28" s="1"/>
  <c r="I93" i="28"/>
  <c r="J93" i="28" s="1" a="1"/>
  <c r="J93" i="28" s="1"/>
  <c r="I94" i="28"/>
  <c r="J94" i="28" s="1" a="1"/>
  <c r="J94" i="28" s="1"/>
  <c r="I95" i="28"/>
  <c r="J95" i="28" s="1" a="1"/>
  <c r="J95" i="28" s="1"/>
  <c r="I96" i="28"/>
  <c r="J96" i="28" s="1" a="1"/>
  <c r="J96" i="28" s="1"/>
  <c r="I97" i="28"/>
  <c r="J97" i="28" s="1" a="1"/>
  <c r="J97" i="28" s="1"/>
  <c r="I98" i="28"/>
  <c r="J98" i="28" s="1" a="1"/>
  <c r="J98" i="28" s="1"/>
  <c r="I99" i="28"/>
  <c r="J99" i="28" s="1" a="1"/>
  <c r="J99" i="28" s="1"/>
  <c r="I100" i="28"/>
  <c r="J100" i="28" s="1" a="1"/>
  <c r="J100" i="28" s="1"/>
  <c r="I101" i="28"/>
  <c r="J101" i="28" s="1" a="1"/>
  <c r="J101" i="28" s="1"/>
  <c r="I102" i="28"/>
  <c r="J102" i="28" s="1" a="1"/>
  <c r="J102" i="28" s="1"/>
  <c r="I103" i="28"/>
  <c r="J103" i="28" s="1" a="1"/>
  <c r="J103" i="28" s="1"/>
  <c r="I104" i="28"/>
  <c r="J104" i="28" s="1" a="1"/>
  <c r="J104" i="28" s="1"/>
  <c r="I105" i="28"/>
  <c r="J105" i="28" s="1" a="1"/>
  <c r="J105" i="28" s="1"/>
  <c r="I106" i="28"/>
  <c r="J106" i="28" s="1" a="1"/>
  <c r="J106" i="28" s="1"/>
  <c r="I107" i="28"/>
  <c r="J107" i="28" s="1" a="1"/>
  <c r="J107" i="28" s="1"/>
  <c r="I108" i="28"/>
  <c r="J108" i="28" s="1" a="1"/>
  <c r="J108" i="28" s="1"/>
  <c r="I109" i="28"/>
  <c r="J109" i="28" s="1" a="1"/>
  <c r="J109" i="28" s="1"/>
  <c r="I110" i="28"/>
  <c r="J110" i="28" s="1" a="1"/>
  <c r="J110" i="28" s="1"/>
  <c r="I111" i="28"/>
  <c r="J111" i="28" s="1" a="1"/>
  <c r="J111" i="28" s="1"/>
  <c r="I112" i="28"/>
  <c r="J112" i="28" s="1" a="1"/>
  <c r="J112" i="28" s="1"/>
  <c r="I113" i="28"/>
  <c r="J113" i="28" s="1" a="1"/>
  <c r="J113" i="28" s="1"/>
  <c r="I114" i="28"/>
  <c r="J114" i="28" s="1" a="1"/>
  <c r="J114" i="28" s="1"/>
  <c r="I115" i="28"/>
  <c r="J115" i="28" s="1" a="1"/>
  <c r="J115" i="28" s="1"/>
  <c r="I116" i="28"/>
  <c r="J116" i="28" s="1" a="1"/>
  <c r="J116" i="28" s="1"/>
  <c r="I117" i="28"/>
  <c r="J117" i="28" s="1" a="1"/>
  <c r="J117" i="28" s="1"/>
  <c r="I118" i="28"/>
  <c r="J118" i="28" s="1" a="1"/>
  <c r="J118" i="28" s="1"/>
  <c r="I119" i="28"/>
  <c r="J119" i="28" s="1" a="1"/>
  <c r="J119" i="28" s="1"/>
  <c r="I120" i="28"/>
  <c r="J120" i="28" s="1" a="1"/>
  <c r="J120" i="28" s="1"/>
  <c r="I121" i="28"/>
  <c r="J121" i="28" s="1" a="1"/>
  <c r="J121" i="28" s="1"/>
  <c r="I122" i="28"/>
  <c r="J122" i="28" s="1" a="1"/>
  <c r="J122" i="28" s="1"/>
  <c r="I123" i="28"/>
  <c r="J123" i="28" s="1" a="1"/>
  <c r="J123" i="28" s="1"/>
  <c r="I124" i="28"/>
  <c r="J124" i="28" s="1" a="1"/>
  <c r="J124" i="28" s="1"/>
  <c r="I125" i="28"/>
  <c r="J125" i="28" s="1" a="1"/>
  <c r="J125" i="28" s="1"/>
  <c r="I126" i="28"/>
  <c r="J126" i="28" s="1" a="1"/>
  <c r="J126" i="28" s="1"/>
  <c r="I127" i="28"/>
  <c r="J127" i="28" s="1" a="1"/>
  <c r="J127" i="28" s="1"/>
  <c r="I128" i="28"/>
  <c r="J128" i="28" s="1" a="1"/>
  <c r="J128" i="28" s="1"/>
  <c r="I129" i="28"/>
  <c r="J129" i="28" s="1" a="1"/>
  <c r="J129" i="28" s="1"/>
  <c r="I130" i="28"/>
  <c r="J130" i="28" s="1" a="1"/>
  <c r="J130" i="28" s="1"/>
  <c r="I131" i="28"/>
  <c r="J131" i="28" s="1" a="1"/>
  <c r="J131" i="28" s="1"/>
  <c r="I132" i="28"/>
  <c r="J132" i="28" s="1" a="1"/>
  <c r="J132" i="28" s="1"/>
  <c r="I133" i="28"/>
  <c r="J133" i="28" s="1" a="1"/>
  <c r="J133" i="28" s="1"/>
  <c r="I134" i="28"/>
  <c r="J134" i="28" s="1" a="1"/>
  <c r="J134" i="28" s="1"/>
  <c r="I135" i="28"/>
  <c r="J135" i="28" s="1" a="1"/>
  <c r="J135" i="28" s="1"/>
  <c r="I136" i="28"/>
  <c r="J136" i="28" s="1" a="1"/>
  <c r="J136" i="28" s="1"/>
  <c r="I137" i="28"/>
  <c r="J137" i="28" s="1" a="1"/>
  <c r="J137" i="28" s="1"/>
  <c r="I138" i="28"/>
  <c r="J138" i="28" s="1" a="1"/>
  <c r="J138" i="28" s="1"/>
  <c r="I139" i="28"/>
  <c r="J139" i="28" s="1" a="1"/>
  <c r="J139" i="28" s="1"/>
  <c r="I140" i="28"/>
  <c r="J140" i="28" s="1" a="1"/>
  <c r="J140" i="28" s="1"/>
  <c r="I141" i="28"/>
  <c r="J141" i="28" s="1" a="1"/>
  <c r="J141" i="28" s="1"/>
  <c r="I142" i="28"/>
  <c r="J142" i="28" s="1" a="1"/>
  <c r="J142" i="28" s="1"/>
  <c r="I143" i="28"/>
  <c r="J143" i="28" s="1" a="1"/>
  <c r="J143" i="28" s="1"/>
  <c r="I144" i="28"/>
  <c r="J144" i="28" s="1" a="1"/>
  <c r="J144" i="28" s="1"/>
  <c r="I145" i="28"/>
  <c r="J145" i="28" s="1" a="1"/>
  <c r="J145" i="28" s="1"/>
  <c r="I146" i="28"/>
  <c r="J146" i="28" s="1" a="1"/>
  <c r="J146" i="28" s="1"/>
  <c r="I147" i="28"/>
  <c r="J147" i="28" s="1" a="1"/>
  <c r="J147" i="28" s="1"/>
  <c r="I148" i="28"/>
  <c r="J148" i="28" s="1" a="1"/>
  <c r="J148" i="28" s="1"/>
  <c r="I149" i="28"/>
  <c r="J149" i="28" s="1" a="1"/>
  <c r="J149" i="28" s="1"/>
  <c r="I150" i="28"/>
  <c r="J150" i="28" s="1" a="1"/>
  <c r="J150" i="28" s="1"/>
  <c r="I151" i="28"/>
  <c r="J151" i="28" s="1" a="1"/>
  <c r="J151" i="28" s="1"/>
  <c r="I152" i="28"/>
  <c r="J152" i="28" s="1" a="1"/>
  <c r="J152" i="28" s="1"/>
  <c r="I153" i="28"/>
  <c r="J153" i="28" s="1" a="1"/>
  <c r="J153" i="28" s="1"/>
  <c r="I154" i="28"/>
  <c r="J154" i="28" s="1" a="1"/>
  <c r="J154" i="28" s="1"/>
  <c r="I155" i="28"/>
  <c r="J155" i="28" a="1"/>
  <c r="J155" i="28" s="1"/>
  <c r="I156" i="28"/>
  <c r="J156" i="28" s="1" a="1"/>
  <c r="J156" i="28" s="1"/>
  <c r="I157" i="28"/>
  <c r="J157" i="28" s="1" a="1"/>
  <c r="J157" i="28" s="1"/>
  <c r="I158" i="28"/>
  <c r="J158" i="28" s="1" a="1"/>
  <c r="J158" i="28" s="1"/>
  <c r="I159" i="28"/>
  <c r="J159" i="28" s="1" a="1"/>
  <c r="J159" i="28" s="1"/>
  <c r="I160" i="28"/>
  <c r="J160" i="28" s="1" a="1"/>
  <c r="J160" i="28" s="1"/>
  <c r="I161" i="28"/>
  <c r="J161" i="28" s="1" a="1"/>
  <c r="J161" i="28" s="1"/>
  <c r="I162" i="28"/>
  <c r="J162" i="28" s="1" a="1"/>
  <c r="J162" i="28" s="1"/>
  <c r="I163" i="28"/>
  <c r="J163" i="28" s="1" a="1"/>
  <c r="J163" i="28" s="1"/>
  <c r="I164" i="28"/>
  <c r="J164" i="28" s="1" a="1"/>
  <c r="J164" i="28" s="1"/>
  <c r="I165" i="28"/>
  <c r="J165" i="28" s="1" a="1"/>
  <c r="J165" i="28" s="1"/>
  <c r="I166" i="28"/>
  <c r="J166" i="28" s="1" a="1"/>
  <c r="J166" i="28" s="1"/>
  <c r="I167" i="28"/>
  <c r="J167" i="28" s="1" a="1"/>
  <c r="J167" i="28" s="1"/>
  <c r="I168" i="28"/>
  <c r="J168" i="28" s="1" a="1"/>
  <c r="J168" i="28" s="1"/>
  <c r="I169" i="28"/>
  <c r="J169" i="28" s="1" a="1"/>
  <c r="J169" i="28" s="1"/>
  <c r="I170" i="28"/>
  <c r="J170" i="28" s="1" a="1"/>
  <c r="J170" i="28" s="1"/>
  <c r="I171" i="28"/>
  <c r="J171" i="28" s="1" a="1"/>
  <c r="J171" i="28" s="1"/>
  <c r="I172" i="28"/>
  <c r="J172" i="28" s="1" a="1"/>
  <c r="J172" i="28" s="1"/>
  <c r="I173" i="28"/>
  <c r="J173" i="28" s="1" a="1"/>
  <c r="J173" i="28" s="1"/>
  <c r="I174" i="28"/>
  <c r="J174" i="28" s="1" a="1"/>
  <c r="J174" i="28" s="1"/>
  <c r="I175" i="28"/>
  <c r="J175" i="28" s="1" a="1"/>
  <c r="J175" i="28" s="1"/>
  <c r="I176" i="28"/>
  <c r="J176" i="28" s="1" a="1"/>
  <c r="J176" i="28" s="1"/>
  <c r="I177" i="28"/>
  <c r="J177" i="28" s="1" a="1"/>
  <c r="J177" i="28" s="1"/>
  <c r="I178" i="28"/>
  <c r="J178" i="28" s="1" a="1"/>
  <c r="J178" i="28" s="1"/>
  <c r="I179" i="28"/>
  <c r="J179" i="28" s="1" a="1"/>
  <c r="J179" i="28" s="1"/>
  <c r="I180" i="28"/>
  <c r="J180" i="28" s="1" a="1"/>
  <c r="J180" i="28" s="1"/>
  <c r="I181" i="28"/>
  <c r="J181" i="28" s="1" a="1"/>
  <c r="J181" i="28" s="1"/>
  <c r="I182" i="28"/>
  <c r="J182" i="28" s="1" a="1"/>
  <c r="J182" i="28" s="1"/>
  <c r="I183" i="28"/>
  <c r="J183" i="28" s="1" a="1"/>
  <c r="J183" i="28" s="1"/>
  <c r="I184" i="28"/>
  <c r="J184" i="28" s="1" a="1"/>
  <c r="J184" i="28" s="1"/>
  <c r="I185" i="28"/>
  <c r="J185" i="28" s="1" a="1"/>
  <c r="J185" i="28" s="1"/>
  <c r="I186" i="28"/>
  <c r="J186" i="28" s="1" a="1"/>
  <c r="J186" i="28" s="1"/>
  <c r="I187" i="28"/>
  <c r="J187" i="28" s="1" a="1"/>
  <c r="J187" i="28" s="1"/>
  <c r="I188" i="28"/>
  <c r="J188" i="28" s="1" a="1"/>
  <c r="J188" i="28" s="1"/>
  <c r="I189" i="28"/>
  <c r="J189" i="28" s="1" a="1"/>
  <c r="J189" i="28" s="1"/>
  <c r="I190" i="28"/>
  <c r="J190" i="28" s="1" a="1"/>
  <c r="J190" i="28" s="1"/>
  <c r="I191" i="28"/>
  <c r="J191" i="28" s="1" a="1"/>
  <c r="J191" i="28" s="1"/>
  <c r="I192" i="28"/>
  <c r="J192" i="28" s="1" a="1"/>
  <c r="J192" i="28" s="1"/>
  <c r="I193" i="28"/>
  <c r="J193" i="28" s="1" a="1"/>
  <c r="J193" i="28" s="1"/>
  <c r="I194" i="28"/>
  <c r="J194" i="28" s="1" a="1"/>
  <c r="J194" i="28" s="1"/>
  <c r="I195" i="28"/>
  <c r="J195" i="28" s="1" a="1"/>
  <c r="J195" i="28" s="1"/>
  <c r="I196" i="28"/>
  <c r="J196" i="28" s="1" a="1"/>
  <c r="J196" i="28" s="1"/>
  <c r="I197" i="28"/>
  <c r="J197" i="28" s="1" a="1"/>
  <c r="J197" i="28" s="1"/>
  <c r="I198" i="28"/>
  <c r="J198" i="28" s="1" a="1"/>
  <c r="J198" i="28" s="1"/>
  <c r="I199" i="28"/>
  <c r="J199" i="28" s="1" a="1"/>
  <c r="J199" i="28" s="1"/>
  <c r="I200" i="28"/>
  <c r="J200" i="28" s="1" a="1"/>
  <c r="J200" i="28" s="1"/>
  <c r="I201" i="28"/>
  <c r="J201" i="28" s="1" a="1"/>
  <c r="J201" i="28" s="1"/>
  <c r="I202" i="28"/>
  <c r="J202" i="28" s="1" a="1"/>
  <c r="J202" i="28" s="1"/>
  <c r="I203" i="28"/>
  <c r="J203" i="28" s="1" a="1"/>
  <c r="J203" i="28" s="1"/>
  <c r="I204" i="28"/>
  <c r="J204" i="28" s="1" a="1"/>
  <c r="J204" i="28" s="1"/>
  <c r="I205" i="28"/>
  <c r="J205" i="28" s="1" a="1"/>
  <c r="J205" i="28" s="1"/>
  <c r="I206" i="28"/>
  <c r="J206" i="28" s="1" a="1"/>
  <c r="J206" i="28" s="1"/>
  <c r="I207" i="28"/>
  <c r="J207" i="28" s="1" a="1"/>
  <c r="J207" i="28" s="1"/>
  <c r="I208" i="28"/>
  <c r="J208" i="28" s="1" a="1"/>
  <c r="J208" i="28" s="1"/>
  <c r="I209" i="28"/>
  <c r="J209" i="28" s="1" a="1"/>
  <c r="J209" i="28" s="1"/>
  <c r="I210" i="28"/>
  <c r="J210" i="28" s="1" a="1"/>
  <c r="J210" i="28" s="1"/>
  <c r="I211" i="28"/>
  <c r="J211" i="28" s="1" a="1"/>
  <c r="J211" i="28" s="1"/>
  <c r="I212" i="28"/>
  <c r="J212" i="28" s="1" a="1"/>
  <c r="J212" i="28" s="1"/>
  <c r="I213" i="28"/>
  <c r="J213" i="28" s="1" a="1"/>
  <c r="J213" i="28" s="1"/>
  <c r="I214" i="28"/>
  <c r="J214" i="28" s="1" a="1"/>
  <c r="J214" i="28" s="1"/>
  <c r="I215" i="28"/>
  <c r="J215" i="28" s="1" a="1"/>
  <c r="J215" i="28" s="1"/>
  <c r="I216" i="28"/>
  <c r="J216" i="28" s="1" a="1"/>
  <c r="J216" i="28" s="1"/>
  <c r="I217" i="28"/>
  <c r="J217" i="28" s="1" a="1"/>
  <c r="J217" i="28" s="1"/>
  <c r="I218" i="28"/>
  <c r="J218" i="28" s="1" a="1"/>
  <c r="J218" i="28" s="1"/>
  <c r="I219" i="28"/>
  <c r="J219" i="28" s="1" a="1"/>
  <c r="J219" i="28" s="1"/>
  <c r="I220" i="28"/>
  <c r="J220" i="28" s="1" a="1"/>
  <c r="J220" i="28" s="1"/>
  <c r="I221" i="28"/>
  <c r="J221" i="28" s="1" a="1"/>
  <c r="J221" i="28" s="1"/>
  <c r="I222" i="28"/>
  <c r="J222" i="28" s="1" a="1"/>
  <c r="J222" i="28" s="1"/>
  <c r="I223" i="28"/>
  <c r="J223" i="28" s="1" a="1"/>
  <c r="J223" i="28" s="1"/>
  <c r="I224" i="28"/>
  <c r="J224" i="28" s="1" a="1"/>
  <c r="J224" i="28" s="1"/>
  <c r="I225" i="28"/>
  <c r="J225" i="28" s="1" a="1"/>
  <c r="J225" i="28" s="1"/>
  <c r="I226" i="28"/>
  <c r="J226" i="28" s="1" a="1"/>
  <c r="J226" i="28" s="1"/>
  <c r="I227" i="28"/>
  <c r="J227" i="28" s="1" a="1"/>
  <c r="J227" i="28" s="1"/>
  <c r="I228" i="28"/>
  <c r="J228" i="28" s="1" a="1"/>
  <c r="J228" i="28" s="1"/>
  <c r="I229" i="28"/>
  <c r="J229" i="28" s="1" a="1"/>
  <c r="J229" i="28" s="1"/>
  <c r="I230" i="28"/>
  <c r="J230" i="28" s="1" a="1"/>
  <c r="J230" i="28" s="1"/>
  <c r="I231" i="28"/>
  <c r="J231" i="28" s="1" a="1"/>
  <c r="J231" i="28" s="1"/>
  <c r="I232" i="28"/>
  <c r="J232" i="28" s="1" a="1"/>
  <c r="J232" i="28" s="1"/>
  <c r="I233" i="28"/>
  <c r="J233" i="28" s="1" a="1"/>
  <c r="J233" i="28" s="1"/>
  <c r="I234" i="28"/>
  <c r="J234" i="28" s="1" a="1"/>
  <c r="J234" i="28" s="1"/>
  <c r="I235" i="28"/>
  <c r="J235" i="28" s="1" a="1"/>
  <c r="J235" i="28" s="1"/>
  <c r="I236" i="28"/>
  <c r="J236" i="28" s="1" a="1"/>
  <c r="J236" i="28" s="1"/>
  <c r="I237" i="28"/>
  <c r="J237" i="28" s="1" a="1"/>
  <c r="J237" i="28" s="1"/>
  <c r="I238" i="28"/>
  <c r="J238" i="28" s="1" a="1"/>
  <c r="J238" i="28" s="1"/>
  <c r="I239" i="28"/>
  <c r="J239" i="28" s="1" a="1"/>
  <c r="J239" i="28" s="1"/>
  <c r="I240" i="28"/>
  <c r="J240" i="28" s="1" a="1"/>
  <c r="J240" i="28" s="1"/>
  <c r="I241" i="28"/>
  <c r="J241" i="28" s="1" a="1"/>
  <c r="J241" i="28" s="1"/>
  <c r="I242" i="28"/>
  <c r="J242" i="28" s="1" a="1"/>
  <c r="J242" i="28" s="1"/>
  <c r="I243" i="28"/>
  <c r="J243" i="28" s="1" a="1"/>
  <c r="J243" i="28" s="1"/>
  <c r="I244" i="28"/>
  <c r="J244" i="28" s="1" a="1"/>
  <c r="J244" i="28" s="1"/>
  <c r="I245" i="28"/>
  <c r="J245" i="28" s="1" a="1"/>
  <c r="J245" i="28" s="1"/>
  <c r="I246" i="28"/>
  <c r="J246" i="28" s="1" a="1"/>
  <c r="J246" i="28" s="1"/>
  <c r="I247" i="28"/>
  <c r="J247" i="28" s="1" a="1"/>
  <c r="J247" i="28" s="1"/>
  <c r="I248" i="28"/>
  <c r="J248" i="28" s="1" a="1"/>
  <c r="J248" i="28" s="1"/>
  <c r="I249" i="28"/>
  <c r="J249" i="28" s="1" a="1"/>
  <c r="J249" i="28" s="1"/>
  <c r="I250" i="28"/>
  <c r="J250" i="28" s="1" a="1"/>
  <c r="J250" i="28" s="1"/>
  <c r="I251" i="28"/>
  <c r="J251" i="28" s="1" a="1"/>
  <c r="J251" i="28" s="1"/>
  <c r="I252" i="28"/>
  <c r="J252" i="28" s="1" a="1"/>
  <c r="J252" i="28" s="1"/>
  <c r="I253" i="28"/>
  <c r="J253" i="28" s="1" a="1"/>
  <c r="J253" i="28" s="1"/>
  <c r="I254" i="28"/>
  <c r="J254" i="28" s="1" a="1"/>
  <c r="J254" i="28" s="1"/>
  <c r="I255" i="28"/>
  <c r="J255" i="28" s="1" a="1"/>
  <c r="J255" i="28" s="1"/>
  <c r="I256" i="28"/>
  <c r="J256" i="28" s="1" a="1"/>
  <c r="J256" i="28" s="1"/>
  <c r="I257" i="28"/>
  <c r="J257" i="28" s="1" a="1"/>
  <c r="J257" i="28" s="1"/>
  <c r="I258" i="28"/>
  <c r="J258" i="28" s="1" a="1"/>
  <c r="J258" i="28" s="1"/>
  <c r="I259" i="28"/>
  <c r="J259" i="28" s="1" a="1"/>
  <c r="J259" i="28" s="1"/>
  <c r="I260" i="28"/>
  <c r="J260" i="28" s="1" a="1"/>
  <c r="J260" i="28" s="1"/>
  <c r="I261" i="28"/>
  <c r="J261" i="28" s="1" a="1"/>
  <c r="J261" i="28" s="1"/>
  <c r="I262" i="28"/>
  <c r="J262" i="28" s="1" a="1"/>
  <c r="J262" i="28" s="1"/>
  <c r="I263" i="28"/>
  <c r="J263" i="28" s="1" a="1"/>
  <c r="J263" i="28" s="1"/>
  <c r="I264" i="28"/>
  <c r="J264" i="28" s="1" a="1"/>
  <c r="J264" i="28" s="1"/>
  <c r="I265" i="28"/>
  <c r="J265" i="28" s="1" a="1"/>
  <c r="J265" i="28" s="1"/>
  <c r="I266" i="28"/>
  <c r="J266" i="28" s="1" a="1"/>
  <c r="J266" i="28" s="1"/>
  <c r="I267" i="28"/>
  <c r="J267" i="28" s="1" a="1"/>
  <c r="J267" i="28" s="1"/>
  <c r="I268" i="28"/>
  <c r="J268" i="28" s="1" a="1"/>
  <c r="J268" i="28" s="1"/>
  <c r="I269" i="28"/>
  <c r="J269" i="28" s="1" a="1"/>
  <c r="J269" i="28" s="1"/>
  <c r="I270" i="28"/>
  <c r="J270" i="28" s="1" a="1"/>
  <c r="J270" i="28" s="1"/>
  <c r="I271" i="28"/>
  <c r="J271" i="28" s="1" a="1"/>
  <c r="J271" i="28" s="1"/>
  <c r="I272" i="28"/>
  <c r="J272" i="28" s="1" a="1"/>
  <c r="J272" i="28" s="1"/>
  <c r="I273" i="28"/>
  <c r="J273" i="28" s="1" a="1"/>
  <c r="J273" i="28" s="1"/>
  <c r="I274" i="28"/>
  <c r="J274" i="28" s="1" a="1"/>
  <c r="J274" i="28" s="1"/>
  <c r="I275" i="28"/>
  <c r="J275" i="28" s="1" a="1"/>
  <c r="J275" i="28" s="1"/>
  <c r="I276" i="28"/>
  <c r="J276" i="28" s="1" a="1"/>
  <c r="J276" i="28" s="1"/>
  <c r="I277" i="28"/>
  <c r="J277" i="28" s="1" a="1"/>
  <c r="J277" i="28" s="1"/>
  <c r="I278" i="28"/>
  <c r="J278" i="28" s="1" a="1"/>
  <c r="J278" i="28" s="1"/>
  <c r="I279" i="28"/>
  <c r="J279" i="28" s="1" a="1"/>
  <c r="J279" i="28" s="1"/>
  <c r="I280" i="28"/>
  <c r="J280" i="28" s="1" a="1"/>
  <c r="J280" i="28" s="1"/>
  <c r="I281" i="28"/>
  <c r="J281" i="28" s="1" a="1"/>
  <c r="J281" i="28" s="1"/>
  <c r="I282" i="28"/>
  <c r="J282" i="28" s="1" a="1"/>
  <c r="J282" i="28" s="1"/>
  <c r="I283" i="28"/>
  <c r="J283" i="28" s="1" a="1"/>
  <c r="J283" i="28" s="1"/>
  <c r="I284" i="28"/>
  <c r="J284" i="28" s="1" a="1"/>
  <c r="J284" i="28" s="1"/>
  <c r="I285" i="28"/>
  <c r="J285" i="28" s="1" a="1"/>
  <c r="J285" i="28" s="1"/>
  <c r="I286" i="28"/>
  <c r="J286" i="28" s="1" a="1"/>
  <c r="J286" i="28" s="1"/>
  <c r="I287" i="28"/>
  <c r="J287" i="28" s="1" a="1"/>
  <c r="J287" i="28" s="1"/>
  <c r="I288" i="28"/>
  <c r="J288" i="28" s="1" a="1"/>
  <c r="J288" i="28" s="1"/>
  <c r="I289" i="28"/>
  <c r="J289" i="28" s="1" a="1"/>
  <c r="J289" i="28" s="1"/>
  <c r="I290" i="28"/>
  <c r="J290" i="28" s="1" a="1"/>
  <c r="J290" i="28" s="1"/>
  <c r="I291" i="28"/>
  <c r="J291" i="28" s="1" a="1"/>
  <c r="J291" i="28" s="1"/>
  <c r="I292" i="28"/>
  <c r="J292" i="28" s="1" a="1"/>
  <c r="J292" i="28" s="1"/>
  <c r="I293" i="28"/>
  <c r="J293" i="28" s="1" a="1"/>
  <c r="J293" i="28" s="1"/>
  <c r="I294" i="28"/>
  <c r="J294" i="28" s="1" a="1"/>
  <c r="J294" i="28" s="1"/>
  <c r="I295" i="28"/>
  <c r="J295" i="28" s="1" a="1"/>
  <c r="J295" i="28" s="1"/>
  <c r="I296" i="28"/>
  <c r="J296" i="28" s="1" a="1"/>
  <c r="J296" i="28" s="1"/>
  <c r="I297" i="28"/>
  <c r="J297" i="28" s="1" a="1"/>
  <c r="J297" i="28" s="1"/>
  <c r="I298" i="28"/>
  <c r="J298" i="28" s="1" a="1"/>
  <c r="J298" i="28" s="1"/>
  <c r="I299" i="28"/>
  <c r="J299" i="28" s="1" a="1"/>
  <c r="J299" i="28" s="1"/>
  <c r="I300" i="28"/>
  <c r="J300" i="28" s="1" a="1"/>
  <c r="J300" i="28" s="1"/>
  <c r="I301" i="28"/>
  <c r="J301" i="28" s="1" a="1"/>
  <c r="J301" i="28" s="1"/>
  <c r="I302" i="28"/>
  <c r="J302" i="28" s="1" a="1"/>
  <c r="J302" i="28" s="1"/>
  <c r="I303" i="28"/>
  <c r="J303" i="28" s="1" a="1"/>
  <c r="J303" i="28" s="1"/>
  <c r="I304" i="28"/>
  <c r="J304" i="28" s="1" a="1"/>
  <c r="J304" i="28" s="1"/>
  <c r="I305" i="28"/>
  <c r="J305" i="28" s="1" a="1"/>
  <c r="J305" i="28" s="1"/>
  <c r="I306" i="28"/>
  <c r="J306" i="28" s="1" a="1"/>
  <c r="J306" i="28" s="1"/>
  <c r="I307" i="28"/>
  <c r="J307" i="28" s="1" a="1"/>
  <c r="J307" i="28" s="1"/>
  <c r="I308" i="28"/>
  <c r="J308" i="28" s="1" a="1"/>
  <c r="J308" i="28" s="1"/>
  <c r="I309" i="28"/>
  <c r="J309" i="28" s="1" a="1"/>
  <c r="J309" i="28" s="1"/>
  <c r="I310" i="28"/>
  <c r="J310" i="28" s="1" a="1"/>
  <c r="J310" i="28" s="1"/>
  <c r="I311" i="28"/>
  <c r="J311" i="28" s="1" a="1"/>
  <c r="J311" i="28" s="1"/>
  <c r="I312" i="28"/>
  <c r="J312" i="28" s="1" a="1"/>
  <c r="J312" i="28" s="1"/>
  <c r="I313" i="28"/>
  <c r="J313" i="28" s="1" a="1"/>
  <c r="J313" i="28" s="1"/>
  <c r="I314" i="28"/>
  <c r="J314" i="28" s="1" a="1"/>
  <c r="J314" i="28" s="1"/>
  <c r="I315" i="28"/>
  <c r="J315" i="28" s="1" a="1"/>
  <c r="J315" i="28" s="1"/>
  <c r="I316" i="28"/>
  <c r="J316" i="28" s="1" a="1"/>
  <c r="J316" i="28" s="1"/>
  <c r="I317" i="28"/>
  <c r="J317" i="28" s="1" a="1"/>
  <c r="J317" i="28" s="1"/>
  <c r="I318" i="28"/>
  <c r="J318" i="28" s="1" a="1"/>
  <c r="J318" i="28" s="1"/>
  <c r="I319" i="28"/>
  <c r="J319" i="28" s="1" a="1"/>
  <c r="J319" i="28" s="1"/>
  <c r="I320" i="28"/>
  <c r="J320" i="28" s="1" a="1"/>
  <c r="J320" i="28" s="1"/>
  <c r="I321" i="28"/>
  <c r="J321" i="28" s="1" a="1"/>
  <c r="J321" i="28" s="1"/>
  <c r="I322" i="28"/>
  <c r="J322" i="28" s="1" a="1"/>
  <c r="J322" i="28" s="1"/>
  <c r="I323" i="28"/>
  <c r="J323" i="28" s="1" a="1"/>
  <c r="J323" i="28" s="1"/>
  <c r="I324" i="28"/>
  <c r="J324" i="28" s="1" a="1"/>
  <c r="J324" i="28" s="1"/>
  <c r="I325" i="28"/>
  <c r="J325" i="28" s="1" a="1"/>
  <c r="J325" i="28" s="1"/>
  <c r="I326" i="28"/>
  <c r="J326" i="28" s="1" a="1"/>
  <c r="J326" i="28" s="1"/>
  <c r="I327" i="28"/>
  <c r="J327" i="28" s="1" a="1"/>
  <c r="J327" i="28" s="1"/>
  <c r="I328" i="28"/>
  <c r="J328" i="28" s="1" a="1"/>
  <c r="J328" i="28" s="1"/>
  <c r="I329" i="28"/>
  <c r="J329" i="28" s="1" a="1"/>
  <c r="J329" i="28" s="1"/>
  <c r="I330" i="28"/>
  <c r="J330" i="28" s="1" a="1"/>
  <c r="J330" i="28" s="1"/>
  <c r="I331" i="28"/>
  <c r="J331" i="28" s="1" a="1"/>
  <c r="J331" i="28" s="1"/>
  <c r="I332" i="28"/>
  <c r="J332" i="28" s="1" a="1"/>
  <c r="J332" i="28" s="1"/>
  <c r="I333" i="28"/>
  <c r="J333" i="28" s="1" a="1"/>
  <c r="J333" i="28" s="1"/>
  <c r="I334" i="28"/>
  <c r="J334" i="28" s="1" a="1"/>
  <c r="J334" i="28" s="1"/>
  <c r="I335" i="28"/>
  <c r="J335" i="28" s="1" a="1"/>
  <c r="J335" i="28" s="1"/>
  <c r="I336" i="28"/>
  <c r="J336" i="28" s="1" a="1"/>
  <c r="J336" i="28" s="1"/>
  <c r="I337" i="28"/>
  <c r="J337" i="28" s="1" a="1"/>
  <c r="J337" i="28" s="1"/>
  <c r="I338" i="28"/>
  <c r="J338" i="28" s="1" a="1"/>
  <c r="J338" i="28" s="1"/>
  <c r="I339" i="28"/>
  <c r="J339" i="28" s="1" a="1"/>
  <c r="J339" i="28" s="1"/>
  <c r="I340" i="28"/>
  <c r="J340" i="28" s="1" a="1"/>
  <c r="J340" i="28" s="1"/>
  <c r="I341" i="28"/>
  <c r="J341" i="28" s="1" a="1"/>
  <c r="J341" i="28" s="1"/>
  <c r="I342" i="28"/>
  <c r="J342" i="28" s="1" a="1"/>
  <c r="J342" i="28" s="1"/>
  <c r="I343" i="28"/>
  <c r="J343" i="28" s="1" a="1"/>
  <c r="J343" i="28" s="1"/>
  <c r="I344" i="28"/>
  <c r="J344" i="28" s="1" a="1"/>
  <c r="J344" i="28" s="1"/>
  <c r="I345" i="28"/>
  <c r="J345" i="28" s="1" a="1"/>
  <c r="J345" i="28" s="1"/>
  <c r="I346" i="28"/>
  <c r="J346" i="28" s="1" a="1"/>
  <c r="J346" i="28" s="1"/>
  <c r="I347" i="28"/>
  <c r="J347" i="28" s="1" a="1"/>
  <c r="J347" i="28" s="1"/>
  <c r="I348" i="28"/>
  <c r="J348" i="28" s="1" a="1"/>
  <c r="J348" i="28" s="1"/>
  <c r="I349" i="28"/>
  <c r="J349" i="28" s="1" a="1"/>
  <c r="J349" i="28" s="1"/>
  <c r="I350" i="28"/>
  <c r="J350" i="28" s="1" a="1"/>
  <c r="J350" i="28" s="1"/>
  <c r="I351" i="28"/>
  <c r="J351" i="28" s="1" a="1"/>
  <c r="J351" i="28" s="1"/>
  <c r="I352" i="28"/>
  <c r="J352" i="28" s="1" a="1"/>
  <c r="J352" i="28" s="1"/>
  <c r="I353" i="28"/>
  <c r="J353" i="28" s="1" a="1"/>
  <c r="J353" i="28" s="1"/>
  <c r="I354" i="28"/>
  <c r="J354" i="28" s="1" a="1"/>
  <c r="J354" i="28" s="1"/>
  <c r="I355" i="28"/>
  <c r="J355" i="28" s="1" a="1"/>
  <c r="J355" i="28" s="1"/>
  <c r="I356" i="28"/>
  <c r="J356" i="28" s="1" a="1"/>
  <c r="J356" i="28" s="1"/>
  <c r="I357" i="28"/>
  <c r="J357" i="28" s="1" a="1"/>
  <c r="J357" i="28" s="1"/>
  <c r="I358" i="28"/>
  <c r="J358" i="28" s="1" a="1"/>
  <c r="J358" i="28" s="1"/>
  <c r="I359" i="28"/>
  <c r="J359" i="28" s="1" a="1"/>
  <c r="J359" i="28" s="1"/>
  <c r="I360" i="28"/>
  <c r="J360" i="28" s="1" a="1"/>
  <c r="J360" i="28" s="1"/>
  <c r="I361" i="28"/>
  <c r="J361" i="28" s="1" a="1"/>
  <c r="J361" i="28" s="1"/>
  <c r="I362" i="28"/>
  <c r="J362" i="28" s="1" a="1"/>
  <c r="J362" i="28" s="1"/>
  <c r="I363" i="28"/>
  <c r="J363" i="28" s="1" a="1"/>
  <c r="J363" i="28" s="1"/>
  <c r="I364" i="28"/>
  <c r="J364" i="28" s="1" a="1"/>
  <c r="J364" i="28" s="1"/>
  <c r="I365" i="28"/>
  <c r="J365" i="28" s="1" a="1"/>
  <c r="J365" i="28" s="1"/>
  <c r="I366" i="28"/>
  <c r="J366" i="28" s="1" a="1"/>
  <c r="J366" i="28" s="1"/>
  <c r="I367" i="28"/>
  <c r="J367" i="28" s="1" a="1"/>
  <c r="J367" i="28" s="1"/>
  <c r="I368" i="28"/>
  <c r="J368" i="28" s="1" a="1"/>
  <c r="J368" i="28" s="1"/>
  <c r="I369" i="28"/>
  <c r="J369" i="28" s="1" a="1"/>
  <c r="J369" i="28" s="1"/>
  <c r="I370" i="28"/>
  <c r="J370" i="28" s="1" a="1"/>
  <c r="J370" i="28" s="1"/>
  <c r="I371" i="28"/>
  <c r="J371" i="28" s="1" a="1"/>
  <c r="J371" i="28" s="1"/>
  <c r="I372" i="28"/>
  <c r="J372" i="28" s="1" a="1"/>
  <c r="J372" i="28" s="1"/>
  <c r="I373" i="28"/>
  <c r="J373" i="28" s="1" a="1"/>
  <c r="J373" i="28" s="1"/>
  <c r="I374" i="28"/>
  <c r="J374" i="28" s="1" a="1"/>
  <c r="J374" i="28" s="1"/>
  <c r="I375" i="28"/>
  <c r="J375" i="28" s="1" a="1"/>
  <c r="J375" i="28" s="1"/>
  <c r="I376" i="28"/>
  <c r="J376" i="28" s="1" a="1"/>
  <c r="J376" i="28" s="1"/>
  <c r="I377" i="28"/>
  <c r="J377" i="28" s="1" a="1"/>
  <c r="J377" i="28" s="1"/>
  <c r="I378" i="28"/>
  <c r="J378" i="28" s="1" a="1"/>
  <c r="J378" i="28" s="1"/>
  <c r="I379" i="28"/>
  <c r="J379" i="28" s="1" a="1"/>
  <c r="J379" i="28" s="1"/>
  <c r="I380" i="28"/>
  <c r="J380" i="28" s="1" a="1"/>
  <c r="J380" i="28" s="1"/>
  <c r="I381" i="28"/>
  <c r="J381" i="28" s="1" a="1"/>
  <c r="J381" i="28" s="1"/>
  <c r="I382" i="28"/>
  <c r="J382" i="28" s="1" a="1"/>
  <c r="J382" i="28" s="1"/>
  <c r="I383" i="28"/>
  <c r="J383" i="28" s="1" a="1"/>
  <c r="J383" i="28" s="1"/>
  <c r="I384" i="28"/>
  <c r="J384" i="28" s="1" a="1"/>
  <c r="J384" i="28" s="1"/>
  <c r="I385" i="28"/>
  <c r="J385" i="28" s="1" a="1"/>
  <c r="J385" i="28" s="1"/>
  <c r="I386" i="28"/>
  <c r="J386" i="28" s="1" a="1"/>
  <c r="J386" i="28" s="1"/>
  <c r="I387" i="28"/>
  <c r="J387" i="28" s="1" a="1"/>
  <c r="J387" i="28" s="1"/>
  <c r="I388" i="28"/>
  <c r="J388" i="28" s="1" a="1"/>
  <c r="J388" i="28" s="1"/>
  <c r="I389" i="28"/>
  <c r="J389" i="28" s="1" a="1"/>
  <c r="J389" i="28" s="1"/>
  <c r="I390" i="28"/>
  <c r="J390" i="28" s="1" a="1"/>
  <c r="J390" i="28" s="1"/>
  <c r="I391" i="28"/>
  <c r="J391" i="28" s="1" a="1"/>
  <c r="J391" i="28" s="1"/>
  <c r="I392" i="28"/>
  <c r="J392" i="28" s="1" a="1"/>
  <c r="J392" i="28" s="1"/>
  <c r="I393" i="28"/>
  <c r="J393" i="28" s="1" a="1"/>
  <c r="J393" i="28" s="1"/>
  <c r="I394" i="28"/>
  <c r="J394" i="28" s="1" a="1"/>
  <c r="J394" i="28" s="1"/>
  <c r="I395" i="28"/>
  <c r="J395" i="28" s="1" a="1"/>
  <c r="J395" i="28" s="1"/>
  <c r="I396" i="28"/>
  <c r="J396" i="28" s="1" a="1"/>
  <c r="J396" i="28" s="1"/>
  <c r="I397" i="28"/>
  <c r="J397" i="28" s="1" a="1"/>
  <c r="J397" i="28" s="1"/>
  <c r="I398" i="28"/>
  <c r="J398" i="28" s="1" a="1"/>
  <c r="J398" i="28" s="1"/>
  <c r="I399" i="28"/>
  <c r="J399" i="28" s="1" a="1"/>
  <c r="J399" i="28" s="1"/>
  <c r="I400" i="28"/>
  <c r="J400" i="28" s="1" a="1"/>
  <c r="J400" i="28" s="1"/>
  <c r="I401" i="28"/>
  <c r="J401" i="28" s="1" a="1"/>
  <c r="J401" i="28" s="1"/>
  <c r="I402" i="28"/>
  <c r="J402" i="28" s="1" a="1"/>
  <c r="J402" i="28" s="1"/>
  <c r="I403" i="28"/>
  <c r="J403" i="28" s="1" a="1"/>
  <c r="J403" i="28" s="1"/>
  <c r="I404" i="28"/>
  <c r="J404" i="28" s="1" a="1"/>
  <c r="J404" i="28" s="1"/>
  <c r="I405" i="28"/>
  <c r="J405" i="28" s="1" a="1"/>
  <c r="J405" i="28" s="1"/>
  <c r="I406" i="28"/>
  <c r="J406" i="28" s="1" a="1"/>
  <c r="J406" i="28" s="1"/>
  <c r="I407" i="28"/>
  <c r="J407" i="28" s="1" a="1"/>
  <c r="J407" i="28" s="1"/>
  <c r="I408" i="28"/>
  <c r="J408" i="28" s="1" a="1"/>
  <c r="J408" i="28" s="1"/>
  <c r="I409" i="28"/>
  <c r="J409" i="28" s="1" a="1"/>
  <c r="J409" i="28" s="1"/>
  <c r="I410" i="28"/>
  <c r="J410" i="28" s="1" a="1"/>
  <c r="J410" i="28" s="1"/>
  <c r="I411" i="28"/>
  <c r="J411" i="28" s="1" a="1"/>
  <c r="J411" i="28" s="1"/>
  <c r="I412" i="28"/>
  <c r="J412" i="28" s="1" a="1"/>
  <c r="J412" i="28" s="1"/>
  <c r="I413" i="28"/>
  <c r="J413" i="28" s="1" a="1"/>
  <c r="J413" i="28" s="1"/>
  <c r="I414" i="28"/>
  <c r="J414" i="28" s="1" a="1"/>
  <c r="J414" i="28" s="1"/>
  <c r="I415" i="28"/>
  <c r="J415" i="28" s="1" a="1"/>
  <c r="J415" i="28" s="1"/>
  <c r="I416" i="28"/>
  <c r="J416" i="28" s="1" a="1"/>
  <c r="J416" i="28" s="1"/>
  <c r="I417" i="28"/>
  <c r="J417" i="28" s="1" a="1"/>
  <c r="J417" i="28" s="1"/>
  <c r="I418" i="28"/>
  <c r="J418" i="28" s="1" a="1"/>
  <c r="J418" i="28" s="1"/>
  <c r="I419" i="28"/>
  <c r="J419" i="28" s="1" a="1"/>
  <c r="J419" i="28" s="1"/>
  <c r="I420" i="28"/>
  <c r="J420" i="28" s="1" a="1"/>
  <c r="J420" i="28" s="1"/>
  <c r="I421" i="28"/>
  <c r="J421" i="28" s="1" a="1"/>
  <c r="J421" i="28" s="1"/>
  <c r="I422" i="28"/>
  <c r="J422" i="28" s="1" a="1"/>
  <c r="J422" i="28" s="1"/>
  <c r="I423" i="28"/>
  <c r="J423" i="28" s="1" a="1"/>
  <c r="J423" i="28" s="1"/>
  <c r="I424" i="28"/>
  <c r="J424" i="28" s="1" a="1"/>
  <c r="J424" i="28" s="1"/>
  <c r="I425" i="28"/>
  <c r="J425" i="28" s="1" a="1"/>
  <c r="J425" i="28" s="1"/>
  <c r="I426" i="28"/>
  <c r="J426" i="28" s="1" a="1"/>
  <c r="J426" i="28" s="1"/>
  <c r="I427" i="28"/>
  <c r="J427" i="28" s="1" a="1"/>
  <c r="J427" i="28" s="1"/>
  <c r="I428" i="28"/>
  <c r="J428" i="28" s="1" a="1"/>
  <c r="J428" i="28" s="1"/>
  <c r="I429" i="28"/>
  <c r="J429" i="28" s="1" a="1"/>
  <c r="J429" i="28" s="1"/>
  <c r="I430" i="28"/>
  <c r="J430" i="28" s="1" a="1"/>
  <c r="J430" i="28" s="1"/>
  <c r="I431" i="28"/>
  <c r="J431" i="28" s="1" a="1"/>
  <c r="J431" i="28" s="1"/>
  <c r="I432" i="28"/>
  <c r="J432" i="28" s="1" a="1"/>
  <c r="J432" i="28" s="1"/>
  <c r="I433" i="28"/>
  <c r="J433" i="28" s="1" a="1"/>
  <c r="J433" i="28" s="1"/>
  <c r="I434" i="28"/>
  <c r="J434" i="28" s="1" a="1"/>
  <c r="J434" i="28" s="1"/>
  <c r="I435" i="28"/>
  <c r="J435" i="28" s="1" a="1"/>
  <c r="J435" i="28" s="1"/>
  <c r="I436" i="28"/>
  <c r="J436" i="28" s="1" a="1"/>
  <c r="J436" i="28" s="1"/>
  <c r="I437" i="28"/>
  <c r="J437" i="28" s="1" a="1"/>
  <c r="J437" i="28" s="1"/>
  <c r="I438" i="28"/>
  <c r="J438" i="28" s="1" a="1"/>
  <c r="J438" i="28" s="1"/>
  <c r="I439" i="28"/>
  <c r="J439" i="28" s="1" a="1"/>
  <c r="J439" i="28" s="1"/>
  <c r="I440" i="28"/>
  <c r="J440" i="28" s="1" a="1"/>
  <c r="J440" i="28" s="1"/>
  <c r="I441" i="28"/>
  <c r="J441" i="28" s="1" a="1"/>
  <c r="J441" i="28" s="1"/>
  <c r="I442" i="28"/>
  <c r="J442" i="28" s="1" a="1"/>
  <c r="J442" i="28" s="1"/>
  <c r="I443" i="28"/>
  <c r="J443" i="28" s="1" a="1"/>
  <c r="J443" i="28" s="1"/>
  <c r="I444" i="28"/>
  <c r="J444" i="28" s="1" a="1"/>
  <c r="J444" i="28" s="1"/>
  <c r="I445" i="28"/>
  <c r="J445" i="28" s="1" a="1"/>
  <c r="J445" i="28" s="1"/>
  <c r="I446" i="28"/>
  <c r="J446" i="28" s="1" a="1"/>
  <c r="J446" i="28" s="1"/>
  <c r="I447" i="28"/>
  <c r="J447" i="28" s="1" a="1"/>
  <c r="J447" i="28" s="1"/>
  <c r="I448" i="28"/>
  <c r="J448" i="28" s="1" a="1"/>
  <c r="J448" i="28" s="1"/>
  <c r="I449" i="28"/>
  <c r="J449" i="28" s="1" a="1"/>
  <c r="J449" i="28" s="1"/>
  <c r="I450" i="28"/>
  <c r="J450" i="28" s="1" a="1"/>
  <c r="J450" i="28" s="1"/>
  <c r="I451" i="28"/>
  <c r="J451" i="28" s="1" a="1"/>
  <c r="J451" i="28" s="1"/>
  <c r="I452" i="28"/>
  <c r="J452" i="28" s="1" a="1"/>
  <c r="J452" i="28" s="1"/>
  <c r="I453" i="28"/>
  <c r="J453" i="28" s="1" a="1"/>
  <c r="J453" i="28" s="1"/>
  <c r="I454" i="28"/>
  <c r="J454" i="28" s="1" a="1"/>
  <c r="J454" i="28" s="1"/>
  <c r="I455" i="28"/>
  <c r="J455" i="28" s="1" a="1"/>
  <c r="J455" i="28" s="1"/>
  <c r="I456" i="28"/>
  <c r="J456" i="28" s="1" a="1"/>
  <c r="J456" i="28" s="1"/>
  <c r="I457" i="28"/>
  <c r="J457" i="28" s="1" a="1"/>
  <c r="J457" i="28" s="1"/>
  <c r="I458" i="28"/>
  <c r="J458" i="28" s="1" a="1"/>
  <c r="J458" i="28" s="1"/>
  <c r="I459" i="28"/>
  <c r="J459" i="28" s="1" a="1"/>
  <c r="J459" i="28" s="1"/>
  <c r="I460" i="28"/>
  <c r="J460" i="28" s="1" a="1"/>
  <c r="J460" i="28" s="1"/>
  <c r="I461" i="28"/>
  <c r="J461" i="28" s="1" a="1"/>
  <c r="J461" i="28" s="1"/>
  <c r="I462" i="28"/>
  <c r="J462" i="28" s="1" a="1"/>
  <c r="J462" i="28" s="1"/>
  <c r="I463" i="28"/>
  <c r="J463" i="28" s="1" a="1"/>
  <c r="J463" i="28" s="1"/>
  <c r="I464" i="28"/>
  <c r="J464" i="28" s="1" a="1"/>
  <c r="J464" i="28" s="1"/>
  <c r="I465" i="28"/>
  <c r="J465" i="28" s="1" a="1"/>
  <c r="J465" i="28" s="1"/>
  <c r="I466" i="28"/>
  <c r="J466" i="28" s="1" a="1"/>
  <c r="J466" i="28" s="1"/>
  <c r="I467" i="28"/>
  <c r="J467" i="28" s="1" a="1"/>
  <c r="J467" i="28" s="1"/>
  <c r="I468" i="28"/>
  <c r="J468" i="28" s="1" a="1"/>
  <c r="J468" i="28" s="1"/>
  <c r="I469" i="28"/>
  <c r="J469" i="28" s="1" a="1"/>
  <c r="J469" i="28" s="1"/>
  <c r="I470" i="28"/>
  <c r="J470" i="28" s="1" a="1"/>
  <c r="J470" i="28" s="1"/>
  <c r="I471" i="28"/>
  <c r="J471" i="28" s="1" a="1"/>
  <c r="J471" i="28" s="1"/>
  <c r="I472" i="28"/>
  <c r="J472" i="28" s="1" a="1"/>
  <c r="J472" i="28" s="1"/>
  <c r="I473" i="28"/>
  <c r="J473" i="28" s="1" a="1"/>
  <c r="J473" i="28" s="1"/>
  <c r="I474" i="28"/>
  <c r="J474" i="28" s="1" a="1"/>
  <c r="J474" i="28" s="1"/>
  <c r="I475" i="28"/>
  <c r="J475" i="28" s="1" a="1"/>
  <c r="J475" i="28" s="1"/>
  <c r="I476" i="28"/>
  <c r="J476" i="28" s="1" a="1"/>
  <c r="J476" i="28" s="1"/>
  <c r="I477" i="28"/>
  <c r="J477" i="28" s="1" a="1"/>
  <c r="J477" i="28" s="1"/>
  <c r="I478" i="28"/>
  <c r="J478" i="28" s="1" a="1"/>
  <c r="J478" i="28" s="1"/>
  <c r="I479" i="28"/>
  <c r="J479" i="28" s="1" a="1"/>
  <c r="J479" i="28" s="1"/>
  <c r="I480" i="28"/>
  <c r="J480" i="28" s="1" a="1"/>
  <c r="J480" i="28" s="1"/>
  <c r="I481" i="28"/>
  <c r="J481" i="28" s="1" a="1"/>
  <c r="J481" i="28" s="1"/>
  <c r="I482" i="28"/>
  <c r="J482" i="28" s="1" a="1"/>
  <c r="J482" i="28" s="1"/>
  <c r="I483" i="28"/>
  <c r="J483" i="28" s="1" a="1"/>
  <c r="J483" i="28" s="1"/>
  <c r="I484" i="28"/>
  <c r="J484" i="28" s="1" a="1"/>
  <c r="J484" i="28" s="1"/>
  <c r="I485" i="28"/>
  <c r="J485" i="28" s="1" a="1"/>
  <c r="J485" i="28" s="1"/>
  <c r="I486" i="28"/>
  <c r="J486" i="28" s="1" a="1"/>
  <c r="J486" i="28" s="1"/>
  <c r="I487" i="28"/>
  <c r="J487" i="28" s="1" a="1"/>
  <c r="J487" i="28" s="1"/>
  <c r="I488" i="28"/>
  <c r="J488" i="28" s="1" a="1"/>
  <c r="J488" i="28" s="1"/>
  <c r="I489" i="28"/>
  <c r="J489" i="28" s="1" a="1"/>
  <c r="J489" i="28" s="1"/>
  <c r="I490" i="28"/>
  <c r="J490" i="28" s="1" a="1"/>
  <c r="J490" i="28" s="1"/>
  <c r="I491" i="28"/>
  <c r="J491" i="28" s="1" a="1"/>
  <c r="J491" i="28" s="1"/>
  <c r="I492" i="28"/>
  <c r="J492" i="28" s="1" a="1"/>
  <c r="J492" i="28" s="1"/>
  <c r="I493" i="28"/>
  <c r="J493" i="28" s="1" a="1"/>
  <c r="J493" i="28" s="1"/>
  <c r="I494" i="28"/>
  <c r="J494" i="28" s="1" a="1"/>
  <c r="J494" i="28" s="1"/>
  <c r="I495" i="28"/>
  <c r="J495" i="28" s="1" a="1"/>
  <c r="J495" i="28" s="1"/>
  <c r="I496" i="28"/>
  <c r="J496" i="28" s="1" a="1"/>
  <c r="J496" i="28" s="1"/>
  <c r="I497" i="28"/>
  <c r="J497" i="28" s="1" a="1"/>
  <c r="J497" i="28" s="1"/>
  <c r="I498" i="28"/>
  <c r="J498" i="28" s="1" a="1"/>
  <c r="J498" i="28" s="1"/>
  <c r="I499" i="28"/>
  <c r="J499" i="28" s="1" a="1"/>
  <c r="J499" i="28" s="1"/>
  <c r="I500" i="28"/>
  <c r="J500" i="28" s="1" a="1"/>
  <c r="J500" i="28" s="1"/>
  <c r="I501" i="28"/>
  <c r="J501" i="28" s="1" a="1"/>
  <c r="J501" i="28" s="1"/>
  <c r="I502" i="28"/>
  <c r="J502" i="28" s="1" a="1"/>
  <c r="J502" i="28" s="1"/>
  <c r="I503" i="28"/>
  <c r="J503" i="28" s="1" a="1"/>
  <c r="J503" i="28" s="1"/>
  <c r="I504" i="28"/>
  <c r="J504" i="28" s="1" a="1"/>
  <c r="J504" i="28" s="1"/>
  <c r="I505" i="28"/>
  <c r="J505" i="28" s="1" a="1"/>
  <c r="J505" i="28" s="1"/>
  <c r="I506" i="28"/>
  <c r="J506" i="28" s="1" a="1"/>
  <c r="J506" i="28" s="1"/>
  <c r="I507" i="28"/>
  <c r="J507" i="28" s="1" a="1"/>
  <c r="J507" i="28" s="1"/>
  <c r="I508" i="28"/>
  <c r="J508" i="28" s="1" a="1"/>
  <c r="J508" i="28" s="1"/>
  <c r="I509" i="28"/>
  <c r="J509" i="28" s="1" a="1"/>
  <c r="J509" i="28" s="1"/>
  <c r="I510" i="28"/>
  <c r="J510" i="28" s="1" a="1"/>
  <c r="J510" i="28" s="1"/>
  <c r="I511" i="28"/>
  <c r="J511" i="28" s="1" a="1"/>
  <c r="J511" i="28" s="1"/>
  <c r="I512" i="28"/>
  <c r="J512" i="28" s="1" a="1"/>
  <c r="J512" i="28" s="1"/>
  <c r="I513" i="28"/>
  <c r="J513" i="28" s="1" a="1"/>
  <c r="J513" i="28" s="1"/>
  <c r="I514" i="28"/>
  <c r="J514" i="28" s="1" a="1"/>
  <c r="J514" i="28" s="1"/>
  <c r="I515" i="28"/>
  <c r="J515" i="28" s="1" a="1"/>
  <c r="J515" i="28" s="1"/>
  <c r="I516" i="28"/>
  <c r="J516" i="28" s="1" a="1"/>
  <c r="J516" i="28" s="1"/>
  <c r="I517" i="28"/>
  <c r="J517" i="28" s="1" a="1"/>
  <c r="J517" i="28" s="1"/>
  <c r="I518" i="28"/>
  <c r="J518" i="28" s="1" a="1"/>
  <c r="J518" i="28" s="1"/>
  <c r="I519" i="28"/>
  <c r="J519" i="28" s="1" a="1"/>
  <c r="J519" i="28" s="1"/>
  <c r="I520" i="28"/>
  <c r="J520" i="28" s="1" a="1"/>
  <c r="J520" i="28" s="1"/>
  <c r="I521" i="28"/>
  <c r="J521" i="28" s="1" a="1"/>
  <c r="J521" i="28" s="1"/>
  <c r="I522" i="28"/>
  <c r="J522" i="28" s="1" a="1"/>
  <c r="J522" i="28" s="1"/>
  <c r="I523" i="28"/>
  <c r="J523" i="28" s="1" a="1"/>
  <c r="J523" i="28" s="1"/>
  <c r="I524" i="28"/>
  <c r="J524" i="28" s="1" a="1"/>
  <c r="J524" i="28" s="1"/>
  <c r="I525" i="28"/>
  <c r="J525" i="28" s="1" a="1"/>
  <c r="J525" i="28" s="1"/>
  <c r="I526" i="28"/>
  <c r="J526" i="28" s="1" a="1"/>
  <c r="J526" i="28" s="1"/>
  <c r="I527" i="28"/>
  <c r="J527" i="28" s="1" a="1"/>
  <c r="J527" i="28" s="1"/>
  <c r="I528" i="28"/>
  <c r="J528" i="28" s="1" a="1"/>
  <c r="J528" i="28" s="1"/>
  <c r="I529" i="28"/>
  <c r="J529" i="28" s="1" a="1"/>
  <c r="J529" i="28" s="1"/>
  <c r="I530" i="28"/>
  <c r="J530" i="28" s="1" a="1"/>
  <c r="J530" i="28" s="1"/>
  <c r="I531" i="28"/>
  <c r="J531" i="28" s="1" a="1"/>
  <c r="J531" i="28" s="1"/>
  <c r="I532" i="28"/>
  <c r="J532" i="28" s="1" a="1"/>
  <c r="J532" i="28" s="1"/>
  <c r="I533" i="28"/>
  <c r="J533" i="28" s="1" a="1"/>
  <c r="J533" i="28" s="1"/>
  <c r="I534" i="28"/>
  <c r="J534" i="28" s="1" a="1"/>
  <c r="J534" i="28" s="1"/>
  <c r="I535" i="28"/>
  <c r="J535" i="28" s="1" a="1"/>
  <c r="J535" i="28" s="1"/>
  <c r="I536" i="28"/>
  <c r="J536" i="28" s="1" a="1"/>
  <c r="J536" i="28" s="1"/>
  <c r="I537" i="28"/>
  <c r="J537" i="28" s="1" a="1"/>
  <c r="J537" i="28" s="1"/>
  <c r="I538" i="28"/>
  <c r="J538" i="28" s="1" a="1"/>
  <c r="J538" i="28" s="1"/>
  <c r="I539" i="28"/>
  <c r="J539" i="28" s="1" a="1"/>
  <c r="J539" i="28" s="1"/>
  <c r="I540" i="28"/>
  <c r="J540" i="28" s="1" a="1"/>
  <c r="J540" i="28" s="1"/>
  <c r="I541" i="28"/>
  <c r="J541" i="28" s="1" a="1"/>
  <c r="J541" i="28" s="1"/>
  <c r="I542" i="28"/>
  <c r="J542" i="28" s="1" a="1"/>
  <c r="J542" i="28" s="1"/>
  <c r="I543" i="28"/>
  <c r="J543" i="28" s="1" a="1"/>
  <c r="J543" i="28" s="1"/>
  <c r="I544" i="28"/>
  <c r="J544" i="28" s="1" a="1"/>
  <c r="J544" i="28" s="1"/>
  <c r="I545" i="28"/>
  <c r="J545" i="28" s="1" a="1"/>
  <c r="J545" i="28" s="1"/>
  <c r="I546" i="28"/>
  <c r="J546" i="28" s="1" a="1"/>
  <c r="J546" i="28" s="1"/>
  <c r="I547" i="28"/>
  <c r="J547" i="28" s="1" a="1"/>
  <c r="J547" i="28" s="1"/>
  <c r="I548" i="28"/>
  <c r="J548" i="28" s="1" a="1"/>
  <c r="J548" i="28" s="1"/>
  <c r="I549" i="28"/>
  <c r="J549" i="28" s="1" a="1"/>
  <c r="J549" i="28" s="1"/>
  <c r="I550" i="28"/>
  <c r="J550" i="28" s="1" a="1"/>
  <c r="J550" i="28" s="1"/>
  <c r="I551" i="28"/>
  <c r="J551" i="28" s="1" a="1"/>
  <c r="J551" i="28" s="1"/>
  <c r="I552" i="28"/>
  <c r="J552" i="28" s="1" a="1"/>
  <c r="J552" i="28" s="1"/>
  <c r="I553" i="28"/>
  <c r="J553" i="28" s="1" a="1"/>
  <c r="J553" i="28" s="1"/>
  <c r="I554" i="28"/>
  <c r="J554" i="28" s="1" a="1"/>
  <c r="J554" i="28" s="1"/>
  <c r="I555" i="28"/>
  <c r="J555" i="28" s="1" a="1"/>
  <c r="J555" i="28" s="1"/>
  <c r="I556" i="28"/>
  <c r="J556" i="28" s="1" a="1"/>
  <c r="J556" i="28" s="1"/>
  <c r="I557" i="28"/>
  <c r="J557" i="28" s="1" a="1"/>
  <c r="J557" i="28" s="1"/>
  <c r="I558" i="28"/>
  <c r="J558" i="28" s="1" a="1"/>
  <c r="J558" i="28" s="1"/>
  <c r="I559" i="28"/>
  <c r="J559" i="28" s="1" a="1"/>
  <c r="J559" i="28" s="1"/>
  <c r="I560" i="28"/>
  <c r="J560" i="28" s="1" a="1"/>
  <c r="J560" i="28" s="1"/>
  <c r="I561" i="28"/>
  <c r="J561" i="28" s="1" a="1"/>
  <c r="J561" i="28" s="1"/>
  <c r="I562" i="28"/>
  <c r="J562" i="28" s="1" a="1"/>
  <c r="J562" i="28" s="1"/>
  <c r="I563" i="28"/>
  <c r="J563" i="28" s="1" a="1"/>
  <c r="J563" i="28" s="1"/>
  <c r="I564" i="28"/>
  <c r="J564" i="28" s="1" a="1"/>
  <c r="J564" i="28" s="1"/>
  <c r="I565" i="28"/>
  <c r="J565" i="28" s="1" a="1"/>
  <c r="J565" i="28" s="1"/>
  <c r="I566" i="28"/>
  <c r="J566" i="28" s="1" a="1"/>
  <c r="J566" i="28" s="1"/>
  <c r="I567" i="28"/>
  <c r="J567" i="28" s="1" a="1"/>
  <c r="J567" i="28" s="1"/>
  <c r="I568" i="28"/>
  <c r="J568" i="28" s="1" a="1"/>
  <c r="J568" i="28" s="1"/>
  <c r="I569" i="28"/>
  <c r="J569" i="28" s="1" a="1"/>
  <c r="J569" i="28" s="1"/>
  <c r="I570" i="28"/>
  <c r="J570" i="28" s="1" a="1"/>
  <c r="J570" i="28" s="1"/>
  <c r="I571" i="28"/>
  <c r="J571" i="28" s="1" a="1"/>
  <c r="J571" i="28" s="1"/>
  <c r="I572" i="28"/>
  <c r="J572" i="28" s="1" a="1"/>
  <c r="J572" i="28" s="1"/>
  <c r="I573" i="28"/>
  <c r="J573" i="28" s="1" a="1"/>
  <c r="J573" i="28" s="1"/>
  <c r="I574" i="28"/>
  <c r="J574" i="28" s="1" a="1"/>
  <c r="J574" i="28" s="1"/>
  <c r="I575" i="28"/>
  <c r="J575" i="28" s="1" a="1"/>
  <c r="J575" i="28" s="1"/>
  <c r="I576" i="28"/>
  <c r="J576" i="28" s="1" a="1"/>
  <c r="J576" i="28" s="1"/>
  <c r="I577" i="28"/>
  <c r="J577" i="28" s="1" a="1"/>
  <c r="J577" i="28" s="1"/>
  <c r="I578" i="28"/>
  <c r="J578" i="28" s="1" a="1"/>
  <c r="J578" i="28" s="1"/>
  <c r="I579" i="28"/>
  <c r="J579" i="28" s="1" a="1"/>
  <c r="J579" i="28" s="1"/>
  <c r="I580" i="28"/>
  <c r="J580" i="28" s="1" a="1"/>
  <c r="J580" i="28" s="1"/>
  <c r="I581" i="28"/>
  <c r="J581" i="28" s="1" a="1"/>
  <c r="J581" i="28" s="1"/>
  <c r="I582" i="28"/>
  <c r="J582" i="28" s="1" a="1"/>
  <c r="J582" i="28" s="1"/>
  <c r="I583" i="28"/>
  <c r="J583" i="28" s="1" a="1"/>
  <c r="J583" i="28" s="1"/>
  <c r="I584" i="28"/>
  <c r="J584" i="28" s="1" a="1"/>
  <c r="J584" i="28" s="1"/>
  <c r="I585" i="28"/>
  <c r="J585" i="28" s="1" a="1"/>
  <c r="J585" i="28" s="1"/>
  <c r="I586" i="28"/>
  <c r="J586" i="28" s="1" a="1"/>
  <c r="J586" i="28" s="1"/>
  <c r="I587" i="28"/>
  <c r="J587" i="28" s="1" a="1"/>
  <c r="J587" i="28" s="1"/>
  <c r="I588" i="28"/>
  <c r="J588" i="28" s="1" a="1"/>
  <c r="J588" i="28" s="1"/>
  <c r="I589" i="28"/>
  <c r="J589" i="28" s="1" a="1"/>
  <c r="J589" i="28" s="1"/>
  <c r="I590" i="28"/>
  <c r="J590" i="28" s="1" a="1"/>
  <c r="J590" i="28" s="1"/>
  <c r="I591" i="28"/>
  <c r="J591" i="28" s="1" a="1"/>
  <c r="J591" i="28" s="1"/>
  <c r="I592" i="28"/>
  <c r="J592" i="28" s="1" a="1"/>
  <c r="J592" i="28" s="1"/>
  <c r="I593" i="28"/>
  <c r="J593" i="28" s="1" a="1"/>
  <c r="J593" i="28" s="1"/>
  <c r="I594" i="28"/>
  <c r="J594" i="28" s="1" a="1"/>
  <c r="J594" i="28" s="1"/>
  <c r="I595" i="28"/>
  <c r="J595" i="28" s="1" a="1"/>
  <c r="J595" i="28" s="1"/>
  <c r="I596" i="28"/>
  <c r="J596" i="28" s="1" a="1"/>
  <c r="J596" i="28" s="1"/>
  <c r="I597" i="28"/>
  <c r="J597" i="28" s="1" a="1"/>
  <c r="J597" i="28" s="1"/>
  <c r="I598" i="28"/>
  <c r="J598" i="28" s="1" a="1"/>
  <c r="J598" i="28" s="1"/>
  <c r="I599" i="28"/>
  <c r="J599" i="28" s="1" a="1"/>
  <c r="J599" i="28" s="1"/>
  <c r="I600" i="28"/>
  <c r="J600" i="28" s="1" a="1"/>
  <c r="J600" i="28" s="1"/>
  <c r="I601" i="28"/>
  <c r="J601" i="28" s="1" a="1"/>
  <c r="J601" i="28" s="1"/>
  <c r="I602" i="28"/>
  <c r="J602" i="28" s="1" a="1"/>
  <c r="J602" i="28" s="1"/>
  <c r="I603" i="28"/>
  <c r="J603" i="28" s="1" a="1"/>
  <c r="J603" i="28" s="1"/>
  <c r="I604" i="28"/>
  <c r="J604" i="28" s="1" a="1"/>
  <c r="J604" i="28" s="1"/>
  <c r="I605" i="28"/>
  <c r="J605" i="28" s="1" a="1"/>
  <c r="J605" i="28" s="1"/>
  <c r="I606" i="28"/>
  <c r="J606" i="28" s="1" a="1"/>
  <c r="J606" i="28" s="1"/>
  <c r="I607" i="28"/>
  <c r="J607" i="28" s="1" a="1"/>
  <c r="J607" i="28" s="1"/>
  <c r="I608" i="28"/>
  <c r="J608" i="28" s="1" a="1"/>
  <c r="J608" i="28" s="1"/>
  <c r="I609" i="28"/>
  <c r="J609" i="28" s="1" a="1"/>
  <c r="J609" i="28" s="1"/>
  <c r="I610" i="28"/>
  <c r="J610" i="28" s="1" a="1"/>
  <c r="J610" i="28" s="1"/>
  <c r="I611" i="28"/>
  <c r="J611" i="28" s="1" a="1"/>
  <c r="J611" i="28" s="1"/>
  <c r="I612" i="28"/>
  <c r="J612" i="28" s="1" a="1"/>
  <c r="J612" i="28" s="1"/>
  <c r="I613" i="28"/>
  <c r="J613" i="28" s="1" a="1"/>
  <c r="J613" i="28" s="1"/>
  <c r="I614" i="28"/>
  <c r="J614" i="28" s="1" a="1"/>
  <c r="J614" i="28" s="1"/>
  <c r="I615" i="28"/>
  <c r="J615" i="28" s="1" a="1"/>
  <c r="J615" i="28" s="1"/>
  <c r="I616" i="28"/>
  <c r="J616" i="28" s="1" a="1"/>
  <c r="J616" i="28" s="1"/>
  <c r="I617" i="28"/>
  <c r="J617" i="28" s="1" a="1"/>
  <c r="J617" i="28" s="1"/>
  <c r="I618" i="28"/>
  <c r="J618" i="28" a="1"/>
  <c r="J618" i="28" s="1"/>
  <c r="I619" i="28"/>
  <c r="J619" i="28" s="1" a="1"/>
  <c r="J619" i="28" s="1"/>
  <c r="I620" i="28"/>
  <c r="J620" i="28" s="1" a="1"/>
  <c r="J620" i="28" s="1"/>
  <c r="I621" i="28"/>
  <c r="J621" i="28" s="1" a="1"/>
  <c r="J621" i="28" s="1"/>
  <c r="I622" i="28"/>
  <c r="J622" i="28" s="1" a="1"/>
  <c r="J622" i="28" s="1"/>
  <c r="I623" i="28"/>
  <c r="J623" i="28" s="1" a="1"/>
  <c r="J623" i="28" s="1"/>
  <c r="I624" i="28"/>
  <c r="J624" i="28" s="1" a="1"/>
  <c r="J624" i="28" s="1"/>
  <c r="I625" i="28"/>
  <c r="J625" i="28" s="1" a="1"/>
  <c r="J625" i="28" s="1"/>
  <c r="I626" i="28"/>
  <c r="J626" i="28" s="1" a="1"/>
  <c r="J626" i="28" s="1"/>
  <c r="I627" i="28"/>
  <c r="J627" i="28" s="1" a="1"/>
  <c r="J627" i="28" s="1"/>
  <c r="I628" i="28"/>
  <c r="J628" i="28" s="1" a="1"/>
  <c r="J628" i="28" s="1"/>
  <c r="I629" i="28"/>
  <c r="J629" i="28" s="1" a="1"/>
  <c r="J629" i="28" s="1"/>
  <c r="I630" i="28"/>
  <c r="J630" i="28" s="1" a="1"/>
  <c r="J630" i="28" s="1"/>
  <c r="I631" i="28"/>
  <c r="J631" i="28" s="1" a="1"/>
  <c r="J631" i="28" s="1"/>
  <c r="I632" i="28"/>
  <c r="J632" i="28" s="1" a="1"/>
  <c r="J632" i="28" s="1"/>
  <c r="I633" i="28"/>
  <c r="J633" i="28" s="1" a="1"/>
  <c r="J633" i="28" s="1"/>
  <c r="I634" i="28"/>
  <c r="J634" i="28" s="1" a="1"/>
  <c r="J634" i="28" s="1"/>
  <c r="I635" i="28"/>
  <c r="J635" i="28" s="1" a="1"/>
  <c r="J635" i="28" s="1"/>
  <c r="I636" i="28"/>
  <c r="J636" i="28" s="1" a="1"/>
  <c r="J636" i="28" s="1"/>
  <c r="I637" i="28"/>
  <c r="J637" i="28" s="1" a="1"/>
  <c r="J637" i="28" s="1"/>
  <c r="I638" i="28"/>
  <c r="J638" i="28" s="1" a="1"/>
  <c r="J638" i="28" s="1"/>
  <c r="I639" i="28"/>
  <c r="J639" i="28" s="1" a="1"/>
  <c r="J639" i="28" s="1"/>
  <c r="I640" i="28"/>
  <c r="J640" i="28" s="1" a="1"/>
  <c r="J640" i="28" s="1"/>
  <c r="I641" i="28"/>
  <c r="J641" i="28" s="1" a="1"/>
  <c r="J641" i="28" s="1"/>
  <c r="I642" i="28"/>
  <c r="J642" i="28" s="1" a="1"/>
  <c r="J642" i="28" s="1"/>
  <c r="I643" i="28"/>
  <c r="J643" i="28" s="1" a="1"/>
  <c r="J643" i="28" s="1"/>
  <c r="I644" i="28"/>
  <c r="J644" i="28" s="1" a="1"/>
  <c r="J644" i="28" s="1"/>
  <c r="I645" i="28"/>
  <c r="J645" i="28" s="1" a="1"/>
  <c r="J645" i="28" s="1"/>
  <c r="I646" i="28"/>
  <c r="J646" i="28" s="1" a="1"/>
  <c r="J646" i="28" s="1"/>
  <c r="I647" i="28"/>
  <c r="J647" i="28" s="1" a="1"/>
  <c r="J647" i="28" s="1"/>
  <c r="I648" i="28"/>
  <c r="J648" i="28" s="1" a="1"/>
  <c r="J648" i="28" s="1"/>
  <c r="I649" i="28"/>
  <c r="J649" i="28" s="1" a="1"/>
  <c r="J649" i="28" s="1"/>
  <c r="I650" i="28"/>
  <c r="J650" i="28" s="1" a="1"/>
  <c r="J650" i="28" s="1"/>
  <c r="I651" i="28"/>
  <c r="J651" i="28" s="1" a="1"/>
  <c r="J651" i="28" s="1"/>
  <c r="I652" i="28"/>
  <c r="J652" i="28" s="1" a="1"/>
  <c r="J652" i="28" s="1"/>
  <c r="I653" i="28"/>
  <c r="J653" i="28" s="1" a="1"/>
  <c r="J653" i="28" s="1"/>
  <c r="I654" i="28"/>
  <c r="J654" i="28" s="1" a="1"/>
  <c r="J654" i="28" s="1"/>
  <c r="I655" i="28"/>
  <c r="J655" i="28" s="1" a="1"/>
  <c r="J655" i="28" s="1"/>
  <c r="I656" i="28"/>
  <c r="J656" i="28" s="1" a="1"/>
  <c r="J656" i="28" s="1"/>
  <c r="I657" i="28"/>
  <c r="J657" i="28" s="1" a="1"/>
  <c r="J657" i="28" s="1"/>
  <c r="I658" i="28"/>
  <c r="J658" i="28" s="1" a="1"/>
  <c r="J658" i="28" s="1"/>
  <c r="I659" i="28"/>
  <c r="J659" i="28" s="1" a="1"/>
  <c r="J659" i="28" s="1"/>
  <c r="I660" i="28"/>
  <c r="J660" i="28" s="1" a="1"/>
  <c r="J660" i="28" s="1"/>
  <c r="I661" i="28"/>
  <c r="J661" i="28" s="1" a="1"/>
  <c r="J661" i="28" s="1"/>
  <c r="I662" i="28"/>
  <c r="J662" i="28" s="1" a="1"/>
  <c r="J662" i="28" s="1"/>
  <c r="I663" i="28"/>
  <c r="J663" i="28" s="1" a="1"/>
  <c r="J663" i="28" s="1"/>
  <c r="I664" i="28"/>
  <c r="J664" i="28" s="1" a="1"/>
  <c r="J664" i="28" s="1"/>
  <c r="I665" i="28"/>
  <c r="J665" i="28" s="1" a="1"/>
  <c r="J665" i="28" s="1"/>
  <c r="I666" i="28"/>
  <c r="J666" i="28" s="1" a="1"/>
  <c r="J666" i="28" s="1"/>
  <c r="I667" i="28"/>
  <c r="J667" i="28" s="1" a="1"/>
  <c r="J667" i="28" s="1"/>
  <c r="I668" i="28"/>
  <c r="J668" i="28" s="1" a="1"/>
  <c r="J668" i="28" s="1"/>
  <c r="I669" i="28"/>
  <c r="J669" i="28" s="1" a="1"/>
  <c r="J669" i="28" s="1"/>
  <c r="I670" i="28"/>
  <c r="J670" i="28" s="1" a="1"/>
  <c r="J670" i="28" s="1"/>
  <c r="I671" i="28"/>
  <c r="J671" i="28" s="1" a="1"/>
  <c r="J671" i="28" s="1"/>
  <c r="I672" i="28"/>
  <c r="J672" i="28" s="1" a="1"/>
  <c r="J672" i="28" s="1"/>
  <c r="I673" i="28"/>
  <c r="J673" i="28" s="1" a="1"/>
  <c r="J673" i="28" s="1"/>
  <c r="I674" i="28"/>
  <c r="J674" i="28" s="1" a="1"/>
  <c r="J674" i="28" s="1"/>
  <c r="I675" i="28"/>
  <c r="J675" i="28" s="1" a="1"/>
  <c r="J675" i="28" s="1"/>
  <c r="I676" i="28"/>
  <c r="J676" i="28" s="1" a="1"/>
  <c r="J676" i="28" s="1"/>
  <c r="I677" i="28"/>
  <c r="J677" i="28" s="1" a="1"/>
  <c r="J677" i="28" s="1"/>
  <c r="I678" i="28"/>
  <c r="J678" i="28" s="1" a="1"/>
  <c r="J678" i="28" s="1"/>
  <c r="I679" i="28"/>
  <c r="J679" i="28" s="1" a="1"/>
  <c r="J679" i="28" s="1"/>
  <c r="I680" i="28"/>
  <c r="J680" i="28" s="1" a="1"/>
  <c r="J680" i="28" s="1"/>
  <c r="I681" i="28"/>
  <c r="J681" i="28" s="1" a="1"/>
  <c r="J681" i="28" s="1"/>
  <c r="I682" i="28"/>
  <c r="J682" i="28" s="1" a="1"/>
  <c r="J682" i="28" s="1"/>
  <c r="I683" i="28"/>
  <c r="J683" i="28" s="1" a="1"/>
  <c r="J683" i="28" s="1"/>
  <c r="I684" i="28"/>
  <c r="J684" i="28" s="1" a="1"/>
  <c r="J684" i="28" s="1"/>
  <c r="I685" i="28"/>
  <c r="J685" i="28" s="1" a="1"/>
  <c r="J685" i="28" s="1"/>
  <c r="I686" i="28"/>
  <c r="J686" i="28" s="1" a="1"/>
  <c r="J686" i="28" s="1"/>
  <c r="I687" i="28"/>
  <c r="J687" i="28" s="1" a="1"/>
  <c r="J687" i="28" s="1"/>
  <c r="I688" i="28"/>
  <c r="J688" i="28" s="1" a="1"/>
  <c r="J688" i="28" s="1"/>
  <c r="I689" i="28"/>
  <c r="J689" i="28" s="1" a="1"/>
  <c r="J689" i="28" s="1"/>
  <c r="I690" i="28"/>
  <c r="J690" i="28" s="1" a="1"/>
  <c r="J690" i="28" s="1"/>
  <c r="I691" i="28"/>
  <c r="J691" i="28" s="1" a="1"/>
  <c r="J691" i="28" s="1"/>
  <c r="I692" i="28"/>
  <c r="J692" i="28" s="1" a="1"/>
  <c r="J692" i="28" s="1"/>
  <c r="I693" i="28"/>
  <c r="J693" i="28" s="1" a="1"/>
  <c r="J693" i="28" s="1"/>
  <c r="I694" i="28"/>
  <c r="J694" i="28" s="1" a="1"/>
  <c r="J694" i="28" s="1"/>
  <c r="I695" i="28"/>
  <c r="J695" i="28" s="1" a="1"/>
  <c r="J695" i="28" s="1"/>
  <c r="I696" i="28"/>
  <c r="J696" i="28" s="1" a="1"/>
  <c r="J696" i="28" s="1"/>
  <c r="I697" i="28"/>
  <c r="J697" i="28" s="1" a="1"/>
  <c r="J697" i="28" s="1"/>
  <c r="I698" i="28"/>
  <c r="J698" i="28" s="1" a="1"/>
  <c r="J698" i="28" s="1"/>
  <c r="I699" i="28"/>
  <c r="J699" i="28" s="1" a="1"/>
  <c r="J699" i="28" s="1"/>
  <c r="I700" i="28"/>
  <c r="J700" i="28" s="1" a="1"/>
  <c r="J700" i="28" s="1"/>
  <c r="I701" i="28"/>
  <c r="J701" i="28" s="1" a="1"/>
  <c r="J701" i="28" s="1"/>
  <c r="I702" i="28"/>
  <c r="J702" i="28" s="1" a="1"/>
  <c r="J702" i="28" s="1"/>
  <c r="I703" i="28"/>
  <c r="J703" i="28" s="1" a="1"/>
  <c r="J703" i="28" s="1"/>
  <c r="I704" i="28"/>
  <c r="J704" i="28" s="1" a="1"/>
  <c r="J704" i="28" s="1"/>
  <c r="I705" i="28"/>
  <c r="J705" i="28" s="1" a="1"/>
  <c r="J705" i="28" s="1"/>
  <c r="I706" i="28"/>
  <c r="J706" i="28" s="1" a="1"/>
  <c r="J706" i="28" s="1"/>
  <c r="I707" i="28"/>
  <c r="J707" i="28" s="1" a="1"/>
  <c r="J707" i="28" s="1"/>
  <c r="I708" i="28"/>
  <c r="J708" i="28" s="1" a="1"/>
  <c r="J708" i="28" s="1"/>
  <c r="I709" i="28"/>
  <c r="J709" i="28" s="1" a="1"/>
  <c r="J709" i="28" s="1"/>
  <c r="I710" i="28"/>
  <c r="J710" i="28" s="1" a="1"/>
  <c r="J710" i="28" s="1"/>
  <c r="I711" i="28"/>
  <c r="J711" i="28" s="1" a="1"/>
  <c r="J711" i="28" s="1"/>
  <c r="I712" i="28"/>
  <c r="J712" i="28" s="1" a="1"/>
  <c r="J712" i="28" s="1"/>
  <c r="I713" i="28"/>
  <c r="J713" i="28" s="1" a="1"/>
  <c r="J713" i="28" s="1"/>
  <c r="I714" i="28"/>
  <c r="J714" i="28" s="1" a="1"/>
  <c r="J714" i="28" s="1"/>
  <c r="I715" i="28"/>
  <c r="J715" i="28" s="1" a="1"/>
  <c r="J715" i="28" s="1"/>
  <c r="I716" i="28"/>
  <c r="J716" i="28" s="1" a="1"/>
  <c r="J716" i="28" s="1"/>
  <c r="I717" i="28"/>
  <c r="J717" i="28" s="1" a="1"/>
  <c r="J717" i="28" s="1"/>
  <c r="I718" i="28"/>
  <c r="J718" i="28" s="1" a="1"/>
  <c r="J718" i="28" s="1"/>
  <c r="I719" i="28"/>
  <c r="J719" i="28" s="1" a="1"/>
  <c r="J719" i="28" s="1"/>
  <c r="I720" i="28"/>
  <c r="J720" i="28" s="1" a="1"/>
  <c r="J720" i="28" s="1"/>
  <c r="I721" i="28"/>
  <c r="J721" i="28" s="1" a="1"/>
  <c r="J721" i="28" s="1"/>
  <c r="I722" i="28"/>
  <c r="J722" i="28" s="1" a="1"/>
  <c r="J722" i="28" s="1"/>
  <c r="I723" i="28"/>
  <c r="J723" i="28" s="1" a="1"/>
  <c r="J723" i="28" s="1"/>
  <c r="I724" i="28"/>
  <c r="J724" i="28" s="1" a="1"/>
  <c r="J724" i="28" s="1"/>
  <c r="I725" i="28"/>
  <c r="J725" i="28" s="1" a="1"/>
  <c r="J725" i="28" s="1"/>
  <c r="I726" i="28"/>
  <c r="J726" i="28" s="1" a="1"/>
  <c r="J726" i="28" s="1"/>
  <c r="I727" i="28"/>
  <c r="J727" i="28" s="1" a="1"/>
  <c r="J727" i="28" s="1"/>
  <c r="I728" i="28"/>
  <c r="J728" i="28" s="1" a="1"/>
  <c r="J728" i="28" s="1"/>
  <c r="I729" i="28"/>
  <c r="J729" i="28" s="1" a="1"/>
  <c r="J729" i="28" s="1"/>
  <c r="I730" i="28"/>
  <c r="J730" i="28" s="1" a="1"/>
  <c r="J730" i="28" s="1"/>
  <c r="I731" i="28"/>
  <c r="J731" i="28" s="1" a="1"/>
  <c r="J731" i="28" s="1"/>
  <c r="I732" i="28"/>
  <c r="J732" i="28" s="1" a="1"/>
  <c r="J732" i="28" s="1"/>
  <c r="I733" i="28"/>
  <c r="J733" i="28" s="1" a="1"/>
  <c r="J733" i="28" s="1"/>
  <c r="I734" i="28"/>
  <c r="J734" i="28" s="1" a="1"/>
  <c r="J734" i="28" s="1"/>
  <c r="I735" i="28"/>
  <c r="J735" i="28" s="1" a="1"/>
  <c r="J735" i="28" s="1"/>
  <c r="I736" i="28"/>
  <c r="J736" i="28" s="1" a="1"/>
  <c r="J736" i="28" s="1"/>
  <c r="I737" i="28"/>
  <c r="J737" i="28" s="1" a="1"/>
  <c r="J737" i="28" s="1"/>
  <c r="I738" i="28"/>
  <c r="J738" i="28" s="1" a="1"/>
  <c r="J738" i="28" s="1"/>
  <c r="I739" i="28"/>
  <c r="J739" i="28" s="1" a="1"/>
  <c r="J739" i="28" s="1"/>
  <c r="I740" i="28"/>
  <c r="J740" i="28" s="1" a="1"/>
  <c r="J740" i="28" s="1"/>
  <c r="I741" i="28"/>
  <c r="J741" i="28" s="1" a="1"/>
  <c r="J741" i="28" s="1"/>
  <c r="I742" i="28"/>
  <c r="J742" i="28" s="1" a="1"/>
  <c r="J742" i="28" s="1"/>
  <c r="I743" i="28"/>
  <c r="J743" i="28" s="1" a="1"/>
  <c r="J743" i="28" s="1"/>
  <c r="I744" i="28"/>
  <c r="J744" i="28" s="1" a="1"/>
  <c r="J744" i="28" s="1"/>
  <c r="I745" i="28"/>
  <c r="J745" i="28" s="1" a="1"/>
  <c r="J745" i="28" s="1"/>
  <c r="I746" i="28"/>
  <c r="J746" i="28" s="1" a="1"/>
  <c r="J746" i="28" s="1"/>
  <c r="I747" i="28"/>
  <c r="J747" i="28" s="1" a="1"/>
  <c r="J747" i="28" s="1"/>
  <c r="I748" i="28"/>
  <c r="J748" i="28" s="1" a="1"/>
  <c r="J748" i="28" s="1"/>
  <c r="I749" i="28"/>
  <c r="J749" i="28" s="1" a="1"/>
  <c r="J749" i="28" s="1"/>
  <c r="I750" i="28"/>
  <c r="J750" i="28" s="1" a="1"/>
  <c r="J750" i="28" s="1"/>
  <c r="I751" i="28"/>
  <c r="J751" i="28" s="1" a="1"/>
  <c r="J751" i="28" s="1"/>
  <c r="I752" i="28"/>
  <c r="J752" i="28" s="1" a="1"/>
  <c r="J752" i="28" s="1"/>
  <c r="I753" i="28"/>
  <c r="J753" i="28" s="1" a="1"/>
  <c r="J753" i="28" s="1"/>
  <c r="I754" i="28"/>
  <c r="J754" i="28" s="1" a="1"/>
  <c r="J754" i="28" s="1"/>
  <c r="AM593" i="19" l="1"/>
  <c r="AL593" i="19"/>
  <c r="AK593" i="19"/>
  <c r="AJ593" i="19"/>
  <c r="AI593" i="19"/>
  <c r="AG593" i="19"/>
  <c r="AF593" i="19"/>
  <c r="AE593" i="19"/>
  <c r="AD593" i="19"/>
  <c r="AC593" i="19"/>
  <c r="AB593" i="19"/>
  <c r="AA593" i="19"/>
  <c r="X593" i="19"/>
  <c r="AM592" i="19"/>
  <c r="AL592" i="19"/>
  <c r="AK592" i="19"/>
  <c r="AJ592" i="19"/>
  <c r="AI592" i="19"/>
  <c r="AG592" i="19"/>
  <c r="AF592" i="19"/>
  <c r="AE592" i="19"/>
  <c r="AD592" i="19"/>
  <c r="AC592" i="19"/>
  <c r="AB592" i="19"/>
  <c r="AA592" i="19"/>
  <c r="X592" i="19"/>
  <c r="AM591" i="19"/>
  <c r="AL591" i="19"/>
  <c r="AK591" i="19"/>
  <c r="AJ591" i="19"/>
  <c r="AI591" i="19"/>
  <c r="AG591" i="19"/>
  <c r="AF591" i="19"/>
  <c r="AE591" i="19"/>
  <c r="AD591" i="19"/>
  <c r="AC591" i="19"/>
  <c r="AB591" i="19"/>
  <c r="AA591" i="19"/>
  <c r="X591" i="19"/>
  <c r="AM590" i="19"/>
  <c r="AL590" i="19"/>
  <c r="AK590" i="19"/>
  <c r="AJ590" i="19"/>
  <c r="AI590" i="19"/>
  <c r="AG590" i="19"/>
  <c r="AF590" i="19"/>
  <c r="AE590" i="19"/>
  <c r="AD590" i="19"/>
  <c r="AC590" i="19"/>
  <c r="AB590" i="19"/>
  <c r="AA590" i="19"/>
  <c r="X590" i="19"/>
  <c r="AM589" i="19"/>
  <c r="AL589" i="19"/>
  <c r="AK589" i="19"/>
  <c r="AJ589" i="19"/>
  <c r="AI589" i="19"/>
  <c r="AG589" i="19"/>
  <c r="AF589" i="19"/>
  <c r="AE589" i="19"/>
  <c r="AD589" i="19"/>
  <c r="AC589" i="19"/>
  <c r="AB589" i="19"/>
  <c r="AA589" i="19"/>
  <c r="X589" i="19"/>
  <c r="AM588" i="19"/>
  <c r="AL588" i="19"/>
  <c r="AK588" i="19"/>
  <c r="AJ588" i="19"/>
  <c r="AI588" i="19"/>
  <c r="AG588" i="19"/>
  <c r="AF588" i="19"/>
  <c r="AE588" i="19"/>
  <c r="AD588" i="19"/>
  <c r="AC588" i="19"/>
  <c r="AB588" i="19"/>
  <c r="AA588" i="19"/>
  <c r="X588" i="19"/>
  <c r="AM587" i="19"/>
  <c r="AL587" i="19"/>
  <c r="AK587" i="19"/>
  <c r="AJ587" i="19"/>
  <c r="AI587" i="19"/>
  <c r="AG587" i="19"/>
  <c r="AF587" i="19"/>
  <c r="AE587" i="19"/>
  <c r="AD587" i="19"/>
  <c r="AC587" i="19"/>
  <c r="AB587" i="19"/>
  <c r="AA587" i="19"/>
  <c r="X587" i="19"/>
  <c r="AM586" i="19"/>
  <c r="AL586" i="19"/>
  <c r="AK586" i="19"/>
  <c r="AJ586" i="19"/>
  <c r="AI586" i="19"/>
  <c r="AG586" i="19"/>
  <c r="AF586" i="19"/>
  <c r="AE586" i="19"/>
  <c r="AD586" i="19"/>
  <c r="AC586" i="19"/>
  <c r="AB586" i="19"/>
  <c r="AA586" i="19"/>
  <c r="X586" i="19"/>
  <c r="AM585" i="19"/>
  <c r="AL585" i="19"/>
  <c r="AK585" i="19"/>
  <c r="AJ585" i="19"/>
  <c r="AI585" i="19"/>
  <c r="AG585" i="19"/>
  <c r="AF585" i="19"/>
  <c r="AE585" i="19"/>
  <c r="AD585" i="19"/>
  <c r="AC585" i="19"/>
  <c r="AB585" i="19"/>
  <c r="AA585" i="19"/>
  <c r="X585" i="19"/>
  <c r="AM584" i="19"/>
  <c r="AL584" i="19"/>
  <c r="AK584" i="19"/>
  <c r="AJ584" i="19"/>
  <c r="AI584" i="19"/>
  <c r="AG584" i="19"/>
  <c r="AF584" i="19"/>
  <c r="AE584" i="19"/>
  <c r="AD584" i="19"/>
  <c r="AC584" i="19"/>
  <c r="AB584" i="19"/>
  <c r="AA584" i="19"/>
  <c r="X584" i="19"/>
  <c r="AM583" i="19"/>
  <c r="AL583" i="19"/>
  <c r="AK583" i="19"/>
  <c r="AJ583" i="19"/>
  <c r="AI583" i="19"/>
  <c r="AG583" i="19"/>
  <c r="AF583" i="19"/>
  <c r="AE583" i="19"/>
  <c r="AD583" i="19"/>
  <c r="AC583" i="19"/>
  <c r="AB583" i="19"/>
  <c r="AA583" i="19"/>
  <c r="X583" i="19"/>
  <c r="AM582" i="19"/>
  <c r="AL582" i="19"/>
  <c r="AK582" i="19"/>
  <c r="AJ582" i="19"/>
  <c r="AI582" i="19"/>
  <c r="AG582" i="19"/>
  <c r="AF582" i="19"/>
  <c r="AE582" i="19"/>
  <c r="AD582" i="19"/>
  <c r="AC582" i="19"/>
  <c r="AB582" i="19"/>
  <c r="AA582" i="19"/>
  <c r="X582" i="19"/>
  <c r="AM581" i="19"/>
  <c r="AL581" i="19"/>
  <c r="AK581" i="19"/>
  <c r="AJ581" i="19"/>
  <c r="AI581" i="19"/>
  <c r="AG581" i="19"/>
  <c r="AF581" i="19"/>
  <c r="AE581" i="19"/>
  <c r="AD581" i="19"/>
  <c r="AC581" i="19"/>
  <c r="AB581" i="19"/>
  <c r="AA581" i="19"/>
  <c r="X581" i="19"/>
  <c r="AM580" i="19"/>
  <c r="AL580" i="19"/>
  <c r="AK580" i="19"/>
  <c r="AJ580" i="19"/>
  <c r="AI580" i="19"/>
  <c r="AG580" i="19"/>
  <c r="AF580" i="19"/>
  <c r="AE580" i="19"/>
  <c r="AD580" i="19"/>
  <c r="AC580" i="19"/>
  <c r="AB580" i="19"/>
  <c r="AA580" i="19"/>
  <c r="X580" i="19"/>
  <c r="AM579" i="19"/>
  <c r="AL579" i="19"/>
  <c r="AK579" i="19"/>
  <c r="AJ579" i="19"/>
  <c r="AI579" i="19"/>
  <c r="AG579" i="19"/>
  <c r="AF579" i="19"/>
  <c r="AE579" i="19"/>
  <c r="AD579" i="19"/>
  <c r="AC579" i="19"/>
  <c r="AB579" i="19"/>
  <c r="AA579" i="19"/>
  <c r="X579" i="19"/>
  <c r="AM578" i="19"/>
  <c r="AL578" i="19"/>
  <c r="AK578" i="19"/>
  <c r="AJ578" i="19"/>
  <c r="AI578" i="19"/>
  <c r="AG578" i="19"/>
  <c r="AF578" i="19"/>
  <c r="AE578" i="19"/>
  <c r="AD578" i="19"/>
  <c r="AC578" i="19"/>
  <c r="AB578" i="19"/>
  <c r="AA578" i="19"/>
  <c r="X578" i="19"/>
  <c r="AM577" i="19"/>
  <c r="AL577" i="19"/>
  <c r="AK577" i="19"/>
  <c r="AJ577" i="19"/>
  <c r="AI577" i="19"/>
  <c r="AG577" i="19"/>
  <c r="AF577" i="19"/>
  <c r="AE577" i="19"/>
  <c r="AD577" i="19"/>
  <c r="AC577" i="19"/>
  <c r="AB577" i="19"/>
  <c r="AA577" i="19"/>
  <c r="X577" i="19"/>
  <c r="AM576" i="19"/>
  <c r="AL576" i="19"/>
  <c r="AK576" i="19"/>
  <c r="AJ576" i="19"/>
  <c r="AI576" i="19"/>
  <c r="AG576" i="19"/>
  <c r="AF576" i="19"/>
  <c r="AE576" i="19"/>
  <c r="AD576" i="19"/>
  <c r="AC576" i="19"/>
  <c r="AB576" i="19"/>
  <c r="AA576" i="19"/>
  <c r="X576" i="19"/>
  <c r="AM575" i="19"/>
  <c r="AL575" i="19"/>
  <c r="AK575" i="19"/>
  <c r="AJ575" i="19"/>
  <c r="AI575" i="19"/>
  <c r="AG575" i="19"/>
  <c r="AF575" i="19"/>
  <c r="AE575" i="19"/>
  <c r="AD575" i="19"/>
  <c r="AC575" i="19"/>
  <c r="AB575" i="19"/>
  <c r="AA575" i="19"/>
  <c r="X575" i="19"/>
  <c r="AM574" i="19"/>
  <c r="AL574" i="19"/>
  <c r="AK574" i="19"/>
  <c r="AJ574" i="19"/>
  <c r="AI574" i="19"/>
  <c r="AG574" i="19"/>
  <c r="AF574" i="19"/>
  <c r="AE574" i="19"/>
  <c r="AD574" i="19"/>
  <c r="AC574" i="19"/>
  <c r="AB574" i="19"/>
  <c r="AA574" i="19"/>
  <c r="X574" i="19"/>
  <c r="AM573" i="19"/>
  <c r="AL573" i="19"/>
  <c r="AK573" i="19"/>
  <c r="AJ573" i="19"/>
  <c r="AI573" i="19"/>
  <c r="AG573" i="19"/>
  <c r="AF573" i="19"/>
  <c r="AE573" i="19"/>
  <c r="AD573" i="19"/>
  <c r="AC573" i="19"/>
  <c r="AB573" i="19"/>
  <c r="AA573" i="19"/>
  <c r="X573" i="19"/>
  <c r="AM572" i="19"/>
  <c r="AL572" i="19"/>
  <c r="AK572" i="19"/>
  <c r="AJ572" i="19"/>
  <c r="AI572" i="19"/>
  <c r="AG572" i="19"/>
  <c r="AF572" i="19"/>
  <c r="AE572" i="19"/>
  <c r="AD572" i="19"/>
  <c r="AC572" i="19"/>
  <c r="AB572" i="19"/>
  <c r="AA572" i="19"/>
  <c r="X572" i="19"/>
  <c r="AM571" i="19"/>
  <c r="AL571" i="19"/>
  <c r="AK571" i="19"/>
  <c r="AJ571" i="19"/>
  <c r="AI571" i="19"/>
  <c r="AG571" i="19"/>
  <c r="AF571" i="19"/>
  <c r="AE571" i="19"/>
  <c r="AD571" i="19"/>
  <c r="AC571" i="19"/>
  <c r="AB571" i="19"/>
  <c r="AA571" i="19"/>
  <c r="X571" i="19"/>
  <c r="AM570" i="19"/>
  <c r="AL570" i="19"/>
  <c r="AK570" i="19"/>
  <c r="AJ570" i="19"/>
  <c r="AI570" i="19"/>
  <c r="AG570" i="19"/>
  <c r="AF570" i="19"/>
  <c r="AE570" i="19"/>
  <c r="AD570" i="19"/>
  <c r="AC570" i="19"/>
  <c r="AB570" i="19"/>
  <c r="AA570" i="19"/>
  <c r="X570" i="19"/>
  <c r="AM569" i="19"/>
  <c r="AL569" i="19"/>
  <c r="AK569" i="19"/>
  <c r="AJ569" i="19"/>
  <c r="AI569" i="19"/>
  <c r="AG569" i="19"/>
  <c r="AF569" i="19"/>
  <c r="AE569" i="19"/>
  <c r="AD569" i="19"/>
  <c r="AC569" i="19"/>
  <c r="AB569" i="19"/>
  <c r="AA569" i="19"/>
  <c r="X569" i="19"/>
  <c r="AM568" i="19"/>
  <c r="AL568" i="19"/>
  <c r="AK568" i="19"/>
  <c r="AJ568" i="19"/>
  <c r="AI568" i="19"/>
  <c r="AG568" i="19"/>
  <c r="AF568" i="19"/>
  <c r="AE568" i="19"/>
  <c r="AD568" i="19"/>
  <c r="AC568" i="19"/>
  <c r="AB568" i="19"/>
  <c r="AA568" i="19"/>
  <c r="X568" i="19"/>
  <c r="AM567" i="19"/>
  <c r="AL567" i="19"/>
  <c r="AK567" i="19"/>
  <c r="AJ567" i="19"/>
  <c r="AI567" i="19"/>
  <c r="AG567" i="19"/>
  <c r="AF567" i="19"/>
  <c r="AE567" i="19"/>
  <c r="AD567" i="19"/>
  <c r="AC567" i="19"/>
  <c r="AB567" i="19"/>
  <c r="AA567" i="19"/>
  <c r="X567" i="19"/>
  <c r="AM566" i="19"/>
  <c r="AL566" i="19"/>
  <c r="AK566" i="19"/>
  <c r="AJ566" i="19"/>
  <c r="AI566" i="19"/>
  <c r="AG566" i="19"/>
  <c r="AF566" i="19"/>
  <c r="AE566" i="19"/>
  <c r="AD566" i="19"/>
  <c r="AC566" i="19"/>
  <c r="AB566" i="19"/>
  <c r="AA566" i="19"/>
  <c r="X566" i="19"/>
  <c r="AM565" i="19"/>
  <c r="AL565" i="19"/>
  <c r="AK565" i="19"/>
  <c r="AJ565" i="19"/>
  <c r="AI565" i="19"/>
  <c r="AG565" i="19"/>
  <c r="AF565" i="19"/>
  <c r="AE565" i="19"/>
  <c r="AD565" i="19"/>
  <c r="AC565" i="19"/>
  <c r="AB565" i="19"/>
  <c r="AA565" i="19"/>
  <c r="X565" i="19"/>
  <c r="AM564" i="19"/>
  <c r="AL564" i="19"/>
  <c r="AK564" i="19"/>
  <c r="AJ564" i="19"/>
  <c r="AI564" i="19"/>
  <c r="AG564" i="19"/>
  <c r="AF564" i="19"/>
  <c r="AE564" i="19"/>
  <c r="AD564" i="19"/>
  <c r="AC564" i="19"/>
  <c r="AB564" i="19"/>
  <c r="AA564" i="19"/>
  <c r="X564" i="19"/>
  <c r="AM563" i="19"/>
  <c r="AL563" i="19"/>
  <c r="AK563" i="19"/>
  <c r="AJ563" i="19"/>
  <c r="AI563" i="19"/>
  <c r="AG563" i="19"/>
  <c r="AF563" i="19"/>
  <c r="AE563" i="19"/>
  <c r="AD563" i="19"/>
  <c r="AC563" i="19"/>
  <c r="AB563" i="19"/>
  <c r="AA563" i="19"/>
  <c r="X563" i="19"/>
  <c r="AM562" i="19"/>
  <c r="AL562" i="19"/>
  <c r="AK562" i="19"/>
  <c r="AJ562" i="19"/>
  <c r="AI562" i="19"/>
  <c r="AG562" i="19"/>
  <c r="AF562" i="19"/>
  <c r="AE562" i="19"/>
  <c r="AD562" i="19"/>
  <c r="AC562" i="19"/>
  <c r="AB562" i="19"/>
  <c r="AA562" i="19"/>
  <c r="X562" i="19"/>
  <c r="AM561" i="19"/>
  <c r="AL561" i="19"/>
  <c r="AK561" i="19"/>
  <c r="AJ561" i="19"/>
  <c r="AI561" i="19"/>
  <c r="AG561" i="19"/>
  <c r="AF561" i="19"/>
  <c r="AE561" i="19"/>
  <c r="AD561" i="19"/>
  <c r="AC561" i="19"/>
  <c r="AB561" i="19"/>
  <c r="AA561" i="19"/>
  <c r="X561" i="19"/>
  <c r="AM560" i="19"/>
  <c r="AL560" i="19"/>
  <c r="AK560" i="19"/>
  <c r="AJ560" i="19"/>
  <c r="AI560" i="19"/>
  <c r="AG560" i="19"/>
  <c r="AF560" i="19"/>
  <c r="AE560" i="19"/>
  <c r="AD560" i="19"/>
  <c r="AC560" i="19"/>
  <c r="AB560" i="19"/>
  <c r="AA560" i="19"/>
  <c r="X560" i="19"/>
  <c r="AM559" i="19"/>
  <c r="AL559" i="19"/>
  <c r="AK559" i="19"/>
  <c r="AJ559" i="19"/>
  <c r="AI559" i="19"/>
  <c r="AG559" i="19"/>
  <c r="AF559" i="19"/>
  <c r="AE559" i="19"/>
  <c r="AD559" i="19"/>
  <c r="AC559" i="19"/>
  <c r="AB559" i="19"/>
  <c r="AA559" i="19"/>
  <c r="X559" i="19"/>
  <c r="AM558" i="19"/>
  <c r="AL558" i="19"/>
  <c r="AK558" i="19"/>
  <c r="AJ558" i="19"/>
  <c r="AI558" i="19"/>
  <c r="AG558" i="19"/>
  <c r="AF558" i="19"/>
  <c r="AE558" i="19"/>
  <c r="AD558" i="19"/>
  <c r="AC558" i="19"/>
  <c r="AB558" i="19"/>
  <c r="AA558" i="19"/>
  <c r="X558" i="19"/>
  <c r="AM557" i="19"/>
  <c r="AL557" i="19"/>
  <c r="AK557" i="19"/>
  <c r="AJ557" i="19"/>
  <c r="AI557" i="19"/>
  <c r="AG557" i="19"/>
  <c r="AF557" i="19"/>
  <c r="AE557" i="19"/>
  <c r="AD557" i="19"/>
  <c r="AC557" i="19"/>
  <c r="AB557" i="19"/>
  <c r="AA557" i="19"/>
  <c r="X557" i="19"/>
  <c r="AM556" i="19"/>
  <c r="AL556" i="19"/>
  <c r="AK556" i="19"/>
  <c r="AJ556" i="19"/>
  <c r="AI556" i="19"/>
  <c r="AG556" i="19"/>
  <c r="AF556" i="19"/>
  <c r="AE556" i="19"/>
  <c r="AD556" i="19"/>
  <c r="AC556" i="19"/>
  <c r="AB556" i="19"/>
  <c r="AA556" i="19"/>
  <c r="X556" i="19"/>
  <c r="AM555" i="19"/>
  <c r="AL555" i="19"/>
  <c r="AK555" i="19"/>
  <c r="AJ555" i="19"/>
  <c r="AI555" i="19"/>
  <c r="AG555" i="19"/>
  <c r="AF555" i="19"/>
  <c r="AE555" i="19"/>
  <c r="AD555" i="19"/>
  <c r="AC555" i="19"/>
  <c r="AB555" i="19"/>
  <c r="AA555" i="19"/>
  <c r="X555" i="19"/>
  <c r="AM554" i="19"/>
  <c r="AL554" i="19"/>
  <c r="AK554" i="19"/>
  <c r="AJ554" i="19"/>
  <c r="AI554" i="19"/>
  <c r="AG554" i="19"/>
  <c r="AF554" i="19"/>
  <c r="AE554" i="19"/>
  <c r="AD554" i="19"/>
  <c r="AC554" i="19"/>
  <c r="AB554" i="19"/>
  <c r="AA554" i="19"/>
  <c r="X554" i="19"/>
  <c r="AM553" i="19"/>
  <c r="AL553" i="19"/>
  <c r="AK553" i="19"/>
  <c r="AJ553" i="19"/>
  <c r="AI553" i="19"/>
  <c r="AG553" i="19"/>
  <c r="AF553" i="19"/>
  <c r="AE553" i="19"/>
  <c r="AD553" i="19"/>
  <c r="AC553" i="19"/>
  <c r="AB553" i="19"/>
  <c r="AA553" i="19"/>
  <c r="X553" i="19"/>
  <c r="AM552" i="19"/>
  <c r="AL552" i="19"/>
  <c r="AK552" i="19"/>
  <c r="AJ552" i="19"/>
  <c r="AI552" i="19"/>
  <c r="AG552" i="19"/>
  <c r="AF552" i="19"/>
  <c r="AE552" i="19"/>
  <c r="AD552" i="19"/>
  <c r="AC552" i="19"/>
  <c r="AB552" i="19"/>
  <c r="AA552" i="19"/>
  <c r="X552" i="19"/>
  <c r="AM551" i="19"/>
  <c r="AL551" i="19"/>
  <c r="AK551" i="19"/>
  <c r="AJ551" i="19"/>
  <c r="AI551" i="19"/>
  <c r="AG551" i="19"/>
  <c r="AF551" i="19"/>
  <c r="AE551" i="19"/>
  <c r="AD551" i="19"/>
  <c r="AC551" i="19"/>
  <c r="AB551" i="19"/>
  <c r="AA551" i="19"/>
  <c r="X551" i="19"/>
  <c r="AM550" i="19"/>
  <c r="AL550" i="19"/>
  <c r="AK550" i="19"/>
  <c r="AJ550" i="19"/>
  <c r="AI550" i="19"/>
  <c r="AG550" i="19"/>
  <c r="AF550" i="19"/>
  <c r="AE550" i="19"/>
  <c r="AD550" i="19"/>
  <c r="AC550" i="19"/>
  <c r="AB550" i="19"/>
  <c r="AA550" i="19"/>
  <c r="X550" i="19"/>
  <c r="AM549" i="19"/>
  <c r="AL549" i="19"/>
  <c r="AK549" i="19"/>
  <c r="AJ549" i="19"/>
  <c r="AI549" i="19"/>
  <c r="AG549" i="19"/>
  <c r="AF549" i="19"/>
  <c r="AE549" i="19"/>
  <c r="AD549" i="19"/>
  <c r="AC549" i="19"/>
  <c r="AB549" i="19"/>
  <c r="AA549" i="19"/>
  <c r="X549" i="19"/>
  <c r="AM548" i="19"/>
  <c r="AL548" i="19"/>
  <c r="AK548" i="19"/>
  <c r="AJ548" i="19"/>
  <c r="AI548" i="19"/>
  <c r="AG548" i="19"/>
  <c r="AF548" i="19"/>
  <c r="AE548" i="19"/>
  <c r="AD548" i="19"/>
  <c r="AC548" i="19"/>
  <c r="AB548" i="19"/>
  <c r="AA548" i="19"/>
  <c r="X548" i="19"/>
  <c r="AM547" i="19"/>
  <c r="AL547" i="19"/>
  <c r="AK547" i="19"/>
  <c r="AJ547" i="19"/>
  <c r="AI547" i="19"/>
  <c r="AG547" i="19"/>
  <c r="AF547" i="19"/>
  <c r="AE547" i="19"/>
  <c r="AD547" i="19"/>
  <c r="AC547" i="19"/>
  <c r="AB547" i="19"/>
  <c r="AA547" i="19"/>
  <c r="X547" i="19"/>
  <c r="AM546" i="19"/>
  <c r="AL546" i="19"/>
  <c r="AK546" i="19"/>
  <c r="AJ546" i="19"/>
  <c r="AI546" i="19"/>
  <c r="AG546" i="19"/>
  <c r="AF546" i="19"/>
  <c r="AE546" i="19"/>
  <c r="AD546" i="19"/>
  <c r="AC546" i="19"/>
  <c r="AB546" i="19"/>
  <c r="AA546" i="19"/>
  <c r="X546" i="19"/>
  <c r="AM545" i="19"/>
  <c r="AL545" i="19"/>
  <c r="AK545" i="19"/>
  <c r="AJ545" i="19"/>
  <c r="AI545" i="19"/>
  <c r="AG545" i="19"/>
  <c r="AF545" i="19"/>
  <c r="AE545" i="19"/>
  <c r="AD545" i="19"/>
  <c r="AC545" i="19"/>
  <c r="AB545" i="19"/>
  <c r="AA545" i="19"/>
  <c r="X545" i="19"/>
  <c r="AM544" i="19"/>
  <c r="AL544" i="19"/>
  <c r="AK544" i="19"/>
  <c r="AJ544" i="19"/>
  <c r="AI544" i="19"/>
  <c r="AG544" i="19"/>
  <c r="AF544" i="19"/>
  <c r="AE544" i="19"/>
  <c r="AD544" i="19"/>
  <c r="AC544" i="19"/>
  <c r="AB544" i="19"/>
  <c r="AA544" i="19"/>
  <c r="X544" i="19"/>
  <c r="AM543" i="19"/>
  <c r="AL543" i="19"/>
  <c r="AK543" i="19"/>
  <c r="AJ543" i="19"/>
  <c r="AI543" i="19"/>
  <c r="AG543" i="19"/>
  <c r="AF543" i="19"/>
  <c r="AE543" i="19"/>
  <c r="AD543" i="19"/>
  <c r="AC543" i="19"/>
  <c r="AB543" i="19"/>
  <c r="AA543" i="19"/>
  <c r="X543" i="19"/>
  <c r="AM542" i="19"/>
  <c r="AL542" i="19"/>
  <c r="AK542" i="19"/>
  <c r="AJ542" i="19"/>
  <c r="AI542" i="19"/>
  <c r="AG542" i="19"/>
  <c r="AF542" i="19"/>
  <c r="AE542" i="19"/>
  <c r="AD542" i="19"/>
  <c r="AC542" i="19"/>
  <c r="AB542" i="19"/>
  <c r="AA542" i="19"/>
  <c r="X542" i="19"/>
  <c r="AM541" i="19"/>
  <c r="AL541" i="19"/>
  <c r="AK541" i="19"/>
  <c r="AJ541" i="19"/>
  <c r="AI541" i="19"/>
  <c r="AG541" i="19"/>
  <c r="AF541" i="19"/>
  <c r="AE541" i="19"/>
  <c r="AD541" i="19"/>
  <c r="AC541" i="19"/>
  <c r="AB541" i="19"/>
  <c r="AA541" i="19"/>
  <c r="X541" i="19"/>
  <c r="AM540" i="19"/>
  <c r="AL540" i="19"/>
  <c r="AK540" i="19"/>
  <c r="AJ540" i="19"/>
  <c r="AI540" i="19"/>
  <c r="AG540" i="19"/>
  <c r="AF540" i="19"/>
  <c r="AE540" i="19"/>
  <c r="AD540" i="19"/>
  <c r="AC540" i="19"/>
  <c r="AB540" i="19"/>
  <c r="AA540" i="19"/>
  <c r="X540" i="19"/>
  <c r="AM539" i="19"/>
  <c r="AL539" i="19"/>
  <c r="AK539" i="19"/>
  <c r="AJ539" i="19"/>
  <c r="AI539" i="19"/>
  <c r="AG539" i="19"/>
  <c r="AF539" i="19"/>
  <c r="AE539" i="19"/>
  <c r="AD539" i="19"/>
  <c r="AC539" i="19"/>
  <c r="AB539" i="19"/>
  <c r="AA539" i="19"/>
  <c r="X539" i="19"/>
  <c r="AM538" i="19"/>
  <c r="AL538" i="19"/>
  <c r="AK538" i="19"/>
  <c r="AJ538" i="19"/>
  <c r="AI538" i="19"/>
  <c r="AG538" i="19"/>
  <c r="AF538" i="19"/>
  <c r="AE538" i="19"/>
  <c r="AD538" i="19"/>
  <c r="AC538" i="19"/>
  <c r="AB538" i="19"/>
  <c r="AA538" i="19"/>
  <c r="X538" i="19"/>
  <c r="AM537" i="19"/>
  <c r="AL537" i="19"/>
  <c r="AK537" i="19"/>
  <c r="AJ537" i="19"/>
  <c r="AI537" i="19"/>
  <c r="AG537" i="19"/>
  <c r="AF537" i="19"/>
  <c r="AE537" i="19"/>
  <c r="AD537" i="19"/>
  <c r="AC537" i="19"/>
  <c r="AB537" i="19"/>
  <c r="AA537" i="19"/>
  <c r="X537" i="19"/>
  <c r="AM536" i="19"/>
  <c r="AL536" i="19"/>
  <c r="AK536" i="19"/>
  <c r="AJ536" i="19"/>
  <c r="AI536" i="19"/>
  <c r="AG536" i="19"/>
  <c r="AF536" i="19"/>
  <c r="AE536" i="19"/>
  <c r="AD536" i="19"/>
  <c r="AC536" i="19"/>
  <c r="AB536" i="19"/>
  <c r="AA536" i="19"/>
  <c r="X536" i="19"/>
  <c r="AM535" i="19"/>
  <c r="AL535" i="19"/>
  <c r="AK535" i="19"/>
  <c r="AJ535" i="19"/>
  <c r="AI535" i="19"/>
  <c r="AG535" i="19"/>
  <c r="AF535" i="19"/>
  <c r="AE535" i="19"/>
  <c r="AD535" i="19"/>
  <c r="AC535" i="19"/>
  <c r="AB535" i="19"/>
  <c r="AA535" i="19"/>
  <c r="X535" i="19"/>
  <c r="AM534" i="19"/>
  <c r="AL534" i="19"/>
  <c r="AK534" i="19"/>
  <c r="AJ534" i="19"/>
  <c r="AI534" i="19"/>
  <c r="AG534" i="19"/>
  <c r="AF534" i="19"/>
  <c r="AE534" i="19"/>
  <c r="AD534" i="19"/>
  <c r="AC534" i="19"/>
  <c r="AB534" i="19"/>
  <c r="AA534" i="19"/>
  <c r="X534" i="19"/>
  <c r="AM533" i="19"/>
  <c r="AL533" i="19"/>
  <c r="AK533" i="19"/>
  <c r="AJ533" i="19"/>
  <c r="AI533" i="19"/>
  <c r="AG533" i="19"/>
  <c r="AF533" i="19"/>
  <c r="AE533" i="19"/>
  <c r="AD533" i="19"/>
  <c r="AC533" i="19"/>
  <c r="AB533" i="19"/>
  <c r="AA533" i="19"/>
  <c r="X533" i="19"/>
  <c r="AM532" i="19"/>
  <c r="AL532" i="19"/>
  <c r="AK532" i="19"/>
  <c r="AJ532" i="19"/>
  <c r="AI532" i="19"/>
  <c r="AG532" i="19"/>
  <c r="AF532" i="19"/>
  <c r="AE532" i="19"/>
  <c r="AD532" i="19"/>
  <c r="AC532" i="19"/>
  <c r="AB532" i="19"/>
  <c r="AA532" i="19"/>
  <c r="X532" i="19"/>
  <c r="AM531" i="19"/>
  <c r="AL531" i="19"/>
  <c r="AK531" i="19"/>
  <c r="AJ531" i="19"/>
  <c r="AI531" i="19"/>
  <c r="AG531" i="19"/>
  <c r="AF531" i="19"/>
  <c r="AE531" i="19"/>
  <c r="AD531" i="19"/>
  <c r="AC531" i="19"/>
  <c r="AB531" i="19"/>
  <c r="AA531" i="19"/>
  <c r="X531" i="19"/>
  <c r="AM530" i="19"/>
  <c r="AL530" i="19"/>
  <c r="AK530" i="19"/>
  <c r="AJ530" i="19"/>
  <c r="AI530" i="19"/>
  <c r="AG530" i="19"/>
  <c r="AF530" i="19"/>
  <c r="AE530" i="19"/>
  <c r="AD530" i="19"/>
  <c r="AC530" i="19"/>
  <c r="AB530" i="19"/>
  <c r="AA530" i="19"/>
  <c r="X530" i="19"/>
  <c r="AM529" i="19"/>
  <c r="AL529" i="19"/>
  <c r="AK529" i="19"/>
  <c r="AJ529" i="19"/>
  <c r="AI529" i="19"/>
  <c r="AG529" i="19"/>
  <c r="AF529" i="19"/>
  <c r="AE529" i="19"/>
  <c r="AD529" i="19"/>
  <c r="AC529" i="19"/>
  <c r="AB529" i="19"/>
  <c r="AA529" i="19"/>
  <c r="X529" i="19"/>
  <c r="AM528" i="19"/>
  <c r="AL528" i="19"/>
  <c r="AK528" i="19"/>
  <c r="AJ528" i="19"/>
  <c r="AI528" i="19"/>
  <c r="AG528" i="19"/>
  <c r="AF528" i="19"/>
  <c r="AE528" i="19"/>
  <c r="AD528" i="19"/>
  <c r="AC528" i="19"/>
  <c r="AB528" i="19"/>
  <c r="AA528" i="19"/>
  <c r="X528" i="19"/>
  <c r="AM527" i="19"/>
  <c r="AL527" i="19"/>
  <c r="AK527" i="19"/>
  <c r="AJ527" i="19"/>
  <c r="AI527" i="19"/>
  <c r="AG527" i="19"/>
  <c r="AF527" i="19"/>
  <c r="AE527" i="19"/>
  <c r="AD527" i="19"/>
  <c r="AC527" i="19"/>
  <c r="AB527" i="19"/>
  <c r="AA527" i="19"/>
  <c r="X527" i="19"/>
  <c r="AM526" i="19"/>
  <c r="AL526" i="19"/>
  <c r="AK526" i="19"/>
  <c r="AJ526" i="19"/>
  <c r="AI526" i="19"/>
  <c r="AG526" i="19"/>
  <c r="AF526" i="19"/>
  <c r="AE526" i="19"/>
  <c r="AD526" i="19"/>
  <c r="AC526" i="19"/>
  <c r="AB526" i="19"/>
  <c r="AA526" i="19"/>
  <c r="X526" i="19"/>
  <c r="AM525" i="19"/>
  <c r="AL525" i="19"/>
  <c r="AK525" i="19"/>
  <c r="AJ525" i="19"/>
  <c r="AI525" i="19"/>
  <c r="AG525" i="19"/>
  <c r="AF525" i="19"/>
  <c r="AE525" i="19"/>
  <c r="AD525" i="19"/>
  <c r="AC525" i="19"/>
  <c r="AB525" i="19"/>
  <c r="AA525" i="19"/>
  <c r="X525" i="19"/>
  <c r="AM524" i="19"/>
  <c r="AL524" i="19"/>
  <c r="AK524" i="19"/>
  <c r="AJ524" i="19"/>
  <c r="AI524" i="19"/>
  <c r="AG524" i="19"/>
  <c r="AF524" i="19"/>
  <c r="AE524" i="19"/>
  <c r="AD524" i="19"/>
  <c r="AC524" i="19"/>
  <c r="AB524" i="19"/>
  <c r="AA524" i="19"/>
  <c r="X524" i="19"/>
  <c r="AM523" i="19"/>
  <c r="AL523" i="19"/>
  <c r="AK523" i="19"/>
  <c r="AJ523" i="19"/>
  <c r="AI523" i="19"/>
  <c r="AG523" i="19"/>
  <c r="AF523" i="19"/>
  <c r="AE523" i="19"/>
  <c r="AD523" i="19"/>
  <c r="AC523" i="19"/>
  <c r="AB523" i="19"/>
  <c r="AA523" i="19"/>
  <c r="X523" i="19"/>
  <c r="AM522" i="19"/>
  <c r="AL522" i="19"/>
  <c r="AK522" i="19"/>
  <c r="AJ522" i="19"/>
  <c r="AI522" i="19"/>
  <c r="AG522" i="19"/>
  <c r="AF522" i="19"/>
  <c r="AE522" i="19"/>
  <c r="AD522" i="19"/>
  <c r="AC522" i="19"/>
  <c r="AB522" i="19"/>
  <c r="AA522" i="19"/>
  <c r="X522" i="19"/>
  <c r="AM521" i="19"/>
  <c r="AL521" i="19"/>
  <c r="AK521" i="19"/>
  <c r="AJ521" i="19"/>
  <c r="AI521" i="19"/>
  <c r="AG521" i="19"/>
  <c r="AF521" i="19"/>
  <c r="AE521" i="19"/>
  <c r="AD521" i="19"/>
  <c r="AC521" i="19"/>
  <c r="AB521" i="19"/>
  <c r="AA521" i="19"/>
  <c r="X521" i="19"/>
  <c r="AM520" i="19"/>
  <c r="AL520" i="19"/>
  <c r="AK520" i="19"/>
  <c r="AJ520" i="19"/>
  <c r="AI520" i="19"/>
  <c r="AG520" i="19"/>
  <c r="AF520" i="19"/>
  <c r="AE520" i="19"/>
  <c r="AD520" i="19"/>
  <c r="AC520" i="19"/>
  <c r="AB520" i="19"/>
  <c r="AA520" i="19"/>
  <c r="X520" i="19"/>
  <c r="AM519" i="19"/>
  <c r="AL519" i="19"/>
  <c r="AK519" i="19"/>
  <c r="AJ519" i="19"/>
  <c r="AI519" i="19"/>
  <c r="AG519" i="19"/>
  <c r="AF519" i="19"/>
  <c r="AE519" i="19"/>
  <c r="AD519" i="19"/>
  <c r="AC519" i="19"/>
  <c r="AB519" i="19"/>
  <c r="AA519" i="19"/>
  <c r="X519" i="19"/>
  <c r="AM518" i="19"/>
  <c r="AL518" i="19"/>
  <c r="AK518" i="19"/>
  <c r="AJ518" i="19"/>
  <c r="AI518" i="19"/>
  <c r="AG518" i="19"/>
  <c r="AF518" i="19"/>
  <c r="AE518" i="19"/>
  <c r="AD518" i="19"/>
  <c r="AC518" i="19"/>
  <c r="AB518" i="19"/>
  <c r="AA518" i="19"/>
  <c r="X518" i="19"/>
  <c r="AM517" i="19"/>
  <c r="AL517" i="19"/>
  <c r="AK517" i="19"/>
  <c r="AJ517" i="19"/>
  <c r="AI517" i="19"/>
  <c r="AG517" i="19"/>
  <c r="AF517" i="19"/>
  <c r="AE517" i="19"/>
  <c r="AD517" i="19"/>
  <c r="AC517" i="19"/>
  <c r="AB517" i="19"/>
  <c r="AA517" i="19"/>
  <c r="X517" i="19"/>
  <c r="AM516" i="19"/>
  <c r="AL516" i="19"/>
  <c r="AK516" i="19"/>
  <c r="AJ516" i="19"/>
  <c r="AI516" i="19"/>
  <c r="AG516" i="19"/>
  <c r="AF516" i="19"/>
  <c r="AE516" i="19"/>
  <c r="AD516" i="19"/>
  <c r="AC516" i="19"/>
  <c r="AB516" i="19"/>
  <c r="AA516" i="19"/>
  <c r="X516" i="19"/>
  <c r="AM515" i="19"/>
  <c r="AL515" i="19"/>
  <c r="AK515" i="19"/>
  <c r="AJ515" i="19"/>
  <c r="AI515" i="19"/>
  <c r="AG515" i="19"/>
  <c r="AF515" i="19"/>
  <c r="AE515" i="19"/>
  <c r="AD515" i="19"/>
  <c r="AC515" i="19"/>
  <c r="AB515" i="19"/>
  <c r="AA515" i="19"/>
  <c r="X515" i="19"/>
  <c r="AM514" i="19"/>
  <c r="AL514" i="19"/>
  <c r="AK514" i="19"/>
  <c r="AJ514" i="19"/>
  <c r="AI514" i="19"/>
  <c r="AG514" i="19"/>
  <c r="AF514" i="19"/>
  <c r="AE514" i="19"/>
  <c r="AD514" i="19"/>
  <c r="AC514" i="19"/>
  <c r="AB514" i="19"/>
  <c r="AA514" i="19"/>
  <c r="X514" i="19"/>
  <c r="AM513" i="19"/>
  <c r="AL513" i="19"/>
  <c r="AK513" i="19"/>
  <c r="AJ513" i="19"/>
  <c r="AI513" i="19"/>
  <c r="AG513" i="19"/>
  <c r="AF513" i="19"/>
  <c r="AE513" i="19"/>
  <c r="AD513" i="19"/>
  <c r="AC513" i="19"/>
  <c r="AB513" i="19"/>
  <c r="AA513" i="19"/>
  <c r="X513" i="19"/>
  <c r="AM512" i="19"/>
  <c r="AL512" i="19"/>
  <c r="AK512" i="19"/>
  <c r="AJ512" i="19"/>
  <c r="AI512" i="19"/>
  <c r="AG512" i="19"/>
  <c r="AF512" i="19"/>
  <c r="AE512" i="19"/>
  <c r="AD512" i="19"/>
  <c r="AC512" i="19"/>
  <c r="AB512" i="19"/>
  <c r="AA512" i="19"/>
  <c r="X512" i="19"/>
  <c r="AM511" i="19"/>
  <c r="AL511" i="19"/>
  <c r="AK511" i="19"/>
  <c r="AJ511" i="19"/>
  <c r="AI511" i="19"/>
  <c r="AG511" i="19"/>
  <c r="AF511" i="19"/>
  <c r="AE511" i="19"/>
  <c r="AD511" i="19"/>
  <c r="AC511" i="19"/>
  <c r="AB511" i="19"/>
  <c r="AA511" i="19"/>
  <c r="X511" i="19"/>
  <c r="AM510" i="19"/>
  <c r="AL510" i="19"/>
  <c r="AK510" i="19"/>
  <c r="AJ510" i="19"/>
  <c r="AI510" i="19"/>
  <c r="AG510" i="19"/>
  <c r="AF510" i="19"/>
  <c r="AE510" i="19"/>
  <c r="AD510" i="19"/>
  <c r="AC510" i="19"/>
  <c r="AB510" i="19"/>
  <c r="AA510" i="19"/>
  <c r="X510" i="19"/>
  <c r="AM509" i="19"/>
  <c r="AL509" i="19"/>
  <c r="AK509" i="19"/>
  <c r="AJ509" i="19"/>
  <c r="AI509" i="19"/>
  <c r="AG509" i="19"/>
  <c r="AF509" i="19"/>
  <c r="AE509" i="19"/>
  <c r="AD509" i="19"/>
  <c r="AC509" i="19"/>
  <c r="AB509" i="19"/>
  <c r="AA509" i="19"/>
  <c r="X509" i="19"/>
  <c r="AM508" i="19"/>
  <c r="AL508" i="19"/>
  <c r="AK508" i="19"/>
  <c r="AJ508" i="19"/>
  <c r="AI508" i="19"/>
  <c r="AG508" i="19"/>
  <c r="AF508" i="19"/>
  <c r="AE508" i="19"/>
  <c r="AD508" i="19"/>
  <c r="AC508" i="19"/>
  <c r="AB508" i="19"/>
  <c r="AA508" i="19"/>
  <c r="X508" i="19"/>
  <c r="AM507" i="19"/>
  <c r="AL507" i="19"/>
  <c r="AK507" i="19"/>
  <c r="AJ507" i="19"/>
  <c r="AI507" i="19"/>
  <c r="AG507" i="19"/>
  <c r="AF507" i="19"/>
  <c r="AE507" i="19"/>
  <c r="AD507" i="19"/>
  <c r="AC507" i="19"/>
  <c r="AB507" i="19"/>
  <c r="AA507" i="19"/>
  <c r="X507" i="19"/>
  <c r="AM506" i="19"/>
  <c r="AL506" i="19"/>
  <c r="AK506" i="19"/>
  <c r="AJ506" i="19"/>
  <c r="AI506" i="19"/>
  <c r="AG506" i="19"/>
  <c r="AF506" i="19"/>
  <c r="AE506" i="19"/>
  <c r="AD506" i="19"/>
  <c r="AC506" i="19"/>
  <c r="AB506" i="19"/>
  <c r="AA506" i="19"/>
  <c r="X506" i="19"/>
  <c r="AM505" i="19"/>
  <c r="AL505" i="19"/>
  <c r="AK505" i="19"/>
  <c r="AJ505" i="19"/>
  <c r="AI505" i="19"/>
  <c r="AG505" i="19"/>
  <c r="AF505" i="19"/>
  <c r="AE505" i="19"/>
  <c r="AD505" i="19"/>
  <c r="AC505" i="19"/>
  <c r="AB505" i="19"/>
  <c r="AA505" i="19"/>
  <c r="X505" i="19"/>
  <c r="AM504" i="19"/>
  <c r="AL504" i="19"/>
  <c r="AK504" i="19"/>
  <c r="AJ504" i="19"/>
  <c r="AI504" i="19"/>
  <c r="AG504" i="19"/>
  <c r="AF504" i="19"/>
  <c r="AE504" i="19"/>
  <c r="AD504" i="19"/>
  <c r="AC504" i="19"/>
  <c r="AB504" i="19"/>
  <c r="AA504" i="19"/>
  <c r="X504" i="19"/>
  <c r="AM503" i="19"/>
  <c r="AL503" i="19"/>
  <c r="AK503" i="19"/>
  <c r="AJ503" i="19"/>
  <c r="AI503" i="19"/>
  <c r="AG503" i="19"/>
  <c r="AF503" i="19"/>
  <c r="AE503" i="19"/>
  <c r="AD503" i="19"/>
  <c r="AC503" i="19"/>
  <c r="AB503" i="19"/>
  <c r="AA503" i="19"/>
  <c r="X503" i="19"/>
  <c r="AM502" i="19"/>
  <c r="AL502" i="19"/>
  <c r="AK502" i="19"/>
  <c r="AJ502" i="19"/>
  <c r="AI502" i="19"/>
  <c r="AG502" i="19"/>
  <c r="AF502" i="19"/>
  <c r="AE502" i="19"/>
  <c r="AD502" i="19"/>
  <c r="AC502" i="19"/>
  <c r="AB502" i="19"/>
  <c r="AA502" i="19"/>
  <c r="X502" i="19"/>
  <c r="AM501" i="19"/>
  <c r="AL501" i="19"/>
  <c r="AK501" i="19"/>
  <c r="AJ501" i="19"/>
  <c r="AI501" i="19"/>
  <c r="AG501" i="19"/>
  <c r="AF501" i="19"/>
  <c r="AE501" i="19"/>
  <c r="AD501" i="19"/>
  <c r="AC501" i="19"/>
  <c r="AB501" i="19"/>
  <c r="AA501" i="19"/>
  <c r="X501" i="19"/>
  <c r="AM500" i="19"/>
  <c r="AL500" i="19"/>
  <c r="AK500" i="19"/>
  <c r="AJ500" i="19"/>
  <c r="AI500" i="19"/>
  <c r="AG500" i="19"/>
  <c r="AF500" i="19"/>
  <c r="AE500" i="19"/>
  <c r="AD500" i="19"/>
  <c r="AC500" i="19"/>
  <c r="AB500" i="19"/>
  <c r="AA500" i="19"/>
  <c r="X500" i="19"/>
  <c r="AM499" i="19"/>
  <c r="AL499" i="19"/>
  <c r="AK499" i="19"/>
  <c r="AJ499" i="19"/>
  <c r="AI499" i="19"/>
  <c r="AG499" i="19"/>
  <c r="AF499" i="19"/>
  <c r="AE499" i="19"/>
  <c r="AD499" i="19"/>
  <c r="AC499" i="19"/>
  <c r="AB499" i="19"/>
  <c r="AA499" i="19"/>
  <c r="X499" i="19"/>
  <c r="AM498" i="19"/>
  <c r="AL498" i="19"/>
  <c r="AK498" i="19"/>
  <c r="AJ498" i="19"/>
  <c r="AI498" i="19"/>
  <c r="AG498" i="19"/>
  <c r="AF498" i="19"/>
  <c r="AE498" i="19"/>
  <c r="AD498" i="19"/>
  <c r="AC498" i="19"/>
  <c r="AB498" i="19"/>
  <c r="AA498" i="19"/>
  <c r="X498" i="19"/>
  <c r="AM497" i="19"/>
  <c r="AL497" i="19"/>
  <c r="AK497" i="19"/>
  <c r="AJ497" i="19"/>
  <c r="AI497" i="19"/>
  <c r="AG497" i="19"/>
  <c r="AF497" i="19"/>
  <c r="AE497" i="19"/>
  <c r="AD497" i="19"/>
  <c r="AC497" i="19"/>
  <c r="AB497" i="19"/>
  <c r="AA497" i="19"/>
  <c r="X497" i="19"/>
  <c r="AM496" i="19"/>
  <c r="AL496" i="19"/>
  <c r="AK496" i="19"/>
  <c r="AJ496" i="19"/>
  <c r="AI496" i="19"/>
  <c r="AG496" i="19"/>
  <c r="AF496" i="19"/>
  <c r="AE496" i="19"/>
  <c r="AD496" i="19"/>
  <c r="AC496" i="19"/>
  <c r="AB496" i="19"/>
  <c r="AA496" i="19"/>
  <c r="X496" i="19"/>
  <c r="AM495" i="19"/>
  <c r="AL495" i="19"/>
  <c r="AK495" i="19"/>
  <c r="AJ495" i="19"/>
  <c r="AI495" i="19"/>
  <c r="AG495" i="19"/>
  <c r="AF495" i="19"/>
  <c r="AE495" i="19"/>
  <c r="AD495" i="19"/>
  <c r="AC495" i="19"/>
  <c r="AB495" i="19"/>
  <c r="AA495" i="19"/>
  <c r="X495" i="19"/>
  <c r="AM494" i="19"/>
  <c r="AL494" i="19"/>
  <c r="AK494" i="19"/>
  <c r="AJ494" i="19"/>
  <c r="AI494" i="19"/>
  <c r="AG494" i="19"/>
  <c r="AF494" i="19"/>
  <c r="AE494" i="19"/>
  <c r="AD494" i="19"/>
  <c r="AC494" i="19"/>
  <c r="AB494" i="19"/>
  <c r="AA494" i="19"/>
  <c r="X494" i="19"/>
  <c r="AM493" i="19"/>
  <c r="AL493" i="19"/>
  <c r="AK493" i="19"/>
  <c r="AJ493" i="19"/>
  <c r="AI493" i="19"/>
  <c r="AG493" i="19"/>
  <c r="AF493" i="19"/>
  <c r="AE493" i="19"/>
  <c r="AD493" i="19"/>
  <c r="AC493" i="19"/>
  <c r="AB493" i="19"/>
  <c r="AA493" i="19"/>
  <c r="X493" i="19"/>
  <c r="AM492" i="19"/>
  <c r="AL492" i="19"/>
  <c r="AK492" i="19"/>
  <c r="AJ492" i="19"/>
  <c r="AI492" i="19"/>
  <c r="AG492" i="19"/>
  <c r="AF492" i="19"/>
  <c r="AE492" i="19"/>
  <c r="AD492" i="19"/>
  <c r="AC492" i="19"/>
  <c r="AB492" i="19"/>
  <c r="AA492" i="19"/>
  <c r="X492" i="19"/>
  <c r="AM491" i="19"/>
  <c r="AL491" i="19"/>
  <c r="AK491" i="19"/>
  <c r="AJ491" i="19"/>
  <c r="AI491" i="19"/>
  <c r="AG491" i="19"/>
  <c r="AF491" i="19"/>
  <c r="AE491" i="19"/>
  <c r="AD491" i="19"/>
  <c r="AC491" i="19"/>
  <c r="AB491" i="19"/>
  <c r="AA491" i="19"/>
  <c r="X491" i="19"/>
  <c r="AM490" i="19"/>
  <c r="AL490" i="19"/>
  <c r="AK490" i="19"/>
  <c r="AJ490" i="19"/>
  <c r="AI490" i="19"/>
  <c r="AG490" i="19"/>
  <c r="AF490" i="19"/>
  <c r="AE490" i="19"/>
  <c r="AD490" i="19"/>
  <c r="AC490" i="19"/>
  <c r="AB490" i="19"/>
  <c r="AA490" i="19"/>
  <c r="X490" i="19"/>
  <c r="AM489" i="19"/>
  <c r="AL489" i="19"/>
  <c r="AK489" i="19"/>
  <c r="AJ489" i="19"/>
  <c r="AI489" i="19"/>
  <c r="AG489" i="19"/>
  <c r="AF489" i="19"/>
  <c r="AE489" i="19"/>
  <c r="AD489" i="19"/>
  <c r="AC489" i="19"/>
  <c r="AB489" i="19"/>
  <c r="AA489" i="19"/>
  <c r="X489" i="19"/>
  <c r="AM488" i="19"/>
  <c r="AL488" i="19"/>
  <c r="AK488" i="19"/>
  <c r="AJ488" i="19"/>
  <c r="AI488" i="19"/>
  <c r="AG488" i="19"/>
  <c r="AF488" i="19"/>
  <c r="AE488" i="19"/>
  <c r="AD488" i="19"/>
  <c r="AC488" i="19"/>
  <c r="AB488" i="19"/>
  <c r="AA488" i="19"/>
  <c r="X488" i="19"/>
  <c r="AM487" i="19"/>
  <c r="AL487" i="19"/>
  <c r="AK487" i="19"/>
  <c r="AJ487" i="19"/>
  <c r="AI487" i="19"/>
  <c r="AG487" i="19"/>
  <c r="AF487" i="19"/>
  <c r="AE487" i="19"/>
  <c r="AD487" i="19"/>
  <c r="AC487" i="19"/>
  <c r="AB487" i="19"/>
  <c r="AA487" i="19"/>
  <c r="X487" i="19"/>
  <c r="AM486" i="19"/>
  <c r="AL486" i="19"/>
  <c r="AK486" i="19"/>
  <c r="AJ486" i="19"/>
  <c r="AI486" i="19"/>
  <c r="AG486" i="19"/>
  <c r="AF486" i="19"/>
  <c r="AE486" i="19"/>
  <c r="AD486" i="19"/>
  <c r="AC486" i="19"/>
  <c r="AB486" i="19"/>
  <c r="AA486" i="19"/>
  <c r="X486" i="19"/>
  <c r="AM485" i="19"/>
  <c r="AL485" i="19"/>
  <c r="AK485" i="19"/>
  <c r="AJ485" i="19"/>
  <c r="AI485" i="19"/>
  <c r="AG485" i="19"/>
  <c r="AF485" i="19"/>
  <c r="AE485" i="19"/>
  <c r="AD485" i="19"/>
  <c r="AC485" i="19"/>
  <c r="AB485" i="19"/>
  <c r="AA485" i="19"/>
  <c r="X485" i="19"/>
  <c r="AM484" i="19"/>
  <c r="AL484" i="19"/>
  <c r="AK484" i="19"/>
  <c r="AJ484" i="19"/>
  <c r="AI484" i="19"/>
  <c r="AG484" i="19"/>
  <c r="AF484" i="19"/>
  <c r="AE484" i="19"/>
  <c r="AD484" i="19"/>
  <c r="AC484" i="19"/>
  <c r="AB484" i="19"/>
  <c r="AA484" i="19"/>
  <c r="X484" i="19"/>
  <c r="AM483" i="19"/>
  <c r="AL483" i="19"/>
  <c r="AK483" i="19"/>
  <c r="AJ483" i="19"/>
  <c r="AI483" i="19"/>
  <c r="AG483" i="19"/>
  <c r="AF483" i="19"/>
  <c r="AE483" i="19"/>
  <c r="AD483" i="19"/>
  <c r="AC483" i="19"/>
  <c r="AB483" i="19"/>
  <c r="AA483" i="19"/>
  <c r="X483" i="19"/>
  <c r="AM482" i="19"/>
  <c r="AL482" i="19"/>
  <c r="AK482" i="19"/>
  <c r="AJ482" i="19"/>
  <c r="AI482" i="19"/>
  <c r="AG482" i="19"/>
  <c r="AF482" i="19"/>
  <c r="AE482" i="19"/>
  <c r="AD482" i="19"/>
  <c r="AC482" i="19"/>
  <c r="AB482" i="19"/>
  <c r="AA482" i="19"/>
  <c r="X482" i="19"/>
  <c r="AM481" i="19"/>
  <c r="AL481" i="19"/>
  <c r="AK481" i="19"/>
  <c r="AJ481" i="19"/>
  <c r="AI481" i="19"/>
  <c r="AG481" i="19"/>
  <c r="AF481" i="19"/>
  <c r="AE481" i="19"/>
  <c r="AD481" i="19"/>
  <c r="AC481" i="19"/>
  <c r="AB481" i="19"/>
  <c r="AA481" i="19"/>
  <c r="X481" i="19"/>
  <c r="AM480" i="19"/>
  <c r="AL480" i="19"/>
  <c r="AK480" i="19"/>
  <c r="AJ480" i="19"/>
  <c r="AI480" i="19"/>
  <c r="AG480" i="19"/>
  <c r="AF480" i="19"/>
  <c r="AE480" i="19"/>
  <c r="AD480" i="19"/>
  <c r="AC480" i="19"/>
  <c r="AB480" i="19"/>
  <c r="AA480" i="19"/>
  <c r="X480" i="19"/>
  <c r="AM479" i="19"/>
  <c r="AL479" i="19"/>
  <c r="AK479" i="19"/>
  <c r="AJ479" i="19"/>
  <c r="AI479" i="19"/>
  <c r="AG479" i="19"/>
  <c r="AF479" i="19"/>
  <c r="AE479" i="19"/>
  <c r="AD479" i="19"/>
  <c r="AC479" i="19"/>
  <c r="AB479" i="19"/>
  <c r="AA479" i="19"/>
  <c r="X479" i="19"/>
  <c r="AM478" i="19"/>
  <c r="AL478" i="19"/>
  <c r="AK478" i="19"/>
  <c r="AJ478" i="19"/>
  <c r="AI478" i="19"/>
  <c r="AG478" i="19"/>
  <c r="AF478" i="19"/>
  <c r="AE478" i="19"/>
  <c r="AD478" i="19"/>
  <c r="AC478" i="19"/>
  <c r="AB478" i="19"/>
  <c r="AA478" i="19"/>
  <c r="X478" i="19"/>
  <c r="AM477" i="19"/>
  <c r="AL477" i="19"/>
  <c r="AK477" i="19"/>
  <c r="AJ477" i="19"/>
  <c r="AI477" i="19"/>
  <c r="AG477" i="19"/>
  <c r="AF477" i="19"/>
  <c r="AE477" i="19"/>
  <c r="AD477" i="19"/>
  <c r="AC477" i="19"/>
  <c r="AB477" i="19"/>
  <c r="AA477" i="19"/>
  <c r="X477" i="19"/>
  <c r="AM476" i="19"/>
  <c r="AL476" i="19"/>
  <c r="AK476" i="19"/>
  <c r="AJ476" i="19"/>
  <c r="AI476" i="19"/>
  <c r="AG476" i="19"/>
  <c r="AF476" i="19"/>
  <c r="AE476" i="19"/>
  <c r="AD476" i="19"/>
  <c r="AC476" i="19"/>
  <c r="AB476" i="19"/>
  <c r="AA476" i="19"/>
  <c r="X476" i="19"/>
  <c r="AM475" i="19"/>
  <c r="AL475" i="19"/>
  <c r="AK475" i="19"/>
  <c r="AJ475" i="19"/>
  <c r="AI475" i="19"/>
  <c r="AG475" i="19"/>
  <c r="AF475" i="19"/>
  <c r="AE475" i="19"/>
  <c r="AD475" i="19"/>
  <c r="AC475" i="19"/>
  <c r="AB475" i="19"/>
  <c r="AA475" i="19"/>
  <c r="X475" i="19"/>
  <c r="AM474" i="19"/>
  <c r="AL474" i="19"/>
  <c r="AK474" i="19"/>
  <c r="AJ474" i="19"/>
  <c r="AI474" i="19"/>
  <c r="AG474" i="19"/>
  <c r="AF474" i="19"/>
  <c r="AE474" i="19"/>
  <c r="AD474" i="19"/>
  <c r="AC474" i="19"/>
  <c r="AB474" i="19"/>
  <c r="AA474" i="19"/>
  <c r="X474" i="19"/>
  <c r="AM473" i="19"/>
  <c r="AL473" i="19"/>
  <c r="AK473" i="19"/>
  <c r="AJ473" i="19"/>
  <c r="AI473" i="19"/>
  <c r="AG473" i="19"/>
  <c r="AF473" i="19"/>
  <c r="AE473" i="19"/>
  <c r="AD473" i="19"/>
  <c r="AC473" i="19"/>
  <c r="AB473" i="19"/>
  <c r="AA473" i="19"/>
  <c r="X473" i="19"/>
  <c r="AM472" i="19"/>
  <c r="AL472" i="19"/>
  <c r="AK472" i="19"/>
  <c r="AJ472" i="19"/>
  <c r="AI472" i="19"/>
  <c r="AG472" i="19"/>
  <c r="AF472" i="19"/>
  <c r="AE472" i="19"/>
  <c r="AD472" i="19"/>
  <c r="AC472" i="19"/>
  <c r="AB472" i="19"/>
  <c r="AA472" i="19"/>
  <c r="X472" i="19"/>
  <c r="AM471" i="19"/>
  <c r="AL471" i="19"/>
  <c r="AK471" i="19"/>
  <c r="AJ471" i="19"/>
  <c r="AI471" i="19"/>
  <c r="AG471" i="19"/>
  <c r="AF471" i="19"/>
  <c r="AE471" i="19"/>
  <c r="AD471" i="19"/>
  <c r="AC471" i="19"/>
  <c r="AB471" i="19"/>
  <c r="AA471" i="19"/>
  <c r="X471" i="19"/>
  <c r="AM470" i="19"/>
  <c r="AL470" i="19"/>
  <c r="AK470" i="19"/>
  <c r="AJ470" i="19"/>
  <c r="AI470" i="19"/>
  <c r="AG470" i="19"/>
  <c r="AF470" i="19"/>
  <c r="AE470" i="19"/>
  <c r="AD470" i="19"/>
  <c r="AC470" i="19"/>
  <c r="AB470" i="19"/>
  <c r="AA470" i="19"/>
  <c r="X470" i="19"/>
  <c r="AM469" i="19"/>
  <c r="AL469" i="19"/>
  <c r="AK469" i="19"/>
  <c r="AJ469" i="19"/>
  <c r="AI469" i="19"/>
  <c r="AG469" i="19"/>
  <c r="AF469" i="19"/>
  <c r="AE469" i="19"/>
  <c r="AD469" i="19"/>
  <c r="AC469" i="19"/>
  <c r="AB469" i="19"/>
  <c r="AA469" i="19"/>
  <c r="X469" i="19"/>
  <c r="AM468" i="19"/>
  <c r="AL468" i="19"/>
  <c r="AK468" i="19"/>
  <c r="AJ468" i="19"/>
  <c r="AI468" i="19"/>
  <c r="AG468" i="19"/>
  <c r="AF468" i="19"/>
  <c r="AE468" i="19"/>
  <c r="AD468" i="19"/>
  <c r="AC468" i="19"/>
  <c r="AB468" i="19"/>
  <c r="AA468" i="19"/>
  <c r="X468" i="19"/>
  <c r="AM467" i="19"/>
  <c r="AL467" i="19"/>
  <c r="AK467" i="19"/>
  <c r="AJ467" i="19"/>
  <c r="AI467" i="19"/>
  <c r="AG467" i="19"/>
  <c r="AF467" i="19"/>
  <c r="AE467" i="19"/>
  <c r="AD467" i="19"/>
  <c r="AC467" i="19"/>
  <c r="AB467" i="19"/>
  <c r="AA467" i="19"/>
  <c r="X467" i="19"/>
  <c r="AM466" i="19"/>
  <c r="AL466" i="19"/>
  <c r="AK466" i="19"/>
  <c r="AJ466" i="19"/>
  <c r="AI466" i="19"/>
  <c r="AG466" i="19"/>
  <c r="AF466" i="19"/>
  <c r="AE466" i="19"/>
  <c r="AD466" i="19"/>
  <c r="AC466" i="19"/>
  <c r="AB466" i="19"/>
  <c r="AA466" i="19"/>
  <c r="X466" i="19"/>
  <c r="AM465" i="19"/>
  <c r="AL465" i="19"/>
  <c r="AK465" i="19"/>
  <c r="AJ465" i="19"/>
  <c r="AI465" i="19"/>
  <c r="AG465" i="19"/>
  <c r="AF465" i="19"/>
  <c r="AE465" i="19"/>
  <c r="AD465" i="19"/>
  <c r="AC465" i="19"/>
  <c r="AB465" i="19"/>
  <c r="AA465" i="19"/>
  <c r="X465" i="19"/>
  <c r="AM464" i="19"/>
  <c r="AL464" i="19"/>
  <c r="AK464" i="19"/>
  <c r="AJ464" i="19"/>
  <c r="AI464" i="19"/>
  <c r="AG464" i="19"/>
  <c r="AF464" i="19"/>
  <c r="AE464" i="19"/>
  <c r="AD464" i="19"/>
  <c r="AC464" i="19"/>
  <c r="AB464" i="19"/>
  <c r="AA464" i="19"/>
  <c r="X464" i="19"/>
  <c r="AM463" i="19"/>
  <c r="AL463" i="19"/>
  <c r="AK463" i="19"/>
  <c r="AJ463" i="19"/>
  <c r="AI463" i="19"/>
  <c r="AG463" i="19"/>
  <c r="AF463" i="19"/>
  <c r="AE463" i="19"/>
  <c r="AD463" i="19"/>
  <c r="AC463" i="19"/>
  <c r="AB463" i="19"/>
  <c r="AA463" i="19"/>
  <c r="X463" i="19"/>
  <c r="AM462" i="19"/>
  <c r="AL462" i="19"/>
  <c r="AK462" i="19"/>
  <c r="AJ462" i="19"/>
  <c r="AI462" i="19"/>
  <c r="AG462" i="19"/>
  <c r="AF462" i="19"/>
  <c r="AE462" i="19"/>
  <c r="AD462" i="19"/>
  <c r="AC462" i="19"/>
  <c r="AB462" i="19"/>
  <c r="AA462" i="19"/>
  <c r="X462" i="19"/>
  <c r="AM461" i="19"/>
  <c r="AL461" i="19"/>
  <c r="AK461" i="19"/>
  <c r="AJ461" i="19"/>
  <c r="AI461" i="19"/>
  <c r="AG461" i="19"/>
  <c r="AF461" i="19"/>
  <c r="AE461" i="19"/>
  <c r="AD461" i="19"/>
  <c r="AC461" i="19"/>
  <c r="AB461" i="19"/>
  <c r="AA461" i="19"/>
  <c r="X461" i="19"/>
  <c r="AM460" i="19"/>
  <c r="AL460" i="19"/>
  <c r="AK460" i="19"/>
  <c r="AJ460" i="19"/>
  <c r="AI460" i="19"/>
  <c r="AG460" i="19"/>
  <c r="AF460" i="19"/>
  <c r="AE460" i="19"/>
  <c r="AD460" i="19"/>
  <c r="AC460" i="19"/>
  <c r="AB460" i="19"/>
  <c r="AA460" i="19"/>
  <c r="X460" i="19"/>
  <c r="AM459" i="19"/>
  <c r="AL459" i="19"/>
  <c r="AK459" i="19"/>
  <c r="AJ459" i="19"/>
  <c r="AI459" i="19"/>
  <c r="AG459" i="19"/>
  <c r="AF459" i="19"/>
  <c r="AE459" i="19"/>
  <c r="AD459" i="19"/>
  <c r="AC459" i="19"/>
  <c r="AB459" i="19"/>
  <c r="AA459" i="19"/>
  <c r="X459" i="19"/>
  <c r="AM458" i="19"/>
  <c r="AL458" i="19"/>
  <c r="AK458" i="19"/>
  <c r="AJ458" i="19"/>
  <c r="AI458" i="19"/>
  <c r="AG458" i="19"/>
  <c r="AF458" i="19"/>
  <c r="AE458" i="19"/>
  <c r="AD458" i="19"/>
  <c r="AC458" i="19"/>
  <c r="AB458" i="19"/>
  <c r="AA458" i="19"/>
  <c r="X458" i="19"/>
  <c r="AM457" i="19"/>
  <c r="AL457" i="19"/>
  <c r="AK457" i="19"/>
  <c r="AJ457" i="19"/>
  <c r="AI457" i="19"/>
  <c r="AG457" i="19"/>
  <c r="AF457" i="19"/>
  <c r="AE457" i="19"/>
  <c r="AD457" i="19"/>
  <c r="AC457" i="19"/>
  <c r="AB457" i="19"/>
  <c r="AA457" i="19"/>
  <c r="X457" i="19"/>
  <c r="AM456" i="19"/>
  <c r="AL456" i="19"/>
  <c r="AK456" i="19"/>
  <c r="AJ456" i="19"/>
  <c r="AI456" i="19"/>
  <c r="AG456" i="19"/>
  <c r="AF456" i="19"/>
  <c r="AE456" i="19"/>
  <c r="AD456" i="19"/>
  <c r="AC456" i="19"/>
  <c r="AB456" i="19"/>
  <c r="AA456" i="19"/>
  <c r="X456" i="19"/>
  <c r="AM455" i="19"/>
  <c r="AL455" i="19"/>
  <c r="AK455" i="19"/>
  <c r="AJ455" i="19"/>
  <c r="AI455" i="19"/>
  <c r="AG455" i="19"/>
  <c r="AF455" i="19"/>
  <c r="AE455" i="19"/>
  <c r="AD455" i="19"/>
  <c r="AC455" i="19"/>
  <c r="AB455" i="19"/>
  <c r="AA455" i="19"/>
  <c r="X455" i="19"/>
  <c r="AM454" i="19"/>
  <c r="AL454" i="19"/>
  <c r="AK454" i="19"/>
  <c r="AJ454" i="19"/>
  <c r="AI454" i="19"/>
  <c r="AG454" i="19"/>
  <c r="AF454" i="19"/>
  <c r="AE454" i="19"/>
  <c r="AD454" i="19"/>
  <c r="AC454" i="19"/>
  <c r="AB454" i="19"/>
  <c r="AA454" i="19"/>
  <c r="X454" i="19"/>
  <c r="AM453" i="19"/>
  <c r="AL453" i="19"/>
  <c r="AK453" i="19"/>
  <c r="AJ453" i="19"/>
  <c r="AI453" i="19"/>
  <c r="AG453" i="19"/>
  <c r="AF453" i="19"/>
  <c r="AE453" i="19"/>
  <c r="AD453" i="19"/>
  <c r="AC453" i="19"/>
  <c r="AB453" i="19"/>
  <c r="AA453" i="19"/>
  <c r="X453" i="19"/>
  <c r="AM452" i="19"/>
  <c r="AL452" i="19"/>
  <c r="AK452" i="19"/>
  <c r="AJ452" i="19"/>
  <c r="AI452" i="19"/>
  <c r="AG452" i="19"/>
  <c r="AF452" i="19"/>
  <c r="AE452" i="19"/>
  <c r="AD452" i="19"/>
  <c r="AC452" i="19"/>
  <c r="AB452" i="19"/>
  <c r="AA452" i="19"/>
  <c r="X452" i="19"/>
  <c r="AM451" i="19"/>
  <c r="AL451" i="19"/>
  <c r="AK451" i="19"/>
  <c r="AJ451" i="19"/>
  <c r="AI451" i="19"/>
  <c r="AG451" i="19"/>
  <c r="AF451" i="19"/>
  <c r="AE451" i="19"/>
  <c r="AD451" i="19"/>
  <c r="AC451" i="19"/>
  <c r="AB451" i="19"/>
  <c r="AA451" i="19"/>
  <c r="X451" i="19"/>
  <c r="AM450" i="19"/>
  <c r="AL450" i="19"/>
  <c r="AK450" i="19"/>
  <c r="AJ450" i="19"/>
  <c r="AI450" i="19"/>
  <c r="AG450" i="19"/>
  <c r="AF450" i="19"/>
  <c r="AE450" i="19"/>
  <c r="AD450" i="19"/>
  <c r="AC450" i="19"/>
  <c r="AB450" i="19"/>
  <c r="AA450" i="19"/>
  <c r="X450" i="19"/>
  <c r="AM449" i="19"/>
  <c r="AL449" i="19"/>
  <c r="AK449" i="19"/>
  <c r="AJ449" i="19"/>
  <c r="AI449" i="19"/>
  <c r="AG449" i="19"/>
  <c r="AF449" i="19"/>
  <c r="AE449" i="19"/>
  <c r="AD449" i="19"/>
  <c r="AC449" i="19"/>
  <c r="AB449" i="19"/>
  <c r="AA449" i="19"/>
  <c r="X449" i="19"/>
  <c r="AM448" i="19"/>
  <c r="AL448" i="19"/>
  <c r="AK448" i="19"/>
  <c r="AJ448" i="19"/>
  <c r="AI448" i="19"/>
  <c r="AG448" i="19"/>
  <c r="AF448" i="19"/>
  <c r="AE448" i="19"/>
  <c r="AD448" i="19"/>
  <c r="AC448" i="19"/>
  <c r="AB448" i="19"/>
  <c r="AA448" i="19"/>
  <c r="X448" i="19"/>
  <c r="AM447" i="19"/>
  <c r="AL447" i="19"/>
  <c r="AK447" i="19"/>
  <c r="AJ447" i="19"/>
  <c r="AI447" i="19"/>
  <c r="AG447" i="19"/>
  <c r="AF447" i="19"/>
  <c r="AE447" i="19"/>
  <c r="AD447" i="19"/>
  <c r="AC447" i="19"/>
  <c r="AB447" i="19"/>
  <c r="AA447" i="19"/>
  <c r="X447" i="19"/>
  <c r="AM446" i="19"/>
  <c r="AL446" i="19"/>
  <c r="AK446" i="19"/>
  <c r="AJ446" i="19"/>
  <c r="AI446" i="19"/>
  <c r="AG446" i="19"/>
  <c r="AF446" i="19"/>
  <c r="AE446" i="19"/>
  <c r="AD446" i="19"/>
  <c r="AC446" i="19"/>
  <c r="AB446" i="19"/>
  <c r="AA446" i="19"/>
  <c r="X446" i="19"/>
  <c r="AM445" i="19"/>
  <c r="AL445" i="19"/>
  <c r="AK445" i="19"/>
  <c r="AJ445" i="19"/>
  <c r="AI445" i="19"/>
  <c r="AG445" i="19"/>
  <c r="AF445" i="19"/>
  <c r="AE445" i="19"/>
  <c r="AD445" i="19"/>
  <c r="AC445" i="19"/>
  <c r="AB445" i="19"/>
  <c r="AA445" i="19"/>
  <c r="X445" i="19"/>
  <c r="AM444" i="19"/>
  <c r="AL444" i="19"/>
  <c r="AK444" i="19"/>
  <c r="AJ444" i="19"/>
  <c r="AI444" i="19"/>
  <c r="AG444" i="19"/>
  <c r="AF444" i="19"/>
  <c r="AE444" i="19"/>
  <c r="AD444" i="19"/>
  <c r="AC444" i="19"/>
  <c r="AB444" i="19"/>
  <c r="AA444" i="19"/>
  <c r="X444" i="19"/>
  <c r="AM443" i="19"/>
  <c r="AL443" i="19"/>
  <c r="AK443" i="19"/>
  <c r="AJ443" i="19"/>
  <c r="AI443" i="19"/>
  <c r="AG443" i="19"/>
  <c r="AF443" i="19"/>
  <c r="AE443" i="19"/>
  <c r="AD443" i="19"/>
  <c r="AC443" i="19"/>
  <c r="AB443" i="19"/>
  <c r="AA443" i="19"/>
  <c r="X443" i="19"/>
  <c r="AM442" i="19"/>
  <c r="AL442" i="19"/>
  <c r="AK442" i="19"/>
  <c r="AJ442" i="19"/>
  <c r="AI442" i="19"/>
  <c r="AG442" i="19"/>
  <c r="AF442" i="19"/>
  <c r="AE442" i="19"/>
  <c r="AD442" i="19"/>
  <c r="AC442" i="19"/>
  <c r="AB442" i="19"/>
  <c r="AA442" i="19"/>
  <c r="X442" i="19"/>
  <c r="AM441" i="19"/>
  <c r="AL441" i="19"/>
  <c r="AK441" i="19"/>
  <c r="AJ441" i="19"/>
  <c r="AI441" i="19"/>
  <c r="AG441" i="19"/>
  <c r="AF441" i="19"/>
  <c r="AE441" i="19"/>
  <c r="AD441" i="19"/>
  <c r="AC441" i="19"/>
  <c r="AB441" i="19"/>
  <c r="AA441" i="19"/>
  <c r="X441" i="19"/>
  <c r="AM440" i="19"/>
  <c r="AL440" i="19"/>
  <c r="AK440" i="19"/>
  <c r="AJ440" i="19"/>
  <c r="AI440" i="19"/>
  <c r="AG440" i="19"/>
  <c r="AF440" i="19"/>
  <c r="AE440" i="19"/>
  <c r="AD440" i="19"/>
  <c r="AC440" i="19"/>
  <c r="AB440" i="19"/>
  <c r="AA440" i="19"/>
  <c r="X440" i="19"/>
  <c r="AM439" i="19"/>
  <c r="AL439" i="19"/>
  <c r="AK439" i="19"/>
  <c r="AJ439" i="19"/>
  <c r="AI439" i="19"/>
  <c r="AG439" i="19"/>
  <c r="AF439" i="19"/>
  <c r="AE439" i="19"/>
  <c r="AD439" i="19"/>
  <c r="AC439" i="19"/>
  <c r="AB439" i="19"/>
  <c r="AA439" i="19"/>
  <c r="X439" i="19"/>
  <c r="AM438" i="19"/>
  <c r="AL438" i="19"/>
  <c r="AK438" i="19"/>
  <c r="AJ438" i="19"/>
  <c r="AI438" i="19"/>
  <c r="AG438" i="19"/>
  <c r="AF438" i="19"/>
  <c r="AE438" i="19"/>
  <c r="AD438" i="19"/>
  <c r="AC438" i="19"/>
  <c r="AB438" i="19"/>
  <c r="AA438" i="19"/>
  <c r="X438" i="19"/>
  <c r="AM437" i="19"/>
  <c r="AL437" i="19"/>
  <c r="AK437" i="19"/>
  <c r="AJ437" i="19"/>
  <c r="AI437" i="19"/>
  <c r="AG437" i="19"/>
  <c r="AF437" i="19"/>
  <c r="AE437" i="19"/>
  <c r="AD437" i="19"/>
  <c r="AC437" i="19"/>
  <c r="AB437" i="19"/>
  <c r="AA437" i="19"/>
  <c r="X437" i="19"/>
  <c r="AM436" i="19"/>
  <c r="AL436" i="19"/>
  <c r="AK436" i="19"/>
  <c r="AJ436" i="19"/>
  <c r="AI436" i="19"/>
  <c r="AG436" i="19"/>
  <c r="AF436" i="19"/>
  <c r="AE436" i="19"/>
  <c r="AD436" i="19"/>
  <c r="AC436" i="19"/>
  <c r="AB436" i="19"/>
  <c r="AA436" i="19"/>
  <c r="X436" i="19"/>
  <c r="AM435" i="19"/>
  <c r="AL435" i="19"/>
  <c r="AK435" i="19"/>
  <c r="AJ435" i="19"/>
  <c r="AI435" i="19"/>
  <c r="AG435" i="19"/>
  <c r="AF435" i="19"/>
  <c r="AE435" i="19"/>
  <c r="AD435" i="19"/>
  <c r="AC435" i="19"/>
  <c r="AB435" i="19"/>
  <c r="AA435" i="19"/>
  <c r="X435" i="19"/>
  <c r="AM434" i="19"/>
  <c r="AL434" i="19"/>
  <c r="AK434" i="19"/>
  <c r="AJ434" i="19"/>
  <c r="AI434" i="19"/>
  <c r="AG434" i="19"/>
  <c r="AF434" i="19"/>
  <c r="AE434" i="19"/>
  <c r="AD434" i="19"/>
  <c r="AC434" i="19"/>
  <c r="AB434" i="19"/>
  <c r="AA434" i="19"/>
  <c r="X434" i="19"/>
  <c r="AM433" i="19"/>
  <c r="AL433" i="19"/>
  <c r="AK433" i="19"/>
  <c r="AJ433" i="19"/>
  <c r="AI433" i="19"/>
  <c r="AG433" i="19"/>
  <c r="AF433" i="19"/>
  <c r="AE433" i="19"/>
  <c r="AD433" i="19"/>
  <c r="AC433" i="19"/>
  <c r="AB433" i="19"/>
  <c r="AA433" i="19"/>
  <c r="X433" i="19"/>
  <c r="AM432" i="19"/>
  <c r="AL432" i="19"/>
  <c r="AK432" i="19"/>
  <c r="AJ432" i="19"/>
  <c r="AI432" i="19"/>
  <c r="AG432" i="19"/>
  <c r="AF432" i="19"/>
  <c r="AE432" i="19"/>
  <c r="AD432" i="19"/>
  <c r="AC432" i="19"/>
  <c r="AB432" i="19"/>
  <c r="AA432" i="19"/>
  <c r="X432" i="19"/>
  <c r="AM431" i="19"/>
  <c r="AL431" i="19"/>
  <c r="AK431" i="19"/>
  <c r="AJ431" i="19"/>
  <c r="AI431" i="19"/>
  <c r="AG431" i="19"/>
  <c r="AF431" i="19"/>
  <c r="AE431" i="19"/>
  <c r="AD431" i="19"/>
  <c r="AC431" i="19"/>
  <c r="AB431" i="19"/>
  <c r="AA431" i="19"/>
  <c r="X431" i="19"/>
  <c r="AM430" i="19"/>
  <c r="AL430" i="19"/>
  <c r="AK430" i="19"/>
  <c r="AJ430" i="19"/>
  <c r="AI430" i="19"/>
  <c r="AG430" i="19"/>
  <c r="AF430" i="19"/>
  <c r="AE430" i="19"/>
  <c r="AD430" i="19"/>
  <c r="AC430" i="19"/>
  <c r="AB430" i="19"/>
  <c r="AA430" i="19"/>
  <c r="X430" i="19"/>
  <c r="AM429" i="19"/>
  <c r="AL429" i="19"/>
  <c r="AK429" i="19"/>
  <c r="AJ429" i="19"/>
  <c r="AI429" i="19"/>
  <c r="AG429" i="19"/>
  <c r="AF429" i="19"/>
  <c r="AE429" i="19"/>
  <c r="AD429" i="19"/>
  <c r="AC429" i="19"/>
  <c r="AB429" i="19"/>
  <c r="AA429" i="19"/>
  <c r="X429" i="19"/>
  <c r="AM428" i="19"/>
  <c r="AL428" i="19"/>
  <c r="AK428" i="19"/>
  <c r="AJ428" i="19"/>
  <c r="AI428" i="19"/>
  <c r="AG428" i="19"/>
  <c r="AF428" i="19"/>
  <c r="AE428" i="19"/>
  <c r="AD428" i="19"/>
  <c r="AC428" i="19"/>
  <c r="AB428" i="19"/>
  <c r="AA428" i="19"/>
  <c r="X428" i="19"/>
  <c r="AM427" i="19"/>
  <c r="AL427" i="19"/>
  <c r="AK427" i="19"/>
  <c r="AJ427" i="19"/>
  <c r="AI427" i="19"/>
  <c r="AG427" i="19"/>
  <c r="AF427" i="19"/>
  <c r="AE427" i="19"/>
  <c r="AD427" i="19"/>
  <c r="AC427" i="19"/>
  <c r="AB427" i="19"/>
  <c r="AA427" i="19"/>
  <c r="X427" i="19"/>
  <c r="AM426" i="19"/>
  <c r="AL426" i="19"/>
  <c r="AK426" i="19"/>
  <c r="AJ426" i="19"/>
  <c r="AI426" i="19"/>
  <c r="AG426" i="19"/>
  <c r="AF426" i="19"/>
  <c r="AE426" i="19"/>
  <c r="AD426" i="19"/>
  <c r="AC426" i="19"/>
  <c r="AB426" i="19"/>
  <c r="AA426" i="19"/>
  <c r="X426" i="19"/>
  <c r="AM425" i="19"/>
  <c r="AL425" i="19"/>
  <c r="AK425" i="19"/>
  <c r="AJ425" i="19"/>
  <c r="AI425" i="19"/>
  <c r="AG425" i="19"/>
  <c r="AF425" i="19"/>
  <c r="AE425" i="19"/>
  <c r="AD425" i="19"/>
  <c r="AC425" i="19"/>
  <c r="AB425" i="19"/>
  <c r="AA425" i="19"/>
  <c r="X425" i="19"/>
  <c r="AM424" i="19"/>
  <c r="AL424" i="19"/>
  <c r="AK424" i="19"/>
  <c r="AJ424" i="19"/>
  <c r="AI424" i="19"/>
  <c r="AG424" i="19"/>
  <c r="AF424" i="19"/>
  <c r="AE424" i="19"/>
  <c r="AD424" i="19"/>
  <c r="AC424" i="19"/>
  <c r="AB424" i="19"/>
  <c r="AA424" i="19"/>
  <c r="X424" i="19"/>
  <c r="AM423" i="19"/>
  <c r="AL423" i="19"/>
  <c r="AK423" i="19"/>
  <c r="AJ423" i="19"/>
  <c r="AI423" i="19"/>
  <c r="AG423" i="19"/>
  <c r="AF423" i="19"/>
  <c r="AE423" i="19"/>
  <c r="AD423" i="19"/>
  <c r="AC423" i="19"/>
  <c r="AB423" i="19"/>
  <c r="AA423" i="19"/>
  <c r="X423" i="19"/>
  <c r="AM422" i="19"/>
  <c r="AL422" i="19"/>
  <c r="AK422" i="19"/>
  <c r="AJ422" i="19"/>
  <c r="AI422" i="19"/>
  <c r="AG422" i="19"/>
  <c r="AF422" i="19"/>
  <c r="AE422" i="19"/>
  <c r="AD422" i="19"/>
  <c r="AC422" i="19"/>
  <c r="AB422" i="19"/>
  <c r="AA422" i="19"/>
  <c r="X422" i="19"/>
  <c r="AM421" i="19"/>
  <c r="AL421" i="19"/>
  <c r="AK421" i="19"/>
  <c r="AJ421" i="19"/>
  <c r="AI421" i="19"/>
  <c r="AG421" i="19"/>
  <c r="AF421" i="19"/>
  <c r="AE421" i="19"/>
  <c r="AD421" i="19"/>
  <c r="AC421" i="19"/>
  <c r="AB421" i="19"/>
  <c r="AA421" i="19"/>
  <c r="X421" i="19"/>
  <c r="AM420" i="19"/>
  <c r="AL420" i="19"/>
  <c r="AK420" i="19"/>
  <c r="AJ420" i="19"/>
  <c r="AI420" i="19"/>
  <c r="AG420" i="19"/>
  <c r="AF420" i="19"/>
  <c r="AE420" i="19"/>
  <c r="AD420" i="19"/>
  <c r="AC420" i="19"/>
  <c r="AB420" i="19"/>
  <c r="AA420" i="19"/>
  <c r="X420" i="19"/>
  <c r="AM419" i="19"/>
  <c r="AL419" i="19"/>
  <c r="AK419" i="19"/>
  <c r="AJ419" i="19"/>
  <c r="AI419" i="19"/>
  <c r="AG419" i="19"/>
  <c r="AF419" i="19"/>
  <c r="AE419" i="19"/>
  <c r="AD419" i="19"/>
  <c r="AC419" i="19"/>
  <c r="AB419" i="19"/>
  <c r="AA419" i="19"/>
  <c r="X419" i="19"/>
  <c r="AM418" i="19"/>
  <c r="AL418" i="19"/>
  <c r="AK418" i="19"/>
  <c r="AJ418" i="19"/>
  <c r="AI418" i="19"/>
  <c r="AG418" i="19"/>
  <c r="AF418" i="19"/>
  <c r="AE418" i="19"/>
  <c r="AD418" i="19"/>
  <c r="AC418" i="19"/>
  <c r="AB418" i="19"/>
  <c r="AA418" i="19"/>
  <c r="X418" i="19"/>
  <c r="AM417" i="19"/>
  <c r="AL417" i="19"/>
  <c r="AK417" i="19"/>
  <c r="AJ417" i="19"/>
  <c r="AI417" i="19"/>
  <c r="AG417" i="19"/>
  <c r="AF417" i="19"/>
  <c r="AE417" i="19"/>
  <c r="AD417" i="19"/>
  <c r="AC417" i="19"/>
  <c r="AB417" i="19"/>
  <c r="AA417" i="19"/>
  <c r="X417" i="19"/>
  <c r="AM416" i="19"/>
  <c r="AL416" i="19"/>
  <c r="AK416" i="19"/>
  <c r="AJ416" i="19"/>
  <c r="AI416" i="19"/>
  <c r="AG416" i="19"/>
  <c r="AF416" i="19"/>
  <c r="AE416" i="19"/>
  <c r="AD416" i="19"/>
  <c r="AC416" i="19"/>
  <c r="AB416" i="19"/>
  <c r="AA416" i="19"/>
  <c r="X416" i="19"/>
  <c r="AM415" i="19"/>
  <c r="AL415" i="19"/>
  <c r="AK415" i="19"/>
  <c r="AJ415" i="19"/>
  <c r="AI415" i="19"/>
  <c r="AG415" i="19"/>
  <c r="AF415" i="19"/>
  <c r="AE415" i="19"/>
  <c r="AD415" i="19"/>
  <c r="AC415" i="19"/>
  <c r="AB415" i="19"/>
  <c r="AA415" i="19"/>
  <c r="X415" i="19"/>
  <c r="AM414" i="19"/>
  <c r="AL414" i="19"/>
  <c r="AK414" i="19"/>
  <c r="AJ414" i="19"/>
  <c r="AI414" i="19"/>
  <c r="AG414" i="19"/>
  <c r="AF414" i="19"/>
  <c r="AE414" i="19"/>
  <c r="AD414" i="19"/>
  <c r="AC414" i="19"/>
  <c r="AB414" i="19"/>
  <c r="AA414" i="19"/>
  <c r="X414" i="19"/>
  <c r="AM413" i="19"/>
  <c r="AL413" i="19"/>
  <c r="AK413" i="19"/>
  <c r="AJ413" i="19"/>
  <c r="AI413" i="19"/>
  <c r="AG413" i="19"/>
  <c r="AF413" i="19"/>
  <c r="AE413" i="19"/>
  <c r="AD413" i="19"/>
  <c r="AC413" i="19"/>
  <c r="AB413" i="19"/>
  <c r="AA413" i="19"/>
  <c r="X413" i="19"/>
  <c r="AM412" i="19"/>
  <c r="AL412" i="19"/>
  <c r="AK412" i="19"/>
  <c r="AJ412" i="19"/>
  <c r="AI412" i="19"/>
  <c r="AG412" i="19"/>
  <c r="AF412" i="19"/>
  <c r="AE412" i="19"/>
  <c r="AD412" i="19"/>
  <c r="AC412" i="19"/>
  <c r="AB412" i="19"/>
  <c r="AA412" i="19"/>
  <c r="X412" i="19"/>
  <c r="AM411" i="19"/>
  <c r="AL411" i="19"/>
  <c r="AK411" i="19"/>
  <c r="AJ411" i="19"/>
  <c r="AI411" i="19"/>
  <c r="AG411" i="19"/>
  <c r="AF411" i="19"/>
  <c r="AE411" i="19"/>
  <c r="AD411" i="19"/>
  <c r="AC411" i="19"/>
  <c r="AB411" i="19"/>
  <c r="AA411" i="19"/>
  <c r="X411" i="19"/>
  <c r="AM410" i="19"/>
  <c r="AL410" i="19"/>
  <c r="AK410" i="19"/>
  <c r="AJ410" i="19"/>
  <c r="AI410" i="19"/>
  <c r="AG410" i="19"/>
  <c r="AF410" i="19"/>
  <c r="AE410" i="19"/>
  <c r="AD410" i="19"/>
  <c r="AC410" i="19"/>
  <c r="AB410" i="19"/>
  <c r="AA410" i="19"/>
  <c r="X410" i="19"/>
  <c r="AM409" i="19"/>
  <c r="AL409" i="19"/>
  <c r="AK409" i="19"/>
  <c r="AJ409" i="19"/>
  <c r="AI409" i="19"/>
  <c r="AG409" i="19"/>
  <c r="AF409" i="19"/>
  <c r="AE409" i="19"/>
  <c r="AD409" i="19"/>
  <c r="AC409" i="19"/>
  <c r="AB409" i="19"/>
  <c r="AA409" i="19"/>
  <c r="X409" i="19"/>
  <c r="AM408" i="19"/>
  <c r="AL408" i="19"/>
  <c r="AK408" i="19"/>
  <c r="AJ408" i="19"/>
  <c r="AI408" i="19"/>
  <c r="AG408" i="19"/>
  <c r="AF408" i="19"/>
  <c r="AE408" i="19"/>
  <c r="AD408" i="19"/>
  <c r="AC408" i="19"/>
  <c r="AB408" i="19"/>
  <c r="AA408" i="19"/>
  <c r="X408" i="19"/>
  <c r="AM407" i="19"/>
  <c r="AL407" i="19"/>
  <c r="AK407" i="19"/>
  <c r="AJ407" i="19"/>
  <c r="AI407" i="19"/>
  <c r="AG407" i="19"/>
  <c r="AF407" i="19"/>
  <c r="AE407" i="19"/>
  <c r="AD407" i="19"/>
  <c r="AC407" i="19"/>
  <c r="AB407" i="19"/>
  <c r="AA407" i="19"/>
  <c r="X407" i="19"/>
  <c r="AM406" i="19"/>
  <c r="AL406" i="19"/>
  <c r="AK406" i="19"/>
  <c r="AJ406" i="19"/>
  <c r="AI406" i="19"/>
  <c r="AG406" i="19"/>
  <c r="AF406" i="19"/>
  <c r="AE406" i="19"/>
  <c r="AD406" i="19"/>
  <c r="AC406" i="19"/>
  <c r="AB406" i="19"/>
  <c r="AA406" i="19"/>
  <c r="X406" i="19"/>
  <c r="AM405" i="19"/>
  <c r="AL405" i="19"/>
  <c r="AK405" i="19"/>
  <c r="AJ405" i="19"/>
  <c r="AI405" i="19"/>
  <c r="AG405" i="19"/>
  <c r="AF405" i="19"/>
  <c r="AE405" i="19"/>
  <c r="AD405" i="19"/>
  <c r="AC405" i="19"/>
  <c r="AB405" i="19"/>
  <c r="AA405" i="19"/>
  <c r="X405" i="19"/>
  <c r="AM404" i="19"/>
  <c r="AL404" i="19"/>
  <c r="AK404" i="19"/>
  <c r="AJ404" i="19"/>
  <c r="AI404" i="19"/>
  <c r="AG404" i="19"/>
  <c r="AF404" i="19"/>
  <c r="AE404" i="19"/>
  <c r="AD404" i="19"/>
  <c r="AC404" i="19"/>
  <c r="AB404" i="19"/>
  <c r="AA404" i="19"/>
  <c r="X404" i="19"/>
  <c r="AM403" i="19"/>
  <c r="AL403" i="19"/>
  <c r="AK403" i="19"/>
  <c r="AJ403" i="19"/>
  <c r="AI403" i="19"/>
  <c r="AG403" i="19"/>
  <c r="AF403" i="19"/>
  <c r="AE403" i="19"/>
  <c r="AD403" i="19"/>
  <c r="AC403" i="19"/>
  <c r="AB403" i="19"/>
  <c r="AA403" i="19"/>
  <c r="X403" i="19"/>
  <c r="AM402" i="19"/>
  <c r="AL402" i="19"/>
  <c r="AK402" i="19"/>
  <c r="AJ402" i="19"/>
  <c r="AI402" i="19"/>
  <c r="AG402" i="19"/>
  <c r="AF402" i="19"/>
  <c r="AE402" i="19"/>
  <c r="AD402" i="19"/>
  <c r="AC402" i="19"/>
  <c r="AB402" i="19"/>
  <c r="AA402" i="19"/>
  <c r="X402" i="19"/>
  <c r="AM401" i="19"/>
  <c r="AL401" i="19"/>
  <c r="AK401" i="19"/>
  <c r="AJ401" i="19"/>
  <c r="AI401" i="19"/>
  <c r="AG401" i="19"/>
  <c r="AF401" i="19"/>
  <c r="AE401" i="19"/>
  <c r="AD401" i="19"/>
  <c r="AC401" i="19"/>
  <c r="AB401" i="19"/>
  <c r="AA401" i="19"/>
  <c r="X401" i="19"/>
  <c r="AM400" i="19"/>
  <c r="AL400" i="19"/>
  <c r="AK400" i="19"/>
  <c r="AJ400" i="19"/>
  <c r="AI400" i="19"/>
  <c r="AG400" i="19"/>
  <c r="AF400" i="19"/>
  <c r="AE400" i="19"/>
  <c r="AD400" i="19"/>
  <c r="AC400" i="19"/>
  <c r="AB400" i="19"/>
  <c r="AA400" i="19"/>
  <c r="X400" i="19"/>
  <c r="AM399" i="19"/>
  <c r="AL399" i="19"/>
  <c r="AK399" i="19"/>
  <c r="AJ399" i="19"/>
  <c r="AI399" i="19"/>
  <c r="AG399" i="19"/>
  <c r="AF399" i="19"/>
  <c r="AE399" i="19"/>
  <c r="AD399" i="19"/>
  <c r="AC399" i="19"/>
  <c r="AB399" i="19"/>
  <c r="AA399" i="19"/>
  <c r="X399" i="19"/>
  <c r="AM398" i="19"/>
  <c r="AL398" i="19"/>
  <c r="AK398" i="19"/>
  <c r="AJ398" i="19"/>
  <c r="AI398" i="19"/>
  <c r="AG398" i="19"/>
  <c r="AF398" i="19"/>
  <c r="AE398" i="19"/>
  <c r="AD398" i="19"/>
  <c r="AC398" i="19"/>
  <c r="AB398" i="19"/>
  <c r="AA398" i="19"/>
  <c r="X398" i="19"/>
  <c r="AM397" i="19"/>
  <c r="AL397" i="19"/>
  <c r="AK397" i="19"/>
  <c r="AJ397" i="19"/>
  <c r="AI397" i="19"/>
  <c r="AG397" i="19"/>
  <c r="AF397" i="19"/>
  <c r="AE397" i="19"/>
  <c r="AD397" i="19"/>
  <c r="AC397" i="19"/>
  <c r="AB397" i="19"/>
  <c r="AA397" i="19"/>
  <c r="X397" i="19"/>
  <c r="AM396" i="19"/>
  <c r="AL396" i="19"/>
  <c r="AK396" i="19"/>
  <c r="AJ396" i="19"/>
  <c r="AI396" i="19"/>
  <c r="AG396" i="19"/>
  <c r="AF396" i="19"/>
  <c r="AE396" i="19"/>
  <c r="AD396" i="19"/>
  <c r="AC396" i="19"/>
  <c r="AB396" i="19"/>
  <c r="AA396" i="19"/>
  <c r="X396" i="19"/>
  <c r="AM395" i="19"/>
  <c r="AL395" i="19"/>
  <c r="AK395" i="19"/>
  <c r="AJ395" i="19"/>
  <c r="AI395" i="19"/>
  <c r="AG395" i="19"/>
  <c r="AF395" i="19"/>
  <c r="AE395" i="19"/>
  <c r="AD395" i="19"/>
  <c r="AC395" i="19"/>
  <c r="AB395" i="19"/>
  <c r="AA395" i="19"/>
  <c r="X395" i="19"/>
  <c r="AM394" i="19"/>
  <c r="AL394" i="19"/>
  <c r="AK394" i="19"/>
  <c r="AJ394" i="19"/>
  <c r="AI394" i="19"/>
  <c r="AG394" i="19"/>
  <c r="AF394" i="19"/>
  <c r="AE394" i="19"/>
  <c r="AD394" i="19"/>
  <c r="AC394" i="19"/>
  <c r="AB394" i="19"/>
  <c r="AA394" i="19"/>
  <c r="X394" i="19"/>
  <c r="AM393" i="19"/>
  <c r="AL393" i="19"/>
  <c r="AK393" i="19"/>
  <c r="AJ393" i="19"/>
  <c r="AI393" i="19"/>
  <c r="AG393" i="19"/>
  <c r="AF393" i="19"/>
  <c r="AE393" i="19"/>
  <c r="AD393" i="19"/>
  <c r="AC393" i="19"/>
  <c r="AB393" i="19"/>
  <c r="AA393" i="19"/>
  <c r="X393" i="19"/>
  <c r="AM392" i="19"/>
  <c r="AL392" i="19"/>
  <c r="AK392" i="19"/>
  <c r="AJ392" i="19"/>
  <c r="AI392" i="19"/>
  <c r="AG392" i="19"/>
  <c r="AF392" i="19"/>
  <c r="AE392" i="19"/>
  <c r="AD392" i="19"/>
  <c r="AC392" i="19"/>
  <c r="AB392" i="19"/>
  <c r="AA392" i="19"/>
  <c r="X392" i="19"/>
  <c r="AM391" i="19"/>
  <c r="AL391" i="19"/>
  <c r="AK391" i="19"/>
  <c r="AJ391" i="19"/>
  <c r="AI391" i="19"/>
  <c r="AG391" i="19"/>
  <c r="AF391" i="19"/>
  <c r="AE391" i="19"/>
  <c r="AD391" i="19"/>
  <c r="AC391" i="19"/>
  <c r="AB391" i="19"/>
  <c r="AA391" i="19"/>
  <c r="X391" i="19"/>
  <c r="AM390" i="19"/>
  <c r="AL390" i="19"/>
  <c r="AK390" i="19"/>
  <c r="AJ390" i="19"/>
  <c r="AI390" i="19"/>
  <c r="AG390" i="19"/>
  <c r="AF390" i="19"/>
  <c r="AE390" i="19"/>
  <c r="AD390" i="19"/>
  <c r="AC390" i="19"/>
  <c r="AB390" i="19"/>
  <c r="AA390" i="19"/>
  <c r="X390" i="19"/>
  <c r="AM389" i="19"/>
  <c r="AL389" i="19"/>
  <c r="AK389" i="19"/>
  <c r="AJ389" i="19"/>
  <c r="AI389" i="19"/>
  <c r="AG389" i="19"/>
  <c r="AF389" i="19"/>
  <c r="AE389" i="19"/>
  <c r="AD389" i="19"/>
  <c r="AC389" i="19"/>
  <c r="AB389" i="19"/>
  <c r="AA389" i="19"/>
  <c r="X389" i="19"/>
  <c r="AM388" i="19"/>
  <c r="AL388" i="19"/>
  <c r="AK388" i="19"/>
  <c r="AJ388" i="19"/>
  <c r="AI388" i="19"/>
  <c r="AG388" i="19"/>
  <c r="AF388" i="19"/>
  <c r="AE388" i="19"/>
  <c r="AD388" i="19"/>
  <c r="AC388" i="19"/>
  <c r="AB388" i="19"/>
  <c r="AA388" i="19"/>
  <c r="X388" i="19"/>
  <c r="AM387" i="19"/>
  <c r="AL387" i="19"/>
  <c r="AK387" i="19"/>
  <c r="AJ387" i="19"/>
  <c r="AI387" i="19"/>
  <c r="AG387" i="19"/>
  <c r="AF387" i="19"/>
  <c r="AE387" i="19"/>
  <c r="AD387" i="19"/>
  <c r="AC387" i="19"/>
  <c r="AB387" i="19"/>
  <c r="AA387" i="19"/>
  <c r="X387" i="19"/>
  <c r="AM386" i="19"/>
  <c r="AL386" i="19"/>
  <c r="AK386" i="19"/>
  <c r="AJ386" i="19"/>
  <c r="AI386" i="19"/>
  <c r="AG386" i="19"/>
  <c r="AF386" i="19"/>
  <c r="AE386" i="19"/>
  <c r="AD386" i="19"/>
  <c r="AC386" i="19"/>
  <c r="AB386" i="19"/>
  <c r="AA386" i="19"/>
  <c r="X386" i="19"/>
  <c r="AM385" i="19"/>
  <c r="AL385" i="19"/>
  <c r="AK385" i="19"/>
  <c r="AJ385" i="19"/>
  <c r="AI385" i="19"/>
  <c r="AG385" i="19"/>
  <c r="AF385" i="19"/>
  <c r="AE385" i="19"/>
  <c r="AD385" i="19"/>
  <c r="AC385" i="19"/>
  <c r="AB385" i="19"/>
  <c r="AA385" i="19"/>
  <c r="X385" i="19"/>
  <c r="AM384" i="19"/>
  <c r="AL384" i="19"/>
  <c r="AK384" i="19"/>
  <c r="AJ384" i="19"/>
  <c r="AI384" i="19"/>
  <c r="AG384" i="19"/>
  <c r="AF384" i="19"/>
  <c r="AE384" i="19"/>
  <c r="AD384" i="19"/>
  <c r="AC384" i="19"/>
  <c r="AB384" i="19"/>
  <c r="AA384" i="19"/>
  <c r="X384" i="19"/>
  <c r="AM383" i="19"/>
  <c r="AL383" i="19"/>
  <c r="AK383" i="19"/>
  <c r="AJ383" i="19"/>
  <c r="AI383" i="19"/>
  <c r="AG383" i="19"/>
  <c r="AF383" i="19"/>
  <c r="AE383" i="19"/>
  <c r="AD383" i="19"/>
  <c r="AC383" i="19"/>
  <c r="AB383" i="19"/>
  <c r="AA383" i="19"/>
  <c r="X383" i="19"/>
  <c r="AM382" i="19"/>
  <c r="AL382" i="19"/>
  <c r="AK382" i="19"/>
  <c r="AJ382" i="19"/>
  <c r="AI382" i="19"/>
  <c r="AG382" i="19"/>
  <c r="AF382" i="19"/>
  <c r="AE382" i="19"/>
  <c r="AD382" i="19"/>
  <c r="AC382" i="19"/>
  <c r="AB382" i="19"/>
  <c r="AA382" i="19"/>
  <c r="X382" i="19"/>
  <c r="AM381" i="19"/>
  <c r="AL381" i="19"/>
  <c r="AK381" i="19"/>
  <c r="AJ381" i="19"/>
  <c r="AI381" i="19"/>
  <c r="AG381" i="19"/>
  <c r="AF381" i="19"/>
  <c r="AE381" i="19"/>
  <c r="AD381" i="19"/>
  <c r="AC381" i="19"/>
  <c r="AB381" i="19"/>
  <c r="AA381" i="19"/>
  <c r="X381" i="19"/>
  <c r="AM380" i="19"/>
  <c r="AL380" i="19"/>
  <c r="AK380" i="19"/>
  <c r="AJ380" i="19"/>
  <c r="AI380" i="19"/>
  <c r="AG380" i="19"/>
  <c r="AF380" i="19"/>
  <c r="AE380" i="19"/>
  <c r="AD380" i="19"/>
  <c r="AC380" i="19"/>
  <c r="AB380" i="19"/>
  <c r="AA380" i="19"/>
  <c r="X380" i="19"/>
  <c r="AM379" i="19"/>
  <c r="AL379" i="19"/>
  <c r="AK379" i="19"/>
  <c r="AJ379" i="19"/>
  <c r="AI379" i="19"/>
  <c r="AG379" i="19"/>
  <c r="AF379" i="19"/>
  <c r="AE379" i="19"/>
  <c r="AD379" i="19"/>
  <c r="AC379" i="19"/>
  <c r="AB379" i="19"/>
  <c r="AA379" i="19"/>
  <c r="X379" i="19"/>
  <c r="AM378" i="19"/>
  <c r="AL378" i="19"/>
  <c r="AK378" i="19"/>
  <c r="AJ378" i="19"/>
  <c r="AI378" i="19"/>
  <c r="AG378" i="19"/>
  <c r="AF378" i="19"/>
  <c r="AE378" i="19"/>
  <c r="AD378" i="19"/>
  <c r="AC378" i="19"/>
  <c r="AB378" i="19"/>
  <c r="AA378" i="19"/>
  <c r="X378" i="19"/>
  <c r="AM377" i="19"/>
  <c r="AL377" i="19"/>
  <c r="AK377" i="19"/>
  <c r="AJ377" i="19"/>
  <c r="AI377" i="19"/>
  <c r="AG377" i="19"/>
  <c r="AF377" i="19"/>
  <c r="AE377" i="19"/>
  <c r="AD377" i="19"/>
  <c r="AC377" i="19"/>
  <c r="AB377" i="19"/>
  <c r="AA377" i="19"/>
  <c r="X377" i="19"/>
  <c r="AM376" i="19"/>
  <c r="AL376" i="19"/>
  <c r="AK376" i="19"/>
  <c r="AJ376" i="19"/>
  <c r="AI376" i="19"/>
  <c r="AG376" i="19"/>
  <c r="AF376" i="19"/>
  <c r="AE376" i="19"/>
  <c r="AD376" i="19"/>
  <c r="AC376" i="19"/>
  <c r="AB376" i="19"/>
  <c r="AA376" i="19"/>
  <c r="X376" i="19"/>
  <c r="AM375" i="19"/>
  <c r="AL375" i="19"/>
  <c r="AK375" i="19"/>
  <c r="AJ375" i="19"/>
  <c r="AI375" i="19"/>
  <c r="AG375" i="19"/>
  <c r="AF375" i="19"/>
  <c r="AE375" i="19"/>
  <c r="AD375" i="19"/>
  <c r="AC375" i="19"/>
  <c r="AB375" i="19"/>
  <c r="AA375" i="19"/>
  <c r="X375" i="19"/>
  <c r="AM374" i="19"/>
  <c r="AL374" i="19"/>
  <c r="AK374" i="19"/>
  <c r="AJ374" i="19"/>
  <c r="AI374" i="19"/>
  <c r="AG374" i="19"/>
  <c r="AF374" i="19"/>
  <c r="AE374" i="19"/>
  <c r="AD374" i="19"/>
  <c r="AC374" i="19"/>
  <c r="AB374" i="19"/>
  <c r="AA374" i="19"/>
  <c r="X374" i="19"/>
  <c r="AM373" i="19"/>
  <c r="AL373" i="19"/>
  <c r="AK373" i="19"/>
  <c r="AJ373" i="19"/>
  <c r="AI373" i="19"/>
  <c r="AG373" i="19"/>
  <c r="AF373" i="19"/>
  <c r="AE373" i="19"/>
  <c r="AD373" i="19"/>
  <c r="AC373" i="19"/>
  <c r="AB373" i="19"/>
  <c r="AA373" i="19"/>
  <c r="X373" i="19"/>
  <c r="AM372" i="19"/>
  <c r="AL372" i="19"/>
  <c r="AK372" i="19"/>
  <c r="AJ372" i="19"/>
  <c r="AI372" i="19"/>
  <c r="AG372" i="19"/>
  <c r="AF372" i="19"/>
  <c r="AE372" i="19"/>
  <c r="AD372" i="19"/>
  <c r="AC372" i="19"/>
  <c r="AB372" i="19"/>
  <c r="AA372" i="19"/>
  <c r="X372" i="19"/>
  <c r="AM371" i="19"/>
  <c r="AL371" i="19"/>
  <c r="AK371" i="19"/>
  <c r="AJ371" i="19"/>
  <c r="AI371" i="19"/>
  <c r="AG371" i="19"/>
  <c r="AF371" i="19"/>
  <c r="AE371" i="19"/>
  <c r="AD371" i="19"/>
  <c r="AC371" i="19"/>
  <c r="AB371" i="19"/>
  <c r="AA371" i="19"/>
  <c r="X371" i="19"/>
  <c r="AM370" i="19"/>
  <c r="AL370" i="19"/>
  <c r="AK370" i="19"/>
  <c r="AJ370" i="19"/>
  <c r="AI370" i="19"/>
  <c r="AG370" i="19"/>
  <c r="AF370" i="19"/>
  <c r="AE370" i="19"/>
  <c r="AD370" i="19"/>
  <c r="AC370" i="19"/>
  <c r="AB370" i="19"/>
  <c r="AA370" i="19"/>
  <c r="X370" i="19"/>
  <c r="AM369" i="19"/>
  <c r="AL369" i="19"/>
  <c r="AK369" i="19"/>
  <c r="AJ369" i="19"/>
  <c r="AI369" i="19"/>
  <c r="AG369" i="19"/>
  <c r="AF369" i="19"/>
  <c r="AE369" i="19"/>
  <c r="AD369" i="19"/>
  <c r="AC369" i="19"/>
  <c r="AB369" i="19"/>
  <c r="AA369" i="19"/>
  <c r="X369" i="19"/>
  <c r="AM368" i="19"/>
  <c r="AL368" i="19"/>
  <c r="AK368" i="19"/>
  <c r="AJ368" i="19"/>
  <c r="AI368" i="19"/>
  <c r="AG368" i="19"/>
  <c r="AF368" i="19"/>
  <c r="AE368" i="19"/>
  <c r="AD368" i="19"/>
  <c r="AC368" i="19"/>
  <c r="AB368" i="19"/>
  <c r="AA368" i="19"/>
  <c r="X368" i="19"/>
  <c r="AM367" i="19"/>
  <c r="AL367" i="19"/>
  <c r="AK367" i="19"/>
  <c r="AJ367" i="19"/>
  <c r="AI367" i="19"/>
  <c r="AG367" i="19"/>
  <c r="AF367" i="19"/>
  <c r="AE367" i="19"/>
  <c r="AD367" i="19"/>
  <c r="AC367" i="19"/>
  <c r="AB367" i="19"/>
  <c r="AA367" i="19"/>
  <c r="X367" i="19"/>
  <c r="AM366" i="19"/>
  <c r="AL366" i="19"/>
  <c r="AK366" i="19"/>
  <c r="AJ366" i="19"/>
  <c r="AI366" i="19"/>
  <c r="AG366" i="19"/>
  <c r="AF366" i="19"/>
  <c r="AE366" i="19"/>
  <c r="AD366" i="19"/>
  <c r="AC366" i="19"/>
  <c r="AB366" i="19"/>
  <c r="AA366" i="19"/>
  <c r="X366" i="19"/>
  <c r="AM365" i="19"/>
  <c r="AL365" i="19"/>
  <c r="AK365" i="19"/>
  <c r="AJ365" i="19"/>
  <c r="AI365" i="19"/>
  <c r="AG365" i="19"/>
  <c r="AF365" i="19"/>
  <c r="AE365" i="19"/>
  <c r="AD365" i="19"/>
  <c r="AC365" i="19"/>
  <c r="AB365" i="19"/>
  <c r="AA365" i="19"/>
  <c r="X365" i="19"/>
  <c r="AM364" i="19"/>
  <c r="AL364" i="19"/>
  <c r="AK364" i="19"/>
  <c r="AJ364" i="19"/>
  <c r="AI364" i="19"/>
  <c r="AG364" i="19"/>
  <c r="AF364" i="19"/>
  <c r="AE364" i="19"/>
  <c r="AD364" i="19"/>
  <c r="AC364" i="19"/>
  <c r="AB364" i="19"/>
  <c r="AA364" i="19"/>
  <c r="X364" i="19"/>
  <c r="AM363" i="19"/>
  <c r="AL363" i="19"/>
  <c r="AK363" i="19"/>
  <c r="AJ363" i="19"/>
  <c r="AI363" i="19"/>
  <c r="AG363" i="19"/>
  <c r="AF363" i="19"/>
  <c r="AE363" i="19"/>
  <c r="AD363" i="19"/>
  <c r="AC363" i="19"/>
  <c r="AB363" i="19"/>
  <c r="AA363" i="19"/>
  <c r="X363" i="19"/>
  <c r="AM362" i="19"/>
  <c r="AL362" i="19"/>
  <c r="AK362" i="19"/>
  <c r="AJ362" i="19"/>
  <c r="AI362" i="19"/>
  <c r="AG362" i="19"/>
  <c r="AF362" i="19"/>
  <c r="AE362" i="19"/>
  <c r="AD362" i="19"/>
  <c r="AC362" i="19"/>
  <c r="AB362" i="19"/>
  <c r="AA362" i="19"/>
  <c r="X362" i="19"/>
  <c r="AM361" i="19"/>
  <c r="AL361" i="19"/>
  <c r="AK361" i="19"/>
  <c r="AJ361" i="19"/>
  <c r="AI361" i="19"/>
  <c r="AG361" i="19"/>
  <c r="AF361" i="19"/>
  <c r="AE361" i="19"/>
  <c r="AD361" i="19"/>
  <c r="AC361" i="19"/>
  <c r="AB361" i="19"/>
  <c r="AA361" i="19"/>
  <c r="X361" i="19"/>
  <c r="AM360" i="19"/>
  <c r="AL360" i="19"/>
  <c r="AK360" i="19"/>
  <c r="AJ360" i="19"/>
  <c r="AI360" i="19"/>
  <c r="AG360" i="19"/>
  <c r="AF360" i="19"/>
  <c r="AE360" i="19"/>
  <c r="AD360" i="19"/>
  <c r="AC360" i="19"/>
  <c r="AB360" i="19"/>
  <c r="AA360" i="19"/>
  <c r="X360" i="19"/>
  <c r="AM359" i="19"/>
  <c r="AL359" i="19"/>
  <c r="AK359" i="19"/>
  <c r="AJ359" i="19"/>
  <c r="AI359" i="19"/>
  <c r="AG359" i="19"/>
  <c r="AF359" i="19"/>
  <c r="AE359" i="19"/>
  <c r="AD359" i="19"/>
  <c r="AC359" i="19"/>
  <c r="AB359" i="19"/>
  <c r="AA359" i="19"/>
  <c r="X359" i="19"/>
  <c r="AM358" i="19"/>
  <c r="AL358" i="19"/>
  <c r="AK358" i="19"/>
  <c r="AJ358" i="19"/>
  <c r="AI358" i="19"/>
  <c r="AG358" i="19"/>
  <c r="AF358" i="19"/>
  <c r="AE358" i="19"/>
  <c r="AD358" i="19"/>
  <c r="AC358" i="19"/>
  <c r="AB358" i="19"/>
  <c r="AA358" i="19"/>
  <c r="X358" i="19"/>
  <c r="AM357" i="19"/>
  <c r="AL357" i="19"/>
  <c r="AK357" i="19"/>
  <c r="AJ357" i="19"/>
  <c r="AI357" i="19"/>
  <c r="AG357" i="19"/>
  <c r="AF357" i="19"/>
  <c r="AE357" i="19"/>
  <c r="AD357" i="19"/>
  <c r="AC357" i="19"/>
  <c r="AB357" i="19"/>
  <c r="AA357" i="19"/>
  <c r="X357" i="19"/>
  <c r="AM356" i="19"/>
  <c r="AL356" i="19"/>
  <c r="AK356" i="19"/>
  <c r="AJ356" i="19"/>
  <c r="AI356" i="19"/>
  <c r="AG356" i="19"/>
  <c r="AF356" i="19"/>
  <c r="AE356" i="19"/>
  <c r="AD356" i="19"/>
  <c r="AC356" i="19"/>
  <c r="AB356" i="19"/>
  <c r="AA356" i="19"/>
  <c r="X356" i="19"/>
  <c r="AM355" i="19"/>
  <c r="AL355" i="19"/>
  <c r="AK355" i="19"/>
  <c r="AJ355" i="19"/>
  <c r="AI355" i="19"/>
  <c r="AG355" i="19"/>
  <c r="AF355" i="19"/>
  <c r="AE355" i="19"/>
  <c r="AD355" i="19"/>
  <c r="AC355" i="19"/>
  <c r="AB355" i="19"/>
  <c r="AA355" i="19"/>
  <c r="X355" i="19"/>
  <c r="AM354" i="19"/>
  <c r="AL354" i="19"/>
  <c r="AK354" i="19"/>
  <c r="AJ354" i="19"/>
  <c r="AI354" i="19"/>
  <c r="AG354" i="19"/>
  <c r="AF354" i="19"/>
  <c r="AE354" i="19"/>
  <c r="AD354" i="19"/>
  <c r="AC354" i="19"/>
  <c r="AB354" i="19"/>
  <c r="AA354" i="19"/>
  <c r="X354" i="19"/>
  <c r="AM353" i="19"/>
  <c r="AL353" i="19"/>
  <c r="AK353" i="19"/>
  <c r="AJ353" i="19"/>
  <c r="AI353" i="19"/>
  <c r="AG353" i="19"/>
  <c r="AF353" i="19"/>
  <c r="AE353" i="19"/>
  <c r="AD353" i="19"/>
  <c r="AC353" i="19"/>
  <c r="AB353" i="19"/>
  <c r="AA353" i="19"/>
  <c r="X353" i="19"/>
  <c r="AM352" i="19"/>
  <c r="AL352" i="19"/>
  <c r="AK352" i="19"/>
  <c r="AJ352" i="19"/>
  <c r="AI352" i="19"/>
  <c r="AG352" i="19"/>
  <c r="AF352" i="19"/>
  <c r="AE352" i="19"/>
  <c r="AD352" i="19"/>
  <c r="AC352" i="19"/>
  <c r="AB352" i="19"/>
  <c r="AA352" i="19"/>
  <c r="X352" i="19"/>
  <c r="AM351" i="19"/>
  <c r="AL351" i="19"/>
  <c r="AK351" i="19"/>
  <c r="AJ351" i="19"/>
  <c r="AI351" i="19"/>
  <c r="AG351" i="19"/>
  <c r="AF351" i="19"/>
  <c r="AE351" i="19"/>
  <c r="AD351" i="19"/>
  <c r="AC351" i="19"/>
  <c r="AB351" i="19"/>
  <c r="AA351" i="19"/>
  <c r="X351" i="19"/>
  <c r="AM350" i="19"/>
  <c r="AL350" i="19"/>
  <c r="AK350" i="19"/>
  <c r="AJ350" i="19"/>
  <c r="AI350" i="19"/>
  <c r="AG350" i="19"/>
  <c r="AF350" i="19"/>
  <c r="AE350" i="19"/>
  <c r="AD350" i="19"/>
  <c r="AC350" i="19"/>
  <c r="AB350" i="19"/>
  <c r="AA350" i="19"/>
  <c r="X350" i="19"/>
  <c r="AM349" i="19"/>
  <c r="AL349" i="19"/>
  <c r="AK349" i="19"/>
  <c r="AJ349" i="19"/>
  <c r="AI349" i="19"/>
  <c r="AG349" i="19"/>
  <c r="AF349" i="19"/>
  <c r="AE349" i="19"/>
  <c r="AD349" i="19"/>
  <c r="AC349" i="19"/>
  <c r="AB349" i="19"/>
  <c r="AA349" i="19"/>
  <c r="X349" i="19"/>
  <c r="AM348" i="19"/>
  <c r="AL348" i="19"/>
  <c r="AK348" i="19"/>
  <c r="AJ348" i="19"/>
  <c r="AI348" i="19"/>
  <c r="AG348" i="19"/>
  <c r="AF348" i="19"/>
  <c r="AE348" i="19"/>
  <c r="AD348" i="19"/>
  <c r="AC348" i="19"/>
  <c r="AB348" i="19"/>
  <c r="AA348" i="19"/>
  <c r="X348" i="19"/>
  <c r="AM347" i="19"/>
  <c r="AL347" i="19"/>
  <c r="AK347" i="19"/>
  <c r="AJ347" i="19"/>
  <c r="AI347" i="19"/>
  <c r="AG347" i="19"/>
  <c r="AF347" i="19"/>
  <c r="AE347" i="19"/>
  <c r="AD347" i="19"/>
  <c r="AC347" i="19"/>
  <c r="AB347" i="19"/>
  <c r="AA347" i="19"/>
  <c r="X347" i="19"/>
  <c r="AM346" i="19"/>
  <c r="AL346" i="19"/>
  <c r="AK346" i="19"/>
  <c r="AJ346" i="19"/>
  <c r="AI346" i="19"/>
  <c r="AG346" i="19"/>
  <c r="AF346" i="19"/>
  <c r="AE346" i="19"/>
  <c r="AD346" i="19"/>
  <c r="AC346" i="19"/>
  <c r="AB346" i="19"/>
  <c r="AA346" i="19"/>
  <c r="X346" i="19"/>
  <c r="AM345" i="19"/>
  <c r="AL345" i="19"/>
  <c r="AK345" i="19"/>
  <c r="AJ345" i="19"/>
  <c r="AI345" i="19"/>
  <c r="AG345" i="19"/>
  <c r="AF345" i="19"/>
  <c r="AE345" i="19"/>
  <c r="AD345" i="19"/>
  <c r="AC345" i="19"/>
  <c r="AB345" i="19"/>
  <c r="AA345" i="19"/>
  <c r="X345" i="19"/>
  <c r="AM344" i="19"/>
  <c r="AL344" i="19"/>
  <c r="AK344" i="19"/>
  <c r="AJ344" i="19"/>
  <c r="AI344" i="19"/>
  <c r="AG344" i="19"/>
  <c r="AF344" i="19"/>
  <c r="AE344" i="19"/>
  <c r="AD344" i="19"/>
  <c r="AC344" i="19"/>
  <c r="AB344" i="19"/>
  <c r="AA344" i="19"/>
  <c r="X344" i="19"/>
  <c r="AM343" i="19"/>
  <c r="AL343" i="19"/>
  <c r="AK343" i="19"/>
  <c r="AJ343" i="19"/>
  <c r="AI343" i="19"/>
  <c r="AG343" i="19"/>
  <c r="AF343" i="19"/>
  <c r="AE343" i="19"/>
  <c r="AD343" i="19"/>
  <c r="AC343" i="19"/>
  <c r="AB343" i="19"/>
  <c r="AA343" i="19"/>
  <c r="X343" i="19"/>
  <c r="AM342" i="19"/>
  <c r="AL342" i="19"/>
  <c r="AK342" i="19"/>
  <c r="AJ342" i="19"/>
  <c r="AI342" i="19"/>
  <c r="AG342" i="19"/>
  <c r="AF342" i="19"/>
  <c r="AE342" i="19"/>
  <c r="AD342" i="19"/>
  <c r="AC342" i="19"/>
  <c r="AB342" i="19"/>
  <c r="AA342" i="19"/>
  <c r="X342" i="19"/>
  <c r="AM341" i="19"/>
  <c r="AL341" i="19"/>
  <c r="AK341" i="19"/>
  <c r="AJ341" i="19"/>
  <c r="AI341" i="19"/>
  <c r="AG341" i="19"/>
  <c r="AF341" i="19"/>
  <c r="AE341" i="19"/>
  <c r="AD341" i="19"/>
  <c r="AC341" i="19"/>
  <c r="AB341" i="19"/>
  <c r="AA341" i="19"/>
  <c r="X341" i="19"/>
  <c r="AM340" i="19"/>
  <c r="AL340" i="19"/>
  <c r="AK340" i="19"/>
  <c r="AJ340" i="19"/>
  <c r="AI340" i="19"/>
  <c r="AG340" i="19"/>
  <c r="AF340" i="19"/>
  <c r="AE340" i="19"/>
  <c r="AD340" i="19"/>
  <c r="AC340" i="19"/>
  <c r="AB340" i="19"/>
  <c r="AA340" i="19"/>
  <c r="X340" i="19"/>
  <c r="AM339" i="19"/>
  <c r="AL339" i="19"/>
  <c r="AK339" i="19"/>
  <c r="AJ339" i="19"/>
  <c r="AI339" i="19"/>
  <c r="AG339" i="19"/>
  <c r="AF339" i="19"/>
  <c r="AE339" i="19"/>
  <c r="AD339" i="19"/>
  <c r="AC339" i="19"/>
  <c r="AB339" i="19"/>
  <c r="AA339" i="19"/>
  <c r="X339" i="19"/>
  <c r="AM338" i="19"/>
  <c r="AL338" i="19"/>
  <c r="AK338" i="19"/>
  <c r="AJ338" i="19"/>
  <c r="AI338" i="19"/>
  <c r="AG338" i="19"/>
  <c r="AF338" i="19"/>
  <c r="AE338" i="19"/>
  <c r="AD338" i="19"/>
  <c r="AC338" i="19"/>
  <c r="AB338" i="19"/>
  <c r="AA338" i="19"/>
  <c r="X338" i="19"/>
  <c r="AM337" i="19"/>
  <c r="AL337" i="19"/>
  <c r="AK337" i="19"/>
  <c r="AJ337" i="19"/>
  <c r="AI337" i="19"/>
  <c r="AG337" i="19"/>
  <c r="AF337" i="19"/>
  <c r="AE337" i="19"/>
  <c r="AD337" i="19"/>
  <c r="AC337" i="19"/>
  <c r="AB337" i="19"/>
  <c r="AA337" i="19"/>
  <c r="X337" i="19"/>
  <c r="AM336" i="19"/>
  <c r="AL336" i="19"/>
  <c r="AK336" i="19"/>
  <c r="AJ336" i="19"/>
  <c r="AI336" i="19"/>
  <c r="AG336" i="19"/>
  <c r="AF336" i="19"/>
  <c r="AE336" i="19"/>
  <c r="AD336" i="19"/>
  <c r="AC336" i="19"/>
  <c r="AB336" i="19"/>
  <c r="AA336" i="19"/>
  <c r="X336" i="19"/>
  <c r="AM335" i="19"/>
  <c r="AL335" i="19"/>
  <c r="AK335" i="19"/>
  <c r="AJ335" i="19"/>
  <c r="AI335" i="19"/>
  <c r="AG335" i="19"/>
  <c r="AF335" i="19"/>
  <c r="AE335" i="19"/>
  <c r="AD335" i="19"/>
  <c r="AC335" i="19"/>
  <c r="AB335" i="19"/>
  <c r="AA335" i="19"/>
  <c r="X335" i="19"/>
  <c r="AM334" i="19"/>
  <c r="AL334" i="19"/>
  <c r="AK334" i="19"/>
  <c r="AJ334" i="19"/>
  <c r="AI334" i="19"/>
  <c r="AG334" i="19"/>
  <c r="AF334" i="19"/>
  <c r="AE334" i="19"/>
  <c r="AD334" i="19"/>
  <c r="AC334" i="19"/>
  <c r="AB334" i="19"/>
  <c r="AA334" i="19"/>
  <c r="X334" i="19"/>
  <c r="AM333" i="19"/>
  <c r="AL333" i="19"/>
  <c r="AK333" i="19"/>
  <c r="AJ333" i="19"/>
  <c r="AI333" i="19"/>
  <c r="AG333" i="19"/>
  <c r="AF333" i="19"/>
  <c r="AE333" i="19"/>
  <c r="AD333" i="19"/>
  <c r="AC333" i="19"/>
  <c r="AB333" i="19"/>
  <c r="AA333" i="19"/>
  <c r="X333" i="19"/>
  <c r="AM332" i="19"/>
  <c r="AL332" i="19"/>
  <c r="AK332" i="19"/>
  <c r="AJ332" i="19"/>
  <c r="AI332" i="19"/>
  <c r="AG332" i="19"/>
  <c r="AF332" i="19"/>
  <c r="AE332" i="19"/>
  <c r="AD332" i="19"/>
  <c r="AC332" i="19"/>
  <c r="AB332" i="19"/>
  <c r="AA332" i="19"/>
  <c r="AM331" i="19"/>
  <c r="AL331" i="19"/>
  <c r="AK331" i="19"/>
  <c r="AJ331" i="19"/>
  <c r="AI331" i="19"/>
  <c r="AG331" i="19"/>
  <c r="AF331" i="19"/>
  <c r="AE331" i="19"/>
  <c r="AD331" i="19"/>
  <c r="AC331" i="19"/>
  <c r="AB331" i="19"/>
  <c r="AA331" i="19"/>
  <c r="X331" i="19"/>
  <c r="AM330" i="19"/>
  <c r="AL330" i="19"/>
  <c r="AK330" i="19"/>
  <c r="AJ330" i="19"/>
  <c r="AI330" i="19"/>
  <c r="AG330" i="19"/>
  <c r="AF330" i="19"/>
  <c r="AE330" i="19"/>
  <c r="AD330" i="19"/>
  <c r="AC330" i="19"/>
  <c r="AB330" i="19"/>
  <c r="AA330" i="19"/>
  <c r="X330" i="19"/>
  <c r="AM329" i="19"/>
  <c r="AL329" i="19"/>
  <c r="AK329" i="19"/>
  <c r="AJ329" i="19"/>
  <c r="AI329" i="19"/>
  <c r="AG329" i="19"/>
  <c r="AF329" i="19"/>
  <c r="AE329" i="19"/>
  <c r="AD329" i="19"/>
  <c r="AC329" i="19"/>
  <c r="AB329" i="19"/>
  <c r="AA329" i="19"/>
  <c r="X329" i="19"/>
  <c r="AM328" i="19"/>
  <c r="AL328" i="19"/>
  <c r="AK328" i="19"/>
  <c r="AJ328" i="19"/>
  <c r="AI328" i="19"/>
  <c r="AG328" i="19"/>
  <c r="AF328" i="19"/>
  <c r="AE328" i="19"/>
  <c r="AD328" i="19"/>
  <c r="AC328" i="19"/>
  <c r="AB328" i="19"/>
  <c r="AA328" i="19"/>
  <c r="X328" i="19"/>
  <c r="AM327" i="19"/>
  <c r="AL327" i="19"/>
  <c r="AK327" i="19"/>
  <c r="AJ327" i="19"/>
  <c r="AI327" i="19"/>
  <c r="AG327" i="19"/>
  <c r="AF327" i="19"/>
  <c r="AE327" i="19"/>
  <c r="AD327" i="19"/>
  <c r="AC327" i="19"/>
  <c r="AB327" i="19"/>
  <c r="AA327" i="19"/>
  <c r="X327" i="19"/>
  <c r="AM326" i="19"/>
  <c r="AL326" i="19"/>
  <c r="AK326" i="19"/>
  <c r="AJ326" i="19"/>
  <c r="AI326" i="19"/>
  <c r="AG326" i="19"/>
  <c r="AF326" i="19"/>
  <c r="AE326" i="19"/>
  <c r="AD326" i="19"/>
  <c r="AC326" i="19"/>
  <c r="AB326" i="19"/>
  <c r="AA326" i="19"/>
  <c r="X326" i="19"/>
  <c r="AM325" i="19"/>
  <c r="AL325" i="19"/>
  <c r="AK325" i="19"/>
  <c r="AJ325" i="19"/>
  <c r="AI325" i="19"/>
  <c r="AG325" i="19"/>
  <c r="AF325" i="19"/>
  <c r="AE325" i="19"/>
  <c r="AD325" i="19"/>
  <c r="AC325" i="19"/>
  <c r="AB325" i="19"/>
  <c r="AA325" i="19"/>
  <c r="X325" i="19"/>
  <c r="AM324" i="19"/>
  <c r="AL324" i="19"/>
  <c r="AK324" i="19"/>
  <c r="AJ324" i="19"/>
  <c r="AI324" i="19"/>
  <c r="AG324" i="19"/>
  <c r="AF324" i="19"/>
  <c r="AE324" i="19"/>
  <c r="AD324" i="19"/>
  <c r="AC324" i="19"/>
  <c r="AB324" i="19"/>
  <c r="AA324" i="19"/>
  <c r="X324" i="19"/>
  <c r="AM323" i="19"/>
  <c r="AL323" i="19"/>
  <c r="AK323" i="19"/>
  <c r="AJ323" i="19"/>
  <c r="AI323" i="19"/>
  <c r="AG323" i="19"/>
  <c r="AF323" i="19"/>
  <c r="AE323" i="19"/>
  <c r="AD323" i="19"/>
  <c r="AC323" i="19"/>
  <c r="AB323" i="19"/>
  <c r="AA323" i="19"/>
  <c r="X323" i="19"/>
  <c r="AM322" i="19"/>
  <c r="AL322" i="19"/>
  <c r="AK322" i="19"/>
  <c r="AJ322" i="19"/>
  <c r="AI322" i="19"/>
  <c r="AG322" i="19"/>
  <c r="AF322" i="19"/>
  <c r="AE322" i="19"/>
  <c r="AD322" i="19"/>
  <c r="AC322" i="19"/>
  <c r="AB322" i="19"/>
  <c r="AA322" i="19"/>
  <c r="X322" i="19"/>
  <c r="AM321" i="19"/>
  <c r="AL321" i="19"/>
  <c r="AK321" i="19"/>
  <c r="AJ321" i="19"/>
  <c r="AI321" i="19"/>
  <c r="AG321" i="19"/>
  <c r="AF321" i="19"/>
  <c r="AE321" i="19"/>
  <c r="AD321" i="19"/>
  <c r="AC321" i="19"/>
  <c r="AB321" i="19"/>
  <c r="AA321" i="19"/>
  <c r="X321" i="19"/>
  <c r="AM320" i="19"/>
  <c r="AL320" i="19"/>
  <c r="AK320" i="19"/>
  <c r="AJ320" i="19"/>
  <c r="AI320" i="19"/>
  <c r="AG320" i="19"/>
  <c r="AF320" i="19"/>
  <c r="AE320" i="19"/>
  <c r="AD320" i="19"/>
  <c r="AC320" i="19"/>
  <c r="AB320" i="19"/>
  <c r="AA320" i="19"/>
  <c r="X320" i="19"/>
  <c r="AM319" i="19"/>
  <c r="AL319" i="19"/>
  <c r="AK319" i="19"/>
  <c r="AJ319" i="19"/>
  <c r="AI319" i="19"/>
  <c r="AG319" i="19"/>
  <c r="AF319" i="19"/>
  <c r="AE319" i="19"/>
  <c r="AD319" i="19"/>
  <c r="AC319" i="19"/>
  <c r="AB319" i="19"/>
  <c r="AA319" i="19"/>
  <c r="X319" i="19"/>
  <c r="AM318" i="19"/>
  <c r="AL318" i="19"/>
  <c r="AK318" i="19"/>
  <c r="AJ318" i="19"/>
  <c r="AI318" i="19"/>
  <c r="AG318" i="19"/>
  <c r="AF318" i="19"/>
  <c r="AE318" i="19"/>
  <c r="AD318" i="19"/>
  <c r="AC318" i="19"/>
  <c r="AB318" i="19"/>
  <c r="AA318" i="19"/>
  <c r="X318" i="19"/>
  <c r="AM317" i="19"/>
  <c r="AL317" i="19"/>
  <c r="AK317" i="19"/>
  <c r="AJ317" i="19"/>
  <c r="AI317" i="19"/>
  <c r="AG317" i="19"/>
  <c r="AF317" i="19"/>
  <c r="AE317" i="19"/>
  <c r="AD317" i="19"/>
  <c r="AC317" i="19"/>
  <c r="AB317" i="19"/>
  <c r="AA317" i="19"/>
  <c r="X317" i="19"/>
  <c r="AM316" i="19"/>
  <c r="AL316" i="19"/>
  <c r="AK316" i="19"/>
  <c r="AJ316" i="19"/>
  <c r="AI316" i="19"/>
  <c r="AG316" i="19"/>
  <c r="AF316" i="19"/>
  <c r="AE316" i="19"/>
  <c r="AD316" i="19"/>
  <c r="AC316" i="19"/>
  <c r="AB316" i="19"/>
  <c r="AA316" i="19"/>
  <c r="X316" i="19"/>
  <c r="AM315" i="19"/>
  <c r="AL315" i="19"/>
  <c r="AK315" i="19"/>
  <c r="AJ315" i="19"/>
  <c r="AI315" i="19"/>
  <c r="AG315" i="19"/>
  <c r="AF315" i="19"/>
  <c r="AE315" i="19"/>
  <c r="AD315" i="19"/>
  <c r="AC315" i="19"/>
  <c r="AB315" i="19"/>
  <c r="AA315" i="19"/>
  <c r="X315" i="19"/>
  <c r="AM314" i="19"/>
  <c r="AL314" i="19"/>
  <c r="AK314" i="19"/>
  <c r="AJ314" i="19"/>
  <c r="AI314" i="19"/>
  <c r="AG314" i="19"/>
  <c r="AF314" i="19"/>
  <c r="AE314" i="19"/>
  <c r="AD314" i="19"/>
  <c r="AC314" i="19"/>
  <c r="AB314" i="19"/>
  <c r="AA314" i="19"/>
  <c r="X314" i="19"/>
  <c r="AM313" i="19"/>
  <c r="AL313" i="19"/>
  <c r="AK313" i="19"/>
  <c r="AJ313" i="19"/>
  <c r="AI313" i="19"/>
  <c r="AG313" i="19"/>
  <c r="AF313" i="19"/>
  <c r="AE313" i="19"/>
  <c r="AD313" i="19"/>
  <c r="AC313" i="19"/>
  <c r="AB313" i="19"/>
  <c r="AA313" i="19"/>
  <c r="X313" i="19"/>
  <c r="AM312" i="19"/>
  <c r="AL312" i="19"/>
  <c r="AK312" i="19"/>
  <c r="AJ312" i="19"/>
  <c r="AI312" i="19"/>
  <c r="AG312" i="19"/>
  <c r="AF312" i="19"/>
  <c r="AE312" i="19"/>
  <c r="AD312" i="19"/>
  <c r="AC312" i="19"/>
  <c r="AB312" i="19"/>
  <c r="AA312" i="19"/>
  <c r="X312" i="19"/>
  <c r="AM311" i="19"/>
  <c r="AL311" i="19"/>
  <c r="AK311" i="19"/>
  <c r="AJ311" i="19"/>
  <c r="AI311" i="19"/>
  <c r="AG311" i="19"/>
  <c r="AF311" i="19"/>
  <c r="AE311" i="19"/>
  <c r="AD311" i="19"/>
  <c r="AC311" i="19"/>
  <c r="AB311" i="19"/>
  <c r="AA311" i="19"/>
  <c r="X311" i="19"/>
  <c r="AM310" i="19"/>
  <c r="AL310" i="19"/>
  <c r="AK310" i="19"/>
  <c r="AJ310" i="19"/>
  <c r="AI310" i="19"/>
  <c r="AG310" i="19"/>
  <c r="AF310" i="19"/>
  <c r="AE310" i="19"/>
  <c r="AD310" i="19"/>
  <c r="AC310" i="19"/>
  <c r="AB310" i="19"/>
  <c r="AA310" i="19"/>
  <c r="X310" i="19"/>
  <c r="AM309" i="19"/>
  <c r="AL309" i="19"/>
  <c r="AK309" i="19"/>
  <c r="AJ309" i="19"/>
  <c r="AI309" i="19"/>
  <c r="AG309" i="19"/>
  <c r="AF309" i="19"/>
  <c r="AE309" i="19"/>
  <c r="AD309" i="19"/>
  <c r="AC309" i="19"/>
  <c r="AB309" i="19"/>
  <c r="AA309" i="19"/>
  <c r="X309" i="19"/>
  <c r="AM308" i="19"/>
  <c r="AL308" i="19"/>
  <c r="AK308" i="19"/>
  <c r="AJ308" i="19"/>
  <c r="AI308" i="19"/>
  <c r="AG308" i="19"/>
  <c r="AF308" i="19"/>
  <c r="AE308" i="19"/>
  <c r="AD308" i="19"/>
  <c r="AC308" i="19"/>
  <c r="AB308" i="19"/>
  <c r="AA308" i="19"/>
  <c r="X308" i="19"/>
  <c r="AM307" i="19"/>
  <c r="AL307" i="19"/>
  <c r="AK307" i="19"/>
  <c r="AJ307" i="19"/>
  <c r="AI307" i="19"/>
  <c r="AG307" i="19"/>
  <c r="AF307" i="19"/>
  <c r="AE307" i="19"/>
  <c r="AD307" i="19"/>
  <c r="AC307" i="19"/>
  <c r="AB307" i="19"/>
  <c r="AA307" i="19"/>
  <c r="X307" i="19"/>
  <c r="AM306" i="19"/>
  <c r="AL306" i="19"/>
  <c r="AK306" i="19"/>
  <c r="AJ306" i="19"/>
  <c r="AI306" i="19"/>
  <c r="AG306" i="19"/>
  <c r="AF306" i="19"/>
  <c r="AE306" i="19"/>
  <c r="AD306" i="19"/>
  <c r="AC306" i="19"/>
  <c r="AB306" i="19"/>
  <c r="AA306" i="19"/>
  <c r="X306" i="19"/>
  <c r="AM305" i="19"/>
  <c r="AL305" i="19"/>
  <c r="AK305" i="19"/>
  <c r="AJ305" i="19"/>
  <c r="AI305" i="19"/>
  <c r="AG305" i="19"/>
  <c r="AF305" i="19"/>
  <c r="AE305" i="19"/>
  <c r="AD305" i="19"/>
  <c r="AC305" i="19"/>
  <c r="AB305" i="19"/>
  <c r="AA305" i="19"/>
  <c r="X305" i="19"/>
  <c r="AM304" i="19"/>
  <c r="AL304" i="19"/>
  <c r="AK304" i="19"/>
  <c r="AJ304" i="19"/>
  <c r="AI304" i="19"/>
  <c r="AG304" i="19"/>
  <c r="AF304" i="19"/>
  <c r="AE304" i="19"/>
  <c r="AD304" i="19"/>
  <c r="AC304" i="19"/>
  <c r="AB304" i="19"/>
  <c r="AA304" i="19"/>
  <c r="X304" i="19"/>
  <c r="AM303" i="19"/>
  <c r="AL303" i="19"/>
  <c r="AK303" i="19"/>
  <c r="AJ303" i="19"/>
  <c r="AI303" i="19"/>
  <c r="AG303" i="19"/>
  <c r="AF303" i="19"/>
  <c r="AE303" i="19"/>
  <c r="AD303" i="19"/>
  <c r="AC303" i="19"/>
  <c r="AB303" i="19"/>
  <c r="AA303" i="19"/>
  <c r="X303" i="19"/>
  <c r="AM302" i="19"/>
  <c r="AL302" i="19"/>
  <c r="AK302" i="19"/>
  <c r="AJ302" i="19"/>
  <c r="AI302" i="19"/>
  <c r="AG302" i="19"/>
  <c r="AF302" i="19"/>
  <c r="AE302" i="19"/>
  <c r="AD302" i="19"/>
  <c r="AC302" i="19"/>
  <c r="AB302" i="19"/>
  <c r="AA302" i="19"/>
  <c r="X302" i="19"/>
  <c r="AM301" i="19"/>
  <c r="AL301" i="19"/>
  <c r="AK301" i="19"/>
  <c r="AJ301" i="19"/>
  <c r="AI301" i="19"/>
  <c r="AG301" i="19"/>
  <c r="AF301" i="19"/>
  <c r="AE301" i="19"/>
  <c r="AD301" i="19"/>
  <c r="AC301" i="19"/>
  <c r="AB301" i="19"/>
  <c r="AA301" i="19"/>
  <c r="X301" i="19"/>
  <c r="AM300" i="19"/>
  <c r="AL300" i="19"/>
  <c r="AK300" i="19"/>
  <c r="AJ300" i="19"/>
  <c r="AI300" i="19"/>
  <c r="AG300" i="19"/>
  <c r="AF300" i="19"/>
  <c r="AE300" i="19"/>
  <c r="AD300" i="19"/>
  <c r="AC300" i="19"/>
  <c r="AB300" i="19"/>
  <c r="AA300" i="19"/>
  <c r="X300" i="19"/>
  <c r="AM299" i="19"/>
  <c r="AL299" i="19"/>
  <c r="AK299" i="19"/>
  <c r="AJ299" i="19"/>
  <c r="AI299" i="19"/>
  <c r="AG299" i="19"/>
  <c r="AF299" i="19"/>
  <c r="AE299" i="19"/>
  <c r="AD299" i="19"/>
  <c r="AC299" i="19"/>
  <c r="AB299" i="19"/>
  <c r="AA299" i="19"/>
  <c r="X299" i="19"/>
  <c r="AM298" i="19"/>
  <c r="AL298" i="19"/>
  <c r="AK298" i="19"/>
  <c r="AJ298" i="19"/>
  <c r="AI298" i="19"/>
  <c r="AG298" i="19"/>
  <c r="AF298" i="19"/>
  <c r="AE298" i="19"/>
  <c r="AD298" i="19"/>
  <c r="AC298" i="19"/>
  <c r="AB298" i="19"/>
  <c r="AA298" i="19"/>
  <c r="X298" i="19"/>
  <c r="AM297" i="19"/>
  <c r="AL297" i="19"/>
  <c r="AK297" i="19"/>
  <c r="AJ297" i="19"/>
  <c r="AI297" i="19"/>
  <c r="AG297" i="19"/>
  <c r="AF297" i="19"/>
  <c r="AE297" i="19"/>
  <c r="AD297" i="19"/>
  <c r="AC297" i="19"/>
  <c r="AB297" i="19"/>
  <c r="AA297" i="19"/>
  <c r="X297" i="19"/>
  <c r="AM296" i="19"/>
  <c r="AL296" i="19"/>
  <c r="AK296" i="19"/>
  <c r="AJ296" i="19"/>
  <c r="AI296" i="19"/>
  <c r="AG296" i="19"/>
  <c r="AF296" i="19"/>
  <c r="AE296" i="19"/>
  <c r="AD296" i="19"/>
  <c r="AC296" i="19"/>
  <c r="AB296" i="19"/>
  <c r="AA296" i="19"/>
  <c r="X296" i="19"/>
  <c r="AM295" i="19"/>
  <c r="AL295" i="19"/>
  <c r="AK295" i="19"/>
  <c r="AJ295" i="19"/>
  <c r="AI295" i="19"/>
  <c r="AG295" i="19"/>
  <c r="AF295" i="19"/>
  <c r="AE295" i="19"/>
  <c r="AD295" i="19"/>
  <c r="AC295" i="19"/>
  <c r="AB295" i="19"/>
  <c r="AA295" i="19"/>
  <c r="X295" i="19"/>
  <c r="AM294" i="19"/>
  <c r="AL294" i="19"/>
  <c r="AK294" i="19"/>
  <c r="AJ294" i="19"/>
  <c r="AI294" i="19"/>
  <c r="AG294" i="19"/>
  <c r="AF294" i="19"/>
  <c r="AE294" i="19"/>
  <c r="AD294" i="19"/>
  <c r="AC294" i="19"/>
  <c r="AB294" i="19"/>
  <c r="AA294" i="19"/>
  <c r="X294" i="19"/>
  <c r="AM293" i="19"/>
  <c r="AL293" i="19"/>
  <c r="AK293" i="19"/>
  <c r="AJ293" i="19"/>
  <c r="AI293" i="19"/>
  <c r="AG293" i="19"/>
  <c r="AF293" i="19"/>
  <c r="AE293" i="19"/>
  <c r="AD293" i="19"/>
  <c r="AC293" i="19"/>
  <c r="AB293" i="19"/>
  <c r="AA293" i="19"/>
  <c r="X293" i="19"/>
  <c r="AM292" i="19"/>
  <c r="AL292" i="19"/>
  <c r="AK292" i="19"/>
  <c r="AJ292" i="19"/>
  <c r="AI292" i="19"/>
  <c r="AG292" i="19"/>
  <c r="AF292" i="19"/>
  <c r="AE292" i="19"/>
  <c r="AD292" i="19"/>
  <c r="AC292" i="19"/>
  <c r="AB292" i="19"/>
  <c r="AA292" i="19"/>
  <c r="X292" i="19"/>
  <c r="AM291" i="19"/>
  <c r="AL291" i="19"/>
  <c r="AK291" i="19"/>
  <c r="AJ291" i="19"/>
  <c r="AI291" i="19"/>
  <c r="AG291" i="19"/>
  <c r="AF291" i="19"/>
  <c r="AE291" i="19"/>
  <c r="AD291" i="19"/>
  <c r="AC291" i="19"/>
  <c r="AB291" i="19"/>
  <c r="AA291" i="19"/>
  <c r="X291" i="19"/>
  <c r="AM290" i="19"/>
  <c r="AL290" i="19"/>
  <c r="AK290" i="19"/>
  <c r="AJ290" i="19"/>
  <c r="AI290" i="19"/>
  <c r="AG290" i="19"/>
  <c r="AF290" i="19"/>
  <c r="AE290" i="19"/>
  <c r="AD290" i="19"/>
  <c r="AC290" i="19"/>
  <c r="AB290" i="19"/>
  <c r="AA290" i="19"/>
  <c r="X290" i="19"/>
  <c r="AM289" i="19"/>
  <c r="AL289" i="19"/>
  <c r="AK289" i="19"/>
  <c r="AJ289" i="19"/>
  <c r="AI289" i="19"/>
  <c r="AG289" i="19"/>
  <c r="AF289" i="19"/>
  <c r="AE289" i="19"/>
  <c r="AD289" i="19"/>
  <c r="AC289" i="19"/>
  <c r="AB289" i="19"/>
  <c r="AA289" i="19"/>
  <c r="X289" i="19"/>
  <c r="AM288" i="19"/>
  <c r="AL288" i="19"/>
  <c r="AK288" i="19"/>
  <c r="AJ288" i="19"/>
  <c r="AI288" i="19"/>
  <c r="AG288" i="19"/>
  <c r="AF288" i="19"/>
  <c r="AE288" i="19"/>
  <c r="AD288" i="19"/>
  <c r="AC288" i="19"/>
  <c r="AB288" i="19"/>
  <c r="AA288" i="19"/>
  <c r="X288" i="19"/>
  <c r="AM287" i="19"/>
  <c r="AL287" i="19"/>
  <c r="AK287" i="19"/>
  <c r="AJ287" i="19"/>
  <c r="AI287" i="19"/>
  <c r="AG287" i="19"/>
  <c r="AF287" i="19"/>
  <c r="AE287" i="19"/>
  <c r="AD287" i="19"/>
  <c r="AC287" i="19"/>
  <c r="AB287" i="19"/>
  <c r="AA287" i="19"/>
  <c r="X287" i="19"/>
  <c r="AM286" i="19"/>
  <c r="AL286" i="19"/>
  <c r="AK286" i="19"/>
  <c r="AJ286" i="19"/>
  <c r="AI286" i="19"/>
  <c r="AG286" i="19"/>
  <c r="AF286" i="19"/>
  <c r="AE286" i="19"/>
  <c r="AD286" i="19"/>
  <c r="AC286" i="19"/>
  <c r="AB286" i="19"/>
  <c r="AA286" i="19"/>
  <c r="X286" i="19"/>
  <c r="AM285" i="19"/>
  <c r="AL285" i="19"/>
  <c r="AK285" i="19"/>
  <c r="AJ285" i="19"/>
  <c r="AI285" i="19"/>
  <c r="AG285" i="19"/>
  <c r="AF285" i="19"/>
  <c r="AE285" i="19"/>
  <c r="AD285" i="19"/>
  <c r="AC285" i="19"/>
  <c r="AB285" i="19"/>
  <c r="AA285" i="19"/>
  <c r="X285" i="19"/>
  <c r="AM284" i="19"/>
  <c r="AL284" i="19"/>
  <c r="AK284" i="19"/>
  <c r="AJ284" i="19"/>
  <c r="AI284" i="19"/>
  <c r="AG284" i="19"/>
  <c r="AF284" i="19"/>
  <c r="AE284" i="19"/>
  <c r="AD284" i="19"/>
  <c r="AC284" i="19"/>
  <c r="AB284" i="19"/>
  <c r="AA284" i="19"/>
  <c r="X284" i="19"/>
  <c r="AM283" i="19"/>
  <c r="AL283" i="19"/>
  <c r="AK283" i="19"/>
  <c r="AJ283" i="19"/>
  <c r="AI283" i="19"/>
  <c r="AG283" i="19"/>
  <c r="AF283" i="19"/>
  <c r="AE283" i="19"/>
  <c r="AD283" i="19"/>
  <c r="AC283" i="19"/>
  <c r="AB283" i="19"/>
  <c r="AA283" i="19"/>
  <c r="X283" i="19"/>
  <c r="AM282" i="19"/>
  <c r="AL282" i="19"/>
  <c r="AK282" i="19"/>
  <c r="AJ282" i="19"/>
  <c r="AI282" i="19"/>
  <c r="AG282" i="19"/>
  <c r="AF282" i="19"/>
  <c r="AE282" i="19"/>
  <c r="AD282" i="19"/>
  <c r="AC282" i="19"/>
  <c r="AB282" i="19"/>
  <c r="AA282" i="19"/>
  <c r="X282" i="19"/>
  <c r="AM281" i="19"/>
  <c r="AL281" i="19"/>
  <c r="AK281" i="19"/>
  <c r="AJ281" i="19"/>
  <c r="AI281" i="19"/>
  <c r="AG281" i="19"/>
  <c r="AF281" i="19"/>
  <c r="AE281" i="19"/>
  <c r="AD281" i="19"/>
  <c r="AC281" i="19"/>
  <c r="AB281" i="19"/>
  <c r="AA281" i="19"/>
  <c r="X281" i="19"/>
  <c r="AM280" i="19"/>
  <c r="AL280" i="19"/>
  <c r="AK280" i="19"/>
  <c r="AJ280" i="19"/>
  <c r="AI280" i="19"/>
  <c r="AG280" i="19"/>
  <c r="AF280" i="19"/>
  <c r="AE280" i="19"/>
  <c r="AD280" i="19"/>
  <c r="AC280" i="19"/>
  <c r="AB280" i="19"/>
  <c r="AA280" i="19"/>
  <c r="X280" i="19"/>
  <c r="AM279" i="19"/>
  <c r="AL279" i="19"/>
  <c r="AK279" i="19"/>
  <c r="AJ279" i="19"/>
  <c r="AI279" i="19"/>
  <c r="AG279" i="19"/>
  <c r="AF279" i="19"/>
  <c r="AE279" i="19"/>
  <c r="AD279" i="19"/>
  <c r="AC279" i="19"/>
  <c r="AB279" i="19"/>
  <c r="AA279" i="19"/>
  <c r="X279" i="19"/>
  <c r="AM278" i="19"/>
  <c r="AL278" i="19"/>
  <c r="AK278" i="19"/>
  <c r="AJ278" i="19"/>
  <c r="AI278" i="19"/>
  <c r="AG278" i="19"/>
  <c r="AF278" i="19"/>
  <c r="AE278" i="19"/>
  <c r="AD278" i="19"/>
  <c r="AC278" i="19"/>
  <c r="AB278" i="19"/>
  <c r="AA278" i="19"/>
  <c r="X278" i="19"/>
  <c r="AM277" i="19"/>
  <c r="AL277" i="19"/>
  <c r="AK277" i="19"/>
  <c r="AJ277" i="19"/>
  <c r="AI277" i="19"/>
  <c r="AG277" i="19"/>
  <c r="AF277" i="19"/>
  <c r="AE277" i="19"/>
  <c r="AD277" i="19"/>
  <c r="AC277" i="19"/>
  <c r="AB277" i="19"/>
  <c r="AA277" i="19"/>
  <c r="X277" i="19"/>
  <c r="AM276" i="19"/>
  <c r="AL276" i="19"/>
  <c r="AK276" i="19"/>
  <c r="AJ276" i="19"/>
  <c r="AI276" i="19"/>
  <c r="AG276" i="19"/>
  <c r="AF276" i="19"/>
  <c r="AE276" i="19"/>
  <c r="AD276" i="19"/>
  <c r="AC276" i="19"/>
  <c r="AB276" i="19"/>
  <c r="AA276" i="19"/>
  <c r="X276" i="19"/>
  <c r="AM275" i="19"/>
  <c r="AL275" i="19"/>
  <c r="AK275" i="19"/>
  <c r="AJ275" i="19"/>
  <c r="AI275" i="19"/>
  <c r="AG275" i="19"/>
  <c r="AF275" i="19"/>
  <c r="AE275" i="19"/>
  <c r="AD275" i="19"/>
  <c r="AC275" i="19"/>
  <c r="AB275" i="19"/>
  <c r="AA275" i="19"/>
  <c r="X275" i="19"/>
  <c r="AM274" i="19"/>
  <c r="AL274" i="19"/>
  <c r="AK274" i="19"/>
  <c r="AJ274" i="19"/>
  <c r="AI274" i="19"/>
  <c r="AG274" i="19"/>
  <c r="AF274" i="19"/>
  <c r="AE274" i="19"/>
  <c r="AD274" i="19"/>
  <c r="AC274" i="19"/>
  <c r="AB274" i="19"/>
  <c r="AA274" i="19"/>
  <c r="X274" i="19"/>
  <c r="AM273" i="19"/>
  <c r="AL273" i="19"/>
  <c r="AK273" i="19"/>
  <c r="AJ273" i="19"/>
  <c r="AI273" i="19"/>
  <c r="AG273" i="19"/>
  <c r="AF273" i="19"/>
  <c r="AE273" i="19"/>
  <c r="AD273" i="19"/>
  <c r="AC273" i="19"/>
  <c r="AB273" i="19"/>
  <c r="AA273" i="19"/>
  <c r="X273" i="19"/>
  <c r="AM272" i="19"/>
  <c r="AL272" i="19"/>
  <c r="AK272" i="19"/>
  <c r="AJ272" i="19"/>
  <c r="AI272" i="19"/>
  <c r="AG272" i="19"/>
  <c r="AF272" i="19"/>
  <c r="AE272" i="19"/>
  <c r="AD272" i="19"/>
  <c r="AC272" i="19"/>
  <c r="AB272" i="19"/>
  <c r="AA272" i="19"/>
  <c r="X272" i="19"/>
  <c r="AM271" i="19"/>
  <c r="AL271" i="19"/>
  <c r="AK271" i="19"/>
  <c r="AJ271" i="19"/>
  <c r="AI271" i="19"/>
  <c r="AG271" i="19"/>
  <c r="AF271" i="19"/>
  <c r="AE271" i="19"/>
  <c r="AD271" i="19"/>
  <c r="AC271" i="19"/>
  <c r="AB271" i="19"/>
  <c r="AA271" i="19"/>
  <c r="X271" i="19"/>
  <c r="AM270" i="19"/>
  <c r="AL270" i="19"/>
  <c r="AK270" i="19"/>
  <c r="AJ270" i="19"/>
  <c r="AI270" i="19"/>
  <c r="AG270" i="19"/>
  <c r="AF270" i="19"/>
  <c r="AE270" i="19"/>
  <c r="AD270" i="19"/>
  <c r="AC270" i="19"/>
  <c r="AB270" i="19"/>
  <c r="AA270" i="19"/>
  <c r="X270" i="19"/>
  <c r="AM269" i="19"/>
  <c r="AL269" i="19"/>
  <c r="AK269" i="19"/>
  <c r="AJ269" i="19"/>
  <c r="AI269" i="19"/>
  <c r="AG269" i="19"/>
  <c r="AF269" i="19"/>
  <c r="AE269" i="19"/>
  <c r="AD269" i="19"/>
  <c r="AC269" i="19"/>
  <c r="AB269" i="19"/>
  <c r="AA269" i="19"/>
  <c r="X269" i="19"/>
  <c r="AM268" i="19"/>
  <c r="AL268" i="19"/>
  <c r="AK268" i="19"/>
  <c r="AJ268" i="19"/>
  <c r="AI268" i="19"/>
  <c r="AG268" i="19"/>
  <c r="AF268" i="19"/>
  <c r="AE268" i="19"/>
  <c r="AD268" i="19"/>
  <c r="AC268" i="19"/>
  <c r="AB268" i="19"/>
  <c r="AA268" i="19"/>
  <c r="X268" i="19"/>
  <c r="AM267" i="19"/>
  <c r="AL267" i="19"/>
  <c r="AK267" i="19"/>
  <c r="AJ267" i="19"/>
  <c r="AI267" i="19"/>
  <c r="AG267" i="19"/>
  <c r="AF267" i="19"/>
  <c r="AE267" i="19"/>
  <c r="AD267" i="19"/>
  <c r="AC267" i="19"/>
  <c r="AB267" i="19"/>
  <c r="AA267" i="19"/>
  <c r="X267" i="19"/>
  <c r="AM266" i="19"/>
  <c r="AL266" i="19"/>
  <c r="AK266" i="19"/>
  <c r="AJ266" i="19"/>
  <c r="AI266" i="19"/>
  <c r="AG266" i="19"/>
  <c r="AF266" i="19"/>
  <c r="AE266" i="19"/>
  <c r="AD266" i="19"/>
  <c r="AC266" i="19"/>
  <c r="AB266" i="19"/>
  <c r="AA266" i="19"/>
  <c r="X266" i="19"/>
  <c r="AM265" i="19"/>
  <c r="AL265" i="19"/>
  <c r="AK265" i="19"/>
  <c r="AJ265" i="19"/>
  <c r="AI265" i="19"/>
  <c r="AG265" i="19"/>
  <c r="AF265" i="19"/>
  <c r="AE265" i="19"/>
  <c r="AD265" i="19"/>
  <c r="AC265" i="19"/>
  <c r="AB265" i="19"/>
  <c r="AA265" i="19"/>
  <c r="X265" i="19"/>
  <c r="AM264" i="19"/>
  <c r="AL264" i="19"/>
  <c r="AK264" i="19"/>
  <c r="AJ264" i="19"/>
  <c r="AI264" i="19"/>
  <c r="AG264" i="19"/>
  <c r="AF264" i="19"/>
  <c r="AE264" i="19"/>
  <c r="AD264" i="19"/>
  <c r="AC264" i="19"/>
  <c r="AB264" i="19"/>
  <c r="AA264" i="19"/>
  <c r="X264" i="19"/>
  <c r="AM263" i="19"/>
  <c r="AL263" i="19"/>
  <c r="AK263" i="19"/>
  <c r="AJ263" i="19"/>
  <c r="AI263" i="19"/>
  <c r="AG263" i="19"/>
  <c r="AF263" i="19"/>
  <c r="AE263" i="19"/>
  <c r="AD263" i="19"/>
  <c r="AC263" i="19"/>
  <c r="AB263" i="19"/>
  <c r="AA263" i="19"/>
  <c r="X263" i="19"/>
  <c r="AM262" i="19"/>
  <c r="AL262" i="19"/>
  <c r="AK262" i="19"/>
  <c r="AJ262" i="19"/>
  <c r="AI262" i="19"/>
  <c r="AG262" i="19"/>
  <c r="AF262" i="19"/>
  <c r="AE262" i="19"/>
  <c r="AD262" i="19"/>
  <c r="AC262" i="19"/>
  <c r="AB262" i="19"/>
  <c r="AA262" i="19"/>
  <c r="X262" i="19"/>
  <c r="AM261" i="19"/>
  <c r="AL261" i="19"/>
  <c r="AK261" i="19"/>
  <c r="AJ261" i="19"/>
  <c r="AI261" i="19"/>
  <c r="AG261" i="19"/>
  <c r="AF261" i="19"/>
  <c r="AE261" i="19"/>
  <c r="AD261" i="19"/>
  <c r="AC261" i="19"/>
  <c r="AB261" i="19"/>
  <c r="AA261" i="19"/>
  <c r="X261" i="19"/>
  <c r="AM260" i="19"/>
  <c r="AL260" i="19"/>
  <c r="AK260" i="19"/>
  <c r="AJ260" i="19"/>
  <c r="AI260" i="19"/>
  <c r="AG260" i="19"/>
  <c r="AF260" i="19"/>
  <c r="AE260" i="19"/>
  <c r="AD260" i="19"/>
  <c r="AC260" i="19"/>
  <c r="AB260" i="19"/>
  <c r="AA260" i="19"/>
  <c r="X260" i="19"/>
  <c r="AM170" i="19"/>
  <c r="AL170" i="19"/>
  <c r="AK170" i="19"/>
  <c r="AJ170" i="19"/>
  <c r="AI170" i="19"/>
  <c r="AG170" i="19"/>
  <c r="AF170" i="19"/>
  <c r="AE170" i="19"/>
  <c r="AD170" i="19"/>
  <c r="AC170" i="19"/>
  <c r="AB170" i="19"/>
  <c r="AA170" i="19"/>
  <c r="X170" i="19"/>
  <c r="AM258" i="19"/>
  <c r="AL258" i="19"/>
  <c r="AK258" i="19"/>
  <c r="AJ258" i="19"/>
  <c r="AI258" i="19"/>
  <c r="AG258" i="19"/>
  <c r="AF258" i="19"/>
  <c r="AE258" i="19"/>
  <c r="AD258" i="19"/>
  <c r="AC258" i="19"/>
  <c r="AB258" i="19"/>
  <c r="AA258" i="19"/>
  <c r="X258" i="19"/>
  <c r="AM257" i="19"/>
  <c r="AL257" i="19"/>
  <c r="AK257" i="19"/>
  <c r="AJ257" i="19"/>
  <c r="AI257" i="19"/>
  <c r="AG257" i="19"/>
  <c r="AF257" i="19"/>
  <c r="AE257" i="19"/>
  <c r="AD257" i="19"/>
  <c r="AC257" i="19"/>
  <c r="AB257" i="19"/>
  <c r="AA257" i="19"/>
  <c r="X257" i="19"/>
  <c r="AM256" i="19"/>
  <c r="AL256" i="19"/>
  <c r="AK256" i="19"/>
  <c r="AJ256" i="19"/>
  <c r="AI256" i="19"/>
  <c r="AG256" i="19"/>
  <c r="AF256" i="19"/>
  <c r="AE256" i="19"/>
  <c r="AD256" i="19"/>
  <c r="AC256" i="19"/>
  <c r="AB256" i="19"/>
  <c r="AA256" i="19"/>
  <c r="X256" i="19"/>
  <c r="AM255" i="19"/>
  <c r="AL255" i="19"/>
  <c r="AK255" i="19"/>
  <c r="AJ255" i="19"/>
  <c r="AI255" i="19"/>
  <c r="AG255" i="19"/>
  <c r="AF255" i="19"/>
  <c r="AE255" i="19"/>
  <c r="AD255" i="19"/>
  <c r="AC255" i="19"/>
  <c r="AB255" i="19"/>
  <c r="AA255" i="19"/>
  <c r="X255" i="19"/>
  <c r="AM254" i="19"/>
  <c r="AL254" i="19"/>
  <c r="AK254" i="19"/>
  <c r="AJ254" i="19"/>
  <c r="AI254" i="19"/>
  <c r="AG254" i="19"/>
  <c r="AF254" i="19"/>
  <c r="AE254" i="19"/>
  <c r="AD254" i="19"/>
  <c r="AC254" i="19"/>
  <c r="AB254" i="19"/>
  <c r="AA254" i="19"/>
  <c r="X254" i="19"/>
  <c r="AM253" i="19"/>
  <c r="AL253" i="19"/>
  <c r="AK253" i="19"/>
  <c r="AJ253" i="19"/>
  <c r="AI253" i="19"/>
  <c r="AG253" i="19"/>
  <c r="AF253" i="19"/>
  <c r="AE253" i="19"/>
  <c r="AD253" i="19"/>
  <c r="AC253" i="19"/>
  <c r="AB253" i="19"/>
  <c r="AA253" i="19"/>
  <c r="X253" i="19"/>
  <c r="AM252" i="19"/>
  <c r="AL252" i="19"/>
  <c r="AK252" i="19"/>
  <c r="AJ252" i="19"/>
  <c r="AI252" i="19"/>
  <c r="AG252" i="19"/>
  <c r="AF252" i="19"/>
  <c r="AE252" i="19"/>
  <c r="AD252" i="19"/>
  <c r="AC252" i="19"/>
  <c r="AB252" i="19"/>
  <c r="AA252" i="19"/>
  <c r="X252" i="19"/>
  <c r="AM251" i="19"/>
  <c r="AL251" i="19"/>
  <c r="AK251" i="19"/>
  <c r="AJ251" i="19"/>
  <c r="AI251" i="19"/>
  <c r="AG251" i="19"/>
  <c r="AF251" i="19"/>
  <c r="AE251" i="19"/>
  <c r="AD251" i="19"/>
  <c r="AC251" i="19"/>
  <c r="AB251" i="19"/>
  <c r="AA251" i="19"/>
  <c r="AM250" i="19"/>
  <c r="AL250" i="19"/>
  <c r="AK250" i="19"/>
  <c r="AJ250" i="19"/>
  <c r="AI250" i="19"/>
  <c r="AG250" i="19"/>
  <c r="AF250" i="19"/>
  <c r="AE250" i="19"/>
  <c r="AD250" i="19"/>
  <c r="AC250" i="19"/>
  <c r="AB250" i="19"/>
  <c r="AA250" i="19"/>
  <c r="X250" i="19"/>
  <c r="AM249" i="19"/>
  <c r="AL249" i="19"/>
  <c r="AK249" i="19"/>
  <c r="AJ249" i="19"/>
  <c r="AI249" i="19"/>
  <c r="AG249" i="19"/>
  <c r="AF249" i="19"/>
  <c r="AE249" i="19"/>
  <c r="AD249" i="19"/>
  <c r="AC249" i="19"/>
  <c r="AB249" i="19"/>
  <c r="AA249" i="19"/>
  <c r="X249" i="19"/>
  <c r="AM248" i="19"/>
  <c r="AL248" i="19"/>
  <c r="AK248" i="19"/>
  <c r="AJ248" i="19"/>
  <c r="AI248" i="19"/>
  <c r="AG248" i="19"/>
  <c r="AF248" i="19"/>
  <c r="AE248" i="19"/>
  <c r="AD248" i="19"/>
  <c r="AC248" i="19"/>
  <c r="AB248" i="19"/>
  <c r="AA248" i="19"/>
  <c r="X248" i="19"/>
  <c r="AM247" i="19"/>
  <c r="AL247" i="19"/>
  <c r="AK247" i="19"/>
  <c r="AJ247" i="19"/>
  <c r="AI247" i="19"/>
  <c r="AG247" i="19"/>
  <c r="AF247" i="19"/>
  <c r="AE247" i="19"/>
  <c r="AD247" i="19"/>
  <c r="AC247" i="19"/>
  <c r="AB247" i="19"/>
  <c r="AA247" i="19"/>
  <c r="X247" i="19"/>
  <c r="AM246" i="19"/>
  <c r="AL246" i="19"/>
  <c r="AK246" i="19"/>
  <c r="AJ246" i="19"/>
  <c r="AI246" i="19"/>
  <c r="AG246" i="19"/>
  <c r="AF246" i="19"/>
  <c r="AE246" i="19"/>
  <c r="AD246" i="19"/>
  <c r="AC246" i="19"/>
  <c r="AB246" i="19"/>
  <c r="AA246" i="19"/>
  <c r="X246" i="19"/>
  <c r="AM245" i="19"/>
  <c r="AL245" i="19"/>
  <c r="AK245" i="19"/>
  <c r="AJ245" i="19"/>
  <c r="AI245" i="19"/>
  <c r="AG245" i="19"/>
  <c r="AF245" i="19"/>
  <c r="AE245" i="19"/>
  <c r="AD245" i="19"/>
  <c r="AC245" i="19"/>
  <c r="AB245" i="19"/>
  <c r="AA245" i="19"/>
  <c r="X245" i="19"/>
  <c r="AM244" i="19"/>
  <c r="AL244" i="19"/>
  <c r="AK244" i="19"/>
  <c r="AJ244" i="19"/>
  <c r="AI244" i="19"/>
  <c r="AG244" i="19"/>
  <c r="AF244" i="19"/>
  <c r="AE244" i="19"/>
  <c r="AD244" i="19"/>
  <c r="AC244" i="19"/>
  <c r="AB244" i="19"/>
  <c r="AA244" i="19"/>
  <c r="X244" i="19"/>
  <c r="AM243" i="19"/>
  <c r="AL243" i="19"/>
  <c r="AK243" i="19"/>
  <c r="AJ243" i="19"/>
  <c r="AI243" i="19"/>
  <c r="AG243" i="19"/>
  <c r="AF243" i="19"/>
  <c r="AE243" i="19"/>
  <c r="AD243" i="19"/>
  <c r="AC243" i="19"/>
  <c r="AB243" i="19"/>
  <c r="AA243" i="19"/>
  <c r="X243" i="19"/>
  <c r="AM259" i="19"/>
  <c r="AL259" i="19"/>
  <c r="AK259" i="19"/>
  <c r="AJ259" i="19"/>
  <c r="AI259" i="19"/>
  <c r="AG259" i="19"/>
  <c r="AF259" i="19"/>
  <c r="AE259" i="19"/>
  <c r="AD259" i="19"/>
  <c r="AC259" i="19"/>
  <c r="AB259" i="19"/>
  <c r="AA259" i="19"/>
  <c r="X259" i="19"/>
  <c r="AM241" i="19"/>
  <c r="AL241" i="19"/>
  <c r="AK241" i="19"/>
  <c r="AJ241" i="19"/>
  <c r="AI241" i="19"/>
  <c r="AG241" i="19"/>
  <c r="AF241" i="19"/>
  <c r="AE241" i="19"/>
  <c r="AD241" i="19"/>
  <c r="AC241" i="19"/>
  <c r="AB241" i="19"/>
  <c r="AA241" i="19"/>
  <c r="X241" i="19"/>
  <c r="AM240" i="19"/>
  <c r="AL240" i="19"/>
  <c r="AK240" i="19"/>
  <c r="AJ240" i="19"/>
  <c r="AI240" i="19"/>
  <c r="AG240" i="19"/>
  <c r="AF240" i="19"/>
  <c r="AE240" i="19"/>
  <c r="AD240" i="19"/>
  <c r="AC240" i="19"/>
  <c r="AB240" i="19"/>
  <c r="AA240" i="19"/>
  <c r="X240" i="19"/>
  <c r="AM239" i="19"/>
  <c r="AL239" i="19"/>
  <c r="AK239" i="19"/>
  <c r="AJ239" i="19"/>
  <c r="AI239" i="19"/>
  <c r="AG239" i="19"/>
  <c r="AF239" i="19"/>
  <c r="AE239" i="19"/>
  <c r="AD239" i="19"/>
  <c r="AC239" i="19"/>
  <c r="AB239" i="19"/>
  <c r="AA239" i="19"/>
  <c r="X239" i="19"/>
  <c r="AM238" i="19"/>
  <c r="AL238" i="19"/>
  <c r="AK238" i="19"/>
  <c r="AJ238" i="19"/>
  <c r="AI238" i="19"/>
  <c r="AG238" i="19"/>
  <c r="AF238" i="19"/>
  <c r="AE238" i="19"/>
  <c r="AD238" i="19"/>
  <c r="AC238" i="19"/>
  <c r="AB238" i="19"/>
  <c r="AA238" i="19"/>
  <c r="X238" i="19"/>
  <c r="AM237" i="19"/>
  <c r="AL237" i="19"/>
  <c r="AK237" i="19"/>
  <c r="AJ237" i="19"/>
  <c r="AI237" i="19"/>
  <c r="AG237" i="19"/>
  <c r="AF237" i="19"/>
  <c r="AE237" i="19"/>
  <c r="AD237" i="19"/>
  <c r="AC237" i="19"/>
  <c r="AB237" i="19"/>
  <c r="AA237" i="19"/>
  <c r="X237" i="19"/>
  <c r="AM236" i="19"/>
  <c r="AL236" i="19"/>
  <c r="AK236" i="19"/>
  <c r="AJ236" i="19"/>
  <c r="AI236" i="19"/>
  <c r="AG236" i="19"/>
  <c r="AF236" i="19"/>
  <c r="AE236" i="19"/>
  <c r="AD236" i="19"/>
  <c r="AC236" i="19"/>
  <c r="AB236" i="19"/>
  <c r="AA236" i="19"/>
  <c r="X236" i="19"/>
  <c r="AM235" i="19"/>
  <c r="AL235" i="19"/>
  <c r="AK235" i="19"/>
  <c r="AJ235" i="19"/>
  <c r="AI235" i="19"/>
  <c r="AG235" i="19"/>
  <c r="AF235" i="19"/>
  <c r="AE235" i="19"/>
  <c r="AD235" i="19"/>
  <c r="AC235" i="19"/>
  <c r="AB235" i="19"/>
  <c r="AA235" i="19"/>
  <c r="X235" i="19"/>
  <c r="AM234" i="19"/>
  <c r="AL234" i="19"/>
  <c r="AK234" i="19"/>
  <c r="AJ234" i="19"/>
  <c r="AI234" i="19"/>
  <c r="AG234" i="19"/>
  <c r="AF234" i="19"/>
  <c r="AE234" i="19"/>
  <c r="AD234" i="19"/>
  <c r="AC234" i="19"/>
  <c r="AB234" i="19"/>
  <c r="AA234" i="19"/>
  <c r="X234" i="19"/>
  <c r="AM233" i="19"/>
  <c r="AL233" i="19"/>
  <c r="AK233" i="19"/>
  <c r="AJ233" i="19"/>
  <c r="AI233" i="19"/>
  <c r="AG233" i="19"/>
  <c r="AF233" i="19"/>
  <c r="AE233" i="19"/>
  <c r="AD233" i="19"/>
  <c r="AC233" i="19"/>
  <c r="AB233" i="19"/>
  <c r="AA233" i="19"/>
  <c r="X233" i="19"/>
  <c r="AM232" i="19"/>
  <c r="AL232" i="19"/>
  <c r="AK232" i="19"/>
  <c r="AJ232" i="19"/>
  <c r="AI232" i="19"/>
  <c r="AG232" i="19"/>
  <c r="AF232" i="19"/>
  <c r="AE232" i="19"/>
  <c r="AD232" i="19"/>
  <c r="AC232" i="19"/>
  <c r="AB232" i="19"/>
  <c r="AA232" i="19"/>
  <c r="X232" i="19"/>
  <c r="AM231" i="19"/>
  <c r="AL231" i="19"/>
  <c r="AK231" i="19"/>
  <c r="AJ231" i="19"/>
  <c r="AI231" i="19"/>
  <c r="AG231" i="19"/>
  <c r="AF231" i="19"/>
  <c r="AE231" i="19"/>
  <c r="AD231" i="19"/>
  <c r="AC231" i="19"/>
  <c r="AB231" i="19"/>
  <c r="AA231" i="19"/>
  <c r="X231" i="19"/>
  <c r="AM230" i="19"/>
  <c r="AL230" i="19"/>
  <c r="AK230" i="19"/>
  <c r="AJ230" i="19"/>
  <c r="AI230" i="19"/>
  <c r="AG230" i="19"/>
  <c r="AF230" i="19"/>
  <c r="AE230" i="19"/>
  <c r="AD230" i="19"/>
  <c r="AC230" i="19"/>
  <c r="AB230" i="19"/>
  <c r="AA230" i="19"/>
  <c r="X230" i="19"/>
  <c r="AM229" i="19"/>
  <c r="AL229" i="19"/>
  <c r="AK229" i="19"/>
  <c r="AJ229" i="19"/>
  <c r="AI229" i="19"/>
  <c r="AG229" i="19"/>
  <c r="AF229" i="19"/>
  <c r="AE229" i="19"/>
  <c r="AD229" i="19"/>
  <c r="AC229" i="19"/>
  <c r="AB229" i="19"/>
  <c r="AA229" i="19"/>
  <c r="X229" i="19"/>
  <c r="AM228" i="19"/>
  <c r="AL228" i="19"/>
  <c r="AK228" i="19"/>
  <c r="AJ228" i="19"/>
  <c r="AI228" i="19"/>
  <c r="AG228" i="19"/>
  <c r="AF228" i="19"/>
  <c r="AE228" i="19"/>
  <c r="AD228" i="19"/>
  <c r="AC228" i="19"/>
  <c r="AB228" i="19"/>
  <c r="AA228" i="19"/>
  <c r="X228" i="19"/>
  <c r="AM227" i="19"/>
  <c r="AL227" i="19"/>
  <c r="AK227" i="19"/>
  <c r="AJ227" i="19"/>
  <c r="AI227" i="19"/>
  <c r="AG227" i="19"/>
  <c r="AF227" i="19"/>
  <c r="AE227" i="19"/>
  <c r="AD227" i="19"/>
  <c r="AC227" i="19"/>
  <c r="AB227" i="19"/>
  <c r="AA227" i="19"/>
  <c r="X227" i="19"/>
  <c r="AM226" i="19"/>
  <c r="AL226" i="19"/>
  <c r="AK226" i="19"/>
  <c r="AJ226" i="19"/>
  <c r="AI226" i="19"/>
  <c r="AG226" i="19"/>
  <c r="AF226" i="19"/>
  <c r="AE226" i="19"/>
  <c r="AD226" i="19"/>
  <c r="AC226" i="19"/>
  <c r="AB226" i="19"/>
  <c r="AA226" i="19"/>
  <c r="X226" i="19"/>
  <c r="AM225" i="19"/>
  <c r="AL225" i="19"/>
  <c r="AK225" i="19"/>
  <c r="AJ225" i="19"/>
  <c r="AI225" i="19"/>
  <c r="AG225" i="19"/>
  <c r="AF225" i="19"/>
  <c r="AE225" i="19"/>
  <c r="AD225" i="19"/>
  <c r="AC225" i="19"/>
  <c r="AB225" i="19"/>
  <c r="AA225" i="19"/>
  <c r="X225" i="19"/>
  <c r="AM224" i="19"/>
  <c r="AL224" i="19"/>
  <c r="AK224" i="19"/>
  <c r="AJ224" i="19"/>
  <c r="AI224" i="19"/>
  <c r="AG224" i="19"/>
  <c r="AF224" i="19"/>
  <c r="AE224" i="19"/>
  <c r="AD224" i="19"/>
  <c r="AC224" i="19"/>
  <c r="AB224" i="19"/>
  <c r="AA224" i="19"/>
  <c r="X224" i="19"/>
  <c r="AM223" i="19"/>
  <c r="AL223" i="19"/>
  <c r="AK223" i="19"/>
  <c r="AJ223" i="19"/>
  <c r="AI223" i="19"/>
  <c r="AG223" i="19"/>
  <c r="AF223" i="19"/>
  <c r="AE223" i="19"/>
  <c r="AD223" i="19"/>
  <c r="AC223" i="19"/>
  <c r="AB223" i="19"/>
  <c r="AA223" i="19"/>
  <c r="X223" i="19"/>
  <c r="AM222" i="19"/>
  <c r="AL222" i="19"/>
  <c r="AK222" i="19"/>
  <c r="AJ222" i="19"/>
  <c r="AI222" i="19"/>
  <c r="AG222" i="19"/>
  <c r="AF222" i="19"/>
  <c r="AE222" i="19"/>
  <c r="AD222" i="19"/>
  <c r="AC222" i="19"/>
  <c r="AB222" i="19"/>
  <c r="AA222" i="19"/>
  <c r="X222" i="19"/>
  <c r="AM221" i="19"/>
  <c r="AL221" i="19"/>
  <c r="AK221" i="19"/>
  <c r="AJ221" i="19"/>
  <c r="AI221" i="19"/>
  <c r="AG221" i="19"/>
  <c r="AF221" i="19"/>
  <c r="AE221" i="19"/>
  <c r="AD221" i="19"/>
  <c r="AC221" i="19"/>
  <c r="AB221" i="19"/>
  <c r="AA221" i="19"/>
  <c r="X221" i="19"/>
  <c r="AM220" i="19"/>
  <c r="AL220" i="19"/>
  <c r="AK220" i="19"/>
  <c r="AJ220" i="19"/>
  <c r="AI220" i="19"/>
  <c r="AG220" i="19"/>
  <c r="AF220" i="19"/>
  <c r="AE220" i="19"/>
  <c r="AD220" i="19"/>
  <c r="AC220" i="19"/>
  <c r="AB220" i="19"/>
  <c r="AA220" i="19"/>
  <c r="X220" i="19"/>
  <c r="AM219" i="19"/>
  <c r="AL219" i="19"/>
  <c r="AK219" i="19"/>
  <c r="AJ219" i="19"/>
  <c r="AI219" i="19"/>
  <c r="AG219" i="19"/>
  <c r="AF219" i="19"/>
  <c r="AE219" i="19"/>
  <c r="AD219" i="19"/>
  <c r="AC219" i="19"/>
  <c r="AB219" i="19"/>
  <c r="AA219" i="19"/>
  <c r="X219" i="19"/>
  <c r="AM218" i="19"/>
  <c r="AL218" i="19"/>
  <c r="AK218" i="19"/>
  <c r="AJ218" i="19"/>
  <c r="AI218" i="19"/>
  <c r="AG218" i="19"/>
  <c r="AF218" i="19"/>
  <c r="AE218" i="19"/>
  <c r="AD218" i="19"/>
  <c r="AC218" i="19"/>
  <c r="AB218" i="19"/>
  <c r="AA218" i="19"/>
  <c r="X218" i="19"/>
  <c r="AM139" i="19"/>
  <c r="AL139" i="19"/>
  <c r="AK139" i="19"/>
  <c r="AJ139" i="19"/>
  <c r="AI139" i="19"/>
  <c r="AG139" i="19"/>
  <c r="AF139" i="19"/>
  <c r="AE139" i="19"/>
  <c r="AD139" i="19"/>
  <c r="AC139" i="19"/>
  <c r="AB139" i="19"/>
  <c r="AA139" i="19"/>
  <c r="X139" i="19"/>
  <c r="AM216" i="19"/>
  <c r="AL216" i="19"/>
  <c r="AK216" i="19"/>
  <c r="AJ216" i="19"/>
  <c r="AI216" i="19"/>
  <c r="AG216" i="19"/>
  <c r="AF216" i="19"/>
  <c r="AE216" i="19"/>
  <c r="AD216" i="19"/>
  <c r="AC216" i="19"/>
  <c r="AB216" i="19"/>
  <c r="AA216" i="19"/>
  <c r="X216" i="19"/>
  <c r="AM215" i="19"/>
  <c r="AL215" i="19"/>
  <c r="AK215" i="19"/>
  <c r="AJ215" i="19"/>
  <c r="AI215" i="19"/>
  <c r="AG215" i="19"/>
  <c r="AF215" i="19"/>
  <c r="AE215" i="19"/>
  <c r="AD215" i="19"/>
  <c r="AC215" i="19"/>
  <c r="AB215" i="19"/>
  <c r="AA215" i="19"/>
  <c r="X215" i="19"/>
  <c r="AM214" i="19"/>
  <c r="AL214" i="19"/>
  <c r="AK214" i="19"/>
  <c r="AJ214" i="19"/>
  <c r="AI214" i="19"/>
  <c r="AG214" i="19"/>
  <c r="AF214" i="19"/>
  <c r="AE214" i="19"/>
  <c r="AD214" i="19"/>
  <c r="AC214" i="19"/>
  <c r="AB214" i="19"/>
  <c r="AA214" i="19"/>
  <c r="X214" i="19"/>
  <c r="AM242" i="19"/>
  <c r="AL242" i="19"/>
  <c r="AK242" i="19"/>
  <c r="AJ242" i="19"/>
  <c r="AI242" i="19"/>
  <c r="AG242" i="19"/>
  <c r="AF242" i="19"/>
  <c r="AE242" i="19"/>
  <c r="AD242" i="19"/>
  <c r="AC242" i="19"/>
  <c r="AB242" i="19"/>
  <c r="AA242" i="19"/>
  <c r="X242" i="19"/>
  <c r="AM212" i="19"/>
  <c r="AL212" i="19"/>
  <c r="AK212" i="19"/>
  <c r="AJ212" i="19"/>
  <c r="AI212" i="19"/>
  <c r="AG212" i="19"/>
  <c r="AF212" i="19"/>
  <c r="AE212" i="19"/>
  <c r="AD212" i="19"/>
  <c r="AC212" i="19"/>
  <c r="AB212" i="19"/>
  <c r="AA212" i="19"/>
  <c r="X212" i="19"/>
  <c r="AM211" i="19"/>
  <c r="AL211" i="19"/>
  <c r="AK211" i="19"/>
  <c r="AJ211" i="19"/>
  <c r="AI211" i="19"/>
  <c r="AG211" i="19"/>
  <c r="AF211" i="19"/>
  <c r="AE211" i="19"/>
  <c r="AD211" i="19"/>
  <c r="AC211" i="19"/>
  <c r="AB211" i="19"/>
  <c r="AA211" i="19"/>
  <c r="X211" i="19"/>
  <c r="AM210" i="19"/>
  <c r="AL210" i="19"/>
  <c r="AK210" i="19"/>
  <c r="AJ210" i="19"/>
  <c r="AI210" i="19"/>
  <c r="AG210" i="19"/>
  <c r="AF210" i="19"/>
  <c r="AE210" i="19"/>
  <c r="AD210" i="19"/>
  <c r="AC210" i="19"/>
  <c r="AB210" i="19"/>
  <c r="AA210" i="19"/>
  <c r="X210" i="19"/>
  <c r="AM209" i="19"/>
  <c r="AL209" i="19"/>
  <c r="AK209" i="19"/>
  <c r="AJ209" i="19"/>
  <c r="AI209" i="19"/>
  <c r="AG209" i="19"/>
  <c r="AF209" i="19"/>
  <c r="AE209" i="19"/>
  <c r="AD209" i="19"/>
  <c r="AC209" i="19"/>
  <c r="AB209" i="19"/>
  <c r="AA209" i="19"/>
  <c r="X209" i="19"/>
  <c r="AM208" i="19"/>
  <c r="AL208" i="19"/>
  <c r="AK208" i="19"/>
  <c r="AJ208" i="19"/>
  <c r="AI208" i="19"/>
  <c r="AG208" i="19"/>
  <c r="AF208" i="19"/>
  <c r="AE208" i="19"/>
  <c r="AD208" i="19"/>
  <c r="AC208" i="19"/>
  <c r="AB208" i="19"/>
  <c r="AA208" i="19"/>
  <c r="X208" i="19"/>
  <c r="AM207" i="19"/>
  <c r="AL207" i="19"/>
  <c r="AK207" i="19"/>
  <c r="AJ207" i="19"/>
  <c r="AI207" i="19"/>
  <c r="AG207" i="19"/>
  <c r="AF207" i="19"/>
  <c r="AE207" i="19"/>
  <c r="AD207" i="19"/>
  <c r="AC207" i="19"/>
  <c r="AB207" i="19"/>
  <c r="AA207" i="19"/>
  <c r="X207" i="19"/>
  <c r="AM206" i="19"/>
  <c r="AL206" i="19"/>
  <c r="AK206" i="19"/>
  <c r="AJ206" i="19"/>
  <c r="AI206" i="19"/>
  <c r="AG206" i="19"/>
  <c r="AF206" i="19"/>
  <c r="AE206" i="19"/>
  <c r="AD206" i="19"/>
  <c r="AC206" i="19"/>
  <c r="AB206" i="19"/>
  <c r="AA206" i="19"/>
  <c r="X206" i="19"/>
  <c r="AM205" i="19"/>
  <c r="AL205" i="19"/>
  <c r="AK205" i="19"/>
  <c r="AJ205" i="19"/>
  <c r="AI205" i="19"/>
  <c r="AG205" i="19"/>
  <c r="AF205" i="19"/>
  <c r="AE205" i="19"/>
  <c r="AD205" i="19"/>
  <c r="AC205" i="19"/>
  <c r="AB205" i="19"/>
  <c r="AA205" i="19"/>
  <c r="X205" i="19"/>
  <c r="AM204" i="19"/>
  <c r="AL204" i="19"/>
  <c r="AK204" i="19"/>
  <c r="AJ204" i="19"/>
  <c r="AI204" i="19"/>
  <c r="AG204" i="19"/>
  <c r="AF204" i="19"/>
  <c r="AE204" i="19"/>
  <c r="AD204" i="19"/>
  <c r="AC204" i="19"/>
  <c r="AB204" i="19"/>
  <c r="AA204" i="19"/>
  <c r="X204" i="19"/>
  <c r="AM203" i="19"/>
  <c r="AL203" i="19"/>
  <c r="AK203" i="19"/>
  <c r="AJ203" i="19"/>
  <c r="AI203" i="19"/>
  <c r="AG203" i="19"/>
  <c r="AF203" i="19"/>
  <c r="AE203" i="19"/>
  <c r="AD203" i="19"/>
  <c r="AC203" i="19"/>
  <c r="AB203" i="19"/>
  <c r="AA203" i="19"/>
  <c r="X203" i="19"/>
  <c r="AM202" i="19"/>
  <c r="AL202" i="19"/>
  <c r="AK202" i="19"/>
  <c r="AJ202" i="19"/>
  <c r="AI202" i="19"/>
  <c r="AG202" i="19"/>
  <c r="AF202" i="19"/>
  <c r="AE202" i="19"/>
  <c r="AD202" i="19"/>
  <c r="AC202" i="19"/>
  <c r="AB202" i="19"/>
  <c r="AA202" i="19"/>
  <c r="X202" i="19"/>
  <c r="AM201" i="19"/>
  <c r="AL201" i="19"/>
  <c r="AK201" i="19"/>
  <c r="AJ201" i="19"/>
  <c r="AI201" i="19"/>
  <c r="AG201" i="19"/>
  <c r="AF201" i="19"/>
  <c r="AE201" i="19"/>
  <c r="AD201" i="19"/>
  <c r="AC201" i="19"/>
  <c r="AB201" i="19"/>
  <c r="AA201" i="19"/>
  <c r="X201" i="19"/>
  <c r="AM200" i="19"/>
  <c r="AL200" i="19"/>
  <c r="AK200" i="19"/>
  <c r="AJ200" i="19"/>
  <c r="AI200" i="19"/>
  <c r="AG200" i="19"/>
  <c r="AF200" i="19"/>
  <c r="AE200" i="19"/>
  <c r="AD200" i="19"/>
  <c r="AC200" i="19"/>
  <c r="AB200" i="19"/>
  <c r="AA200" i="19"/>
  <c r="X200" i="19"/>
  <c r="AM199" i="19"/>
  <c r="AL199" i="19"/>
  <c r="AK199" i="19"/>
  <c r="AJ199" i="19"/>
  <c r="AI199" i="19"/>
  <c r="AG199" i="19"/>
  <c r="AF199" i="19"/>
  <c r="AE199" i="19"/>
  <c r="AD199" i="19"/>
  <c r="AC199" i="19"/>
  <c r="AB199" i="19"/>
  <c r="AA199" i="19"/>
  <c r="X199" i="19"/>
  <c r="AM198" i="19"/>
  <c r="AL198" i="19"/>
  <c r="AK198" i="19"/>
  <c r="AJ198" i="19"/>
  <c r="AI198" i="19"/>
  <c r="AG198" i="19"/>
  <c r="AF198" i="19"/>
  <c r="AE198" i="19"/>
  <c r="AD198" i="19"/>
  <c r="AC198" i="19"/>
  <c r="AB198" i="19"/>
  <c r="AA198" i="19"/>
  <c r="X198" i="19"/>
  <c r="AM197" i="19"/>
  <c r="AL197" i="19"/>
  <c r="AK197" i="19"/>
  <c r="AJ197" i="19"/>
  <c r="AI197" i="19"/>
  <c r="AG197" i="19"/>
  <c r="AF197" i="19"/>
  <c r="AE197" i="19"/>
  <c r="AD197" i="19"/>
  <c r="AC197" i="19"/>
  <c r="AB197" i="19"/>
  <c r="AA197" i="19"/>
  <c r="X197" i="19"/>
  <c r="AM196" i="19"/>
  <c r="AL196" i="19"/>
  <c r="AK196" i="19"/>
  <c r="AJ196" i="19"/>
  <c r="AI196" i="19"/>
  <c r="AG196" i="19"/>
  <c r="AF196" i="19"/>
  <c r="AE196" i="19"/>
  <c r="AD196" i="19"/>
  <c r="AC196" i="19"/>
  <c r="AB196" i="19"/>
  <c r="AA196" i="19"/>
  <c r="X196" i="19"/>
  <c r="AM195" i="19"/>
  <c r="AL195" i="19"/>
  <c r="AK195" i="19"/>
  <c r="AJ195" i="19"/>
  <c r="AI195" i="19"/>
  <c r="AG195" i="19"/>
  <c r="AF195" i="19"/>
  <c r="AE195" i="19"/>
  <c r="AD195" i="19"/>
  <c r="AC195" i="19"/>
  <c r="AB195" i="19"/>
  <c r="AA195" i="19"/>
  <c r="X195" i="19"/>
  <c r="AM194" i="19"/>
  <c r="AL194" i="19"/>
  <c r="AK194" i="19"/>
  <c r="AJ194" i="19"/>
  <c r="AI194" i="19"/>
  <c r="AG194" i="19"/>
  <c r="AF194" i="19"/>
  <c r="AE194" i="19"/>
  <c r="AD194" i="19"/>
  <c r="AC194" i="19"/>
  <c r="AB194" i="19"/>
  <c r="AA194" i="19"/>
  <c r="X194" i="19"/>
  <c r="AM193" i="19"/>
  <c r="AL193" i="19"/>
  <c r="AK193" i="19"/>
  <c r="AJ193" i="19"/>
  <c r="AI193" i="19"/>
  <c r="AG193" i="19"/>
  <c r="AF193" i="19"/>
  <c r="AE193" i="19"/>
  <c r="AD193" i="19"/>
  <c r="AC193" i="19"/>
  <c r="AB193" i="19"/>
  <c r="AA193" i="19"/>
  <c r="X193" i="19"/>
  <c r="AM192" i="19"/>
  <c r="AL192" i="19"/>
  <c r="AK192" i="19"/>
  <c r="AJ192" i="19"/>
  <c r="AI192" i="19"/>
  <c r="AG192" i="19"/>
  <c r="AF192" i="19"/>
  <c r="AE192" i="19"/>
  <c r="AD192" i="19"/>
  <c r="AC192" i="19"/>
  <c r="AB192" i="19"/>
  <c r="AA192" i="19"/>
  <c r="X192" i="19"/>
  <c r="AM191" i="19"/>
  <c r="AL191" i="19"/>
  <c r="AK191" i="19"/>
  <c r="AJ191" i="19"/>
  <c r="AI191" i="19"/>
  <c r="AG191" i="19"/>
  <c r="AF191" i="19"/>
  <c r="AE191" i="19"/>
  <c r="AD191" i="19"/>
  <c r="AC191" i="19"/>
  <c r="AB191" i="19"/>
  <c r="AA191" i="19"/>
  <c r="X191" i="19"/>
  <c r="AM190" i="19"/>
  <c r="AL190" i="19"/>
  <c r="AK190" i="19"/>
  <c r="AJ190" i="19"/>
  <c r="AI190" i="19"/>
  <c r="AG190" i="19"/>
  <c r="AF190" i="19"/>
  <c r="AE190" i="19"/>
  <c r="AD190" i="19"/>
  <c r="AC190" i="19"/>
  <c r="AB190" i="19"/>
  <c r="AA190" i="19"/>
  <c r="X190" i="19"/>
  <c r="AM189" i="19"/>
  <c r="AL189" i="19"/>
  <c r="AK189" i="19"/>
  <c r="AJ189" i="19"/>
  <c r="AI189" i="19"/>
  <c r="AG189" i="19"/>
  <c r="AF189" i="19"/>
  <c r="AE189" i="19"/>
  <c r="AD189" i="19"/>
  <c r="AC189" i="19"/>
  <c r="AB189" i="19"/>
  <c r="AA189" i="19"/>
  <c r="X189" i="19"/>
  <c r="AM188" i="19"/>
  <c r="AL188" i="19"/>
  <c r="AK188" i="19"/>
  <c r="AJ188" i="19"/>
  <c r="AI188" i="19"/>
  <c r="AG188" i="19"/>
  <c r="AF188" i="19"/>
  <c r="AE188" i="19"/>
  <c r="AD188" i="19"/>
  <c r="AC188" i="19"/>
  <c r="AB188" i="19"/>
  <c r="AA188" i="19"/>
  <c r="X188" i="19"/>
  <c r="AM187" i="19"/>
  <c r="AL187" i="19"/>
  <c r="AK187" i="19"/>
  <c r="AJ187" i="19"/>
  <c r="AI187" i="19"/>
  <c r="AG187" i="19"/>
  <c r="AF187" i="19"/>
  <c r="AE187" i="19"/>
  <c r="AD187" i="19"/>
  <c r="AC187" i="19"/>
  <c r="AB187" i="19"/>
  <c r="AA187" i="19"/>
  <c r="X187" i="19"/>
  <c r="AM186" i="19"/>
  <c r="AL186" i="19"/>
  <c r="AK186" i="19"/>
  <c r="AJ186" i="19"/>
  <c r="AI186" i="19"/>
  <c r="AG186" i="19"/>
  <c r="AF186" i="19"/>
  <c r="AE186" i="19"/>
  <c r="AD186" i="19"/>
  <c r="AC186" i="19"/>
  <c r="AB186" i="19"/>
  <c r="AA186" i="19"/>
  <c r="X186" i="19"/>
  <c r="AM185" i="19"/>
  <c r="AL185" i="19"/>
  <c r="AK185" i="19"/>
  <c r="AJ185" i="19"/>
  <c r="AI185" i="19"/>
  <c r="AG185" i="19"/>
  <c r="AF185" i="19"/>
  <c r="AE185" i="19"/>
  <c r="AD185" i="19"/>
  <c r="AC185" i="19"/>
  <c r="AB185" i="19"/>
  <c r="AA185" i="19"/>
  <c r="X185" i="19"/>
  <c r="AM184" i="19"/>
  <c r="AL184" i="19"/>
  <c r="AK184" i="19"/>
  <c r="AJ184" i="19"/>
  <c r="AI184" i="19"/>
  <c r="AG184" i="19"/>
  <c r="AF184" i="19"/>
  <c r="AE184" i="19"/>
  <c r="AD184" i="19"/>
  <c r="AC184" i="19"/>
  <c r="AB184" i="19"/>
  <c r="AA184" i="19"/>
  <c r="X184" i="19"/>
  <c r="AM183" i="19"/>
  <c r="AL183" i="19"/>
  <c r="AK183" i="19"/>
  <c r="AJ183" i="19"/>
  <c r="AI183" i="19"/>
  <c r="AG183" i="19"/>
  <c r="AF183" i="19"/>
  <c r="AE183" i="19"/>
  <c r="AD183" i="19"/>
  <c r="AC183" i="19"/>
  <c r="AB183" i="19"/>
  <c r="AA183" i="19"/>
  <c r="X183" i="19"/>
  <c r="AM182" i="19"/>
  <c r="AL182" i="19"/>
  <c r="AK182" i="19"/>
  <c r="AJ182" i="19"/>
  <c r="AI182" i="19"/>
  <c r="AG182" i="19"/>
  <c r="AF182" i="19"/>
  <c r="AE182" i="19"/>
  <c r="AD182" i="19"/>
  <c r="AC182" i="19"/>
  <c r="AB182" i="19"/>
  <c r="AA182" i="19"/>
  <c r="X182" i="19"/>
  <c r="AM181" i="19"/>
  <c r="AL181" i="19"/>
  <c r="AK181" i="19"/>
  <c r="AJ181" i="19"/>
  <c r="AI181" i="19"/>
  <c r="AG181" i="19"/>
  <c r="AF181" i="19"/>
  <c r="AE181" i="19"/>
  <c r="AD181" i="19"/>
  <c r="AC181" i="19"/>
  <c r="AB181" i="19"/>
  <c r="AA181" i="19"/>
  <c r="X181" i="19"/>
  <c r="AM180" i="19"/>
  <c r="AL180" i="19"/>
  <c r="AK180" i="19"/>
  <c r="AJ180" i="19"/>
  <c r="AI180" i="19"/>
  <c r="AG180" i="19"/>
  <c r="AF180" i="19"/>
  <c r="AE180" i="19"/>
  <c r="AD180" i="19"/>
  <c r="AC180" i="19"/>
  <c r="AB180" i="19"/>
  <c r="AA180" i="19"/>
  <c r="X180" i="19"/>
  <c r="AM179" i="19"/>
  <c r="AL179" i="19"/>
  <c r="AK179" i="19"/>
  <c r="AJ179" i="19"/>
  <c r="AI179" i="19"/>
  <c r="AG179" i="19"/>
  <c r="AF179" i="19"/>
  <c r="AE179" i="19"/>
  <c r="AD179" i="19"/>
  <c r="AC179" i="19"/>
  <c r="AB179" i="19"/>
  <c r="AA179" i="19"/>
  <c r="X179" i="19"/>
  <c r="AM217" i="19"/>
  <c r="AL217" i="19"/>
  <c r="AK217" i="19"/>
  <c r="AJ217" i="19"/>
  <c r="AI217" i="19"/>
  <c r="AG217" i="19"/>
  <c r="AF217" i="19"/>
  <c r="AE217" i="19"/>
  <c r="AD217" i="19"/>
  <c r="AC217" i="19"/>
  <c r="AB217" i="19"/>
  <c r="AA217" i="19"/>
  <c r="X217" i="19"/>
  <c r="AM177" i="19"/>
  <c r="AL177" i="19"/>
  <c r="AK177" i="19"/>
  <c r="AJ177" i="19"/>
  <c r="AI177" i="19"/>
  <c r="AG177" i="19"/>
  <c r="AF177" i="19"/>
  <c r="AE177" i="19"/>
  <c r="AD177" i="19"/>
  <c r="AC177" i="19"/>
  <c r="AB177" i="19"/>
  <c r="AA177" i="19"/>
  <c r="X177" i="19"/>
  <c r="AM176" i="19"/>
  <c r="AL176" i="19"/>
  <c r="AK176" i="19"/>
  <c r="AJ176" i="19"/>
  <c r="AI176" i="19"/>
  <c r="AG176" i="19"/>
  <c r="AF176" i="19"/>
  <c r="AE176" i="19"/>
  <c r="AD176" i="19"/>
  <c r="AC176" i="19"/>
  <c r="AB176" i="19"/>
  <c r="AA176" i="19"/>
  <c r="X176" i="19"/>
  <c r="AM175" i="19"/>
  <c r="AL175" i="19"/>
  <c r="AK175" i="19"/>
  <c r="AJ175" i="19"/>
  <c r="AI175" i="19"/>
  <c r="AG175" i="19"/>
  <c r="AF175" i="19"/>
  <c r="AE175" i="19"/>
  <c r="AD175" i="19"/>
  <c r="AC175" i="19"/>
  <c r="AB175" i="19"/>
  <c r="AA175" i="19"/>
  <c r="X175" i="19"/>
  <c r="AM174" i="19"/>
  <c r="AL174" i="19"/>
  <c r="AK174" i="19"/>
  <c r="AJ174" i="19"/>
  <c r="AI174" i="19"/>
  <c r="AG174" i="19"/>
  <c r="AF174" i="19"/>
  <c r="AE174" i="19"/>
  <c r="AD174" i="19"/>
  <c r="AC174" i="19"/>
  <c r="AB174" i="19"/>
  <c r="AA174" i="19"/>
  <c r="X174" i="19"/>
  <c r="AM131" i="19"/>
  <c r="AL131" i="19"/>
  <c r="AK131" i="19"/>
  <c r="AJ131" i="19"/>
  <c r="AI131" i="19"/>
  <c r="AG131" i="19"/>
  <c r="AF131" i="19"/>
  <c r="AE131" i="19"/>
  <c r="AD131" i="19"/>
  <c r="AC131" i="19"/>
  <c r="AB131" i="19"/>
  <c r="AA131" i="19"/>
  <c r="X131" i="19"/>
  <c r="AM172" i="19"/>
  <c r="AL172" i="19"/>
  <c r="AK172" i="19"/>
  <c r="AJ172" i="19"/>
  <c r="AI172" i="19"/>
  <c r="AG172" i="19"/>
  <c r="AF172" i="19"/>
  <c r="AE172" i="19"/>
  <c r="AD172" i="19"/>
  <c r="AC172" i="19"/>
  <c r="AB172" i="19"/>
  <c r="AA172" i="19"/>
  <c r="X172" i="19"/>
  <c r="AM171" i="19"/>
  <c r="AL171" i="19"/>
  <c r="AK171" i="19"/>
  <c r="AJ171" i="19"/>
  <c r="AI171" i="19"/>
  <c r="AG171" i="19"/>
  <c r="AF171" i="19"/>
  <c r="AE171" i="19"/>
  <c r="AD171" i="19"/>
  <c r="AC171" i="19"/>
  <c r="AB171" i="19"/>
  <c r="AA171" i="19"/>
  <c r="X171" i="19"/>
  <c r="AM213" i="19"/>
  <c r="AL213" i="19"/>
  <c r="AK213" i="19"/>
  <c r="AJ213" i="19"/>
  <c r="AI213" i="19"/>
  <c r="AG213" i="19"/>
  <c r="AF213" i="19"/>
  <c r="AE213" i="19"/>
  <c r="AD213" i="19"/>
  <c r="AC213" i="19"/>
  <c r="AB213" i="19"/>
  <c r="AA213" i="19"/>
  <c r="X213" i="19"/>
  <c r="AM169" i="19"/>
  <c r="AL169" i="19"/>
  <c r="AK169" i="19"/>
  <c r="AJ169" i="19"/>
  <c r="AI169" i="19"/>
  <c r="AG169" i="19"/>
  <c r="AF169" i="19"/>
  <c r="AE169" i="19"/>
  <c r="AD169" i="19"/>
  <c r="AC169" i="19"/>
  <c r="AB169" i="19"/>
  <c r="AA169" i="19"/>
  <c r="X169" i="19"/>
  <c r="AM168" i="19"/>
  <c r="AL168" i="19"/>
  <c r="AK168" i="19"/>
  <c r="AJ168" i="19"/>
  <c r="AI168" i="19"/>
  <c r="AG168" i="19"/>
  <c r="AF168" i="19"/>
  <c r="AE168" i="19"/>
  <c r="AD168" i="19"/>
  <c r="AC168" i="19"/>
  <c r="AB168" i="19"/>
  <c r="AA168" i="19"/>
  <c r="X168" i="19"/>
  <c r="AM167" i="19"/>
  <c r="AL167" i="19"/>
  <c r="AK167" i="19"/>
  <c r="AJ167" i="19"/>
  <c r="AI167" i="19"/>
  <c r="AG167" i="19"/>
  <c r="AF167" i="19"/>
  <c r="AE167" i="19"/>
  <c r="AD167" i="19"/>
  <c r="AC167" i="19"/>
  <c r="AB167" i="19"/>
  <c r="AA167" i="19"/>
  <c r="X167" i="19"/>
  <c r="AM166" i="19"/>
  <c r="AL166" i="19"/>
  <c r="AK166" i="19"/>
  <c r="AJ166" i="19"/>
  <c r="AI166" i="19"/>
  <c r="AG166" i="19"/>
  <c r="AF166" i="19"/>
  <c r="AE166" i="19"/>
  <c r="AD166" i="19"/>
  <c r="AC166" i="19"/>
  <c r="AB166" i="19"/>
  <c r="AA166" i="19"/>
  <c r="X166" i="19"/>
  <c r="AM165" i="19"/>
  <c r="AL165" i="19"/>
  <c r="AK165" i="19"/>
  <c r="AJ165" i="19"/>
  <c r="AI165" i="19"/>
  <c r="AG165" i="19"/>
  <c r="AF165" i="19"/>
  <c r="AE165" i="19"/>
  <c r="AD165" i="19"/>
  <c r="AC165" i="19"/>
  <c r="AB165" i="19"/>
  <c r="AA165" i="19"/>
  <c r="X165" i="19"/>
  <c r="AM164" i="19"/>
  <c r="AL164" i="19"/>
  <c r="AK164" i="19"/>
  <c r="AJ164" i="19"/>
  <c r="AI164" i="19"/>
  <c r="AG164" i="19"/>
  <c r="AF164" i="19"/>
  <c r="AE164" i="19"/>
  <c r="AD164" i="19"/>
  <c r="AC164" i="19"/>
  <c r="AB164" i="19"/>
  <c r="AA164" i="19"/>
  <c r="X164" i="19"/>
  <c r="AM163" i="19"/>
  <c r="AL163" i="19"/>
  <c r="AK163" i="19"/>
  <c r="AJ163" i="19"/>
  <c r="AI163" i="19"/>
  <c r="AG163" i="19"/>
  <c r="AF163" i="19"/>
  <c r="AE163" i="19"/>
  <c r="AD163" i="19"/>
  <c r="AC163" i="19"/>
  <c r="AB163" i="19"/>
  <c r="AA163" i="19"/>
  <c r="X163" i="19"/>
  <c r="AM162" i="19"/>
  <c r="AL162" i="19"/>
  <c r="AK162" i="19"/>
  <c r="AJ162" i="19"/>
  <c r="AI162" i="19"/>
  <c r="AG162" i="19"/>
  <c r="AF162" i="19"/>
  <c r="AE162" i="19"/>
  <c r="AD162" i="19"/>
  <c r="AC162" i="19"/>
  <c r="AB162" i="19"/>
  <c r="AA162" i="19"/>
  <c r="X162" i="19"/>
  <c r="AM161" i="19"/>
  <c r="AL161" i="19"/>
  <c r="AK161" i="19"/>
  <c r="AJ161" i="19"/>
  <c r="AI161" i="19"/>
  <c r="AG161" i="19"/>
  <c r="AF161" i="19"/>
  <c r="AE161" i="19"/>
  <c r="AD161" i="19"/>
  <c r="AC161" i="19"/>
  <c r="AB161" i="19"/>
  <c r="AA161" i="19"/>
  <c r="X161" i="19"/>
  <c r="AM160" i="19"/>
  <c r="AL160" i="19"/>
  <c r="AK160" i="19"/>
  <c r="AJ160" i="19"/>
  <c r="AI160" i="19"/>
  <c r="AG160" i="19"/>
  <c r="AF160" i="19"/>
  <c r="AE160" i="19"/>
  <c r="AD160" i="19"/>
  <c r="AC160" i="19"/>
  <c r="AB160" i="19"/>
  <c r="AA160" i="19"/>
  <c r="X160" i="19"/>
  <c r="AM159" i="19"/>
  <c r="AL159" i="19"/>
  <c r="AK159" i="19"/>
  <c r="AJ159" i="19"/>
  <c r="AI159" i="19"/>
  <c r="AG159" i="19"/>
  <c r="AF159" i="19"/>
  <c r="AE159" i="19"/>
  <c r="AD159" i="19"/>
  <c r="AC159" i="19"/>
  <c r="AB159" i="19"/>
  <c r="AA159" i="19"/>
  <c r="X159" i="19"/>
  <c r="AM158" i="19"/>
  <c r="AL158" i="19"/>
  <c r="AK158" i="19"/>
  <c r="AJ158" i="19"/>
  <c r="AI158" i="19"/>
  <c r="AG158" i="19"/>
  <c r="AF158" i="19"/>
  <c r="AE158" i="19"/>
  <c r="AD158" i="19"/>
  <c r="AC158" i="19"/>
  <c r="AB158" i="19"/>
  <c r="AA158" i="19"/>
  <c r="X158" i="19"/>
  <c r="AM157" i="19"/>
  <c r="AL157" i="19"/>
  <c r="AK157" i="19"/>
  <c r="AJ157" i="19"/>
  <c r="AI157" i="19"/>
  <c r="AG157" i="19"/>
  <c r="AF157" i="19"/>
  <c r="AE157" i="19"/>
  <c r="AD157" i="19"/>
  <c r="AC157" i="19"/>
  <c r="AB157" i="19"/>
  <c r="AA157" i="19"/>
  <c r="X157" i="19"/>
  <c r="AM156" i="19"/>
  <c r="AL156" i="19"/>
  <c r="AK156" i="19"/>
  <c r="AJ156" i="19"/>
  <c r="AI156" i="19"/>
  <c r="AG156" i="19"/>
  <c r="AF156" i="19"/>
  <c r="AE156" i="19"/>
  <c r="AD156" i="19"/>
  <c r="AC156" i="19"/>
  <c r="AB156" i="19"/>
  <c r="AA156" i="19"/>
  <c r="X156" i="19"/>
  <c r="AM155" i="19"/>
  <c r="AL155" i="19"/>
  <c r="AK155" i="19"/>
  <c r="AJ155" i="19"/>
  <c r="AI155" i="19"/>
  <c r="AG155" i="19"/>
  <c r="AF155" i="19"/>
  <c r="AE155" i="19"/>
  <c r="AD155" i="19"/>
  <c r="AC155" i="19"/>
  <c r="AB155" i="19"/>
  <c r="AA155" i="19"/>
  <c r="X155" i="19"/>
  <c r="AM154" i="19"/>
  <c r="AL154" i="19"/>
  <c r="AK154" i="19"/>
  <c r="AJ154" i="19"/>
  <c r="AI154" i="19"/>
  <c r="AG154" i="19"/>
  <c r="AF154" i="19"/>
  <c r="AE154" i="19"/>
  <c r="AD154" i="19"/>
  <c r="AC154" i="19"/>
  <c r="AB154" i="19"/>
  <c r="AA154" i="19"/>
  <c r="X154" i="19"/>
  <c r="AM153" i="19"/>
  <c r="AL153" i="19"/>
  <c r="AK153" i="19"/>
  <c r="AJ153" i="19"/>
  <c r="AI153" i="19"/>
  <c r="AG153" i="19"/>
  <c r="AF153" i="19"/>
  <c r="AE153" i="19"/>
  <c r="AD153" i="19"/>
  <c r="AC153" i="19"/>
  <c r="AB153" i="19"/>
  <c r="AA153" i="19"/>
  <c r="X153" i="19"/>
  <c r="AM152" i="19"/>
  <c r="AL152" i="19"/>
  <c r="AK152" i="19"/>
  <c r="AJ152" i="19"/>
  <c r="AI152" i="19"/>
  <c r="AG152" i="19"/>
  <c r="AF152" i="19"/>
  <c r="AE152" i="19"/>
  <c r="AD152" i="19"/>
  <c r="AC152" i="19"/>
  <c r="AB152" i="19"/>
  <c r="AA152" i="19"/>
  <c r="X152" i="19"/>
  <c r="AM151" i="19"/>
  <c r="AL151" i="19"/>
  <c r="AK151" i="19"/>
  <c r="AJ151" i="19"/>
  <c r="AI151" i="19"/>
  <c r="AG151" i="19"/>
  <c r="AF151" i="19"/>
  <c r="AE151" i="19"/>
  <c r="AD151" i="19"/>
  <c r="AC151" i="19"/>
  <c r="AB151" i="19"/>
  <c r="AA151" i="19"/>
  <c r="X151" i="19"/>
  <c r="AM150" i="19"/>
  <c r="AL150" i="19"/>
  <c r="AK150" i="19"/>
  <c r="AJ150" i="19"/>
  <c r="AI150" i="19"/>
  <c r="AG150" i="19"/>
  <c r="AF150" i="19"/>
  <c r="AE150" i="19"/>
  <c r="AD150" i="19"/>
  <c r="AC150" i="19"/>
  <c r="AB150" i="19"/>
  <c r="AA150" i="19"/>
  <c r="X150" i="19"/>
  <c r="AM149" i="19"/>
  <c r="AL149" i="19"/>
  <c r="AK149" i="19"/>
  <c r="AJ149" i="19"/>
  <c r="AI149" i="19"/>
  <c r="AG149" i="19"/>
  <c r="AF149" i="19"/>
  <c r="AE149" i="19"/>
  <c r="AD149" i="19"/>
  <c r="AC149" i="19"/>
  <c r="AB149" i="19"/>
  <c r="AA149" i="19"/>
  <c r="X149" i="19"/>
  <c r="AM148" i="19"/>
  <c r="AL148" i="19"/>
  <c r="AK148" i="19"/>
  <c r="AJ148" i="19"/>
  <c r="AI148" i="19"/>
  <c r="AG148" i="19"/>
  <c r="AF148" i="19"/>
  <c r="AE148" i="19"/>
  <c r="AD148" i="19"/>
  <c r="AC148" i="19"/>
  <c r="AB148" i="19"/>
  <c r="AA148" i="19"/>
  <c r="X148" i="19"/>
  <c r="AM147" i="19"/>
  <c r="AL147" i="19"/>
  <c r="AK147" i="19"/>
  <c r="AJ147" i="19"/>
  <c r="AI147" i="19"/>
  <c r="AG147" i="19"/>
  <c r="AF147" i="19"/>
  <c r="AE147" i="19"/>
  <c r="AD147" i="19"/>
  <c r="AC147" i="19"/>
  <c r="AB147" i="19"/>
  <c r="AA147" i="19"/>
  <c r="X147" i="19"/>
  <c r="AM146" i="19"/>
  <c r="AL146" i="19"/>
  <c r="AK146" i="19"/>
  <c r="AJ146" i="19"/>
  <c r="AI146" i="19"/>
  <c r="AG146" i="19"/>
  <c r="AF146" i="19"/>
  <c r="AE146" i="19"/>
  <c r="AD146" i="19"/>
  <c r="AC146" i="19"/>
  <c r="AB146" i="19"/>
  <c r="AA146" i="19"/>
  <c r="X146" i="19"/>
  <c r="AM145" i="19"/>
  <c r="AL145" i="19"/>
  <c r="AK145" i="19"/>
  <c r="AJ145" i="19"/>
  <c r="AI145" i="19"/>
  <c r="AG145" i="19"/>
  <c r="AF145" i="19"/>
  <c r="AE145" i="19"/>
  <c r="AD145" i="19"/>
  <c r="AC145" i="19"/>
  <c r="AB145" i="19"/>
  <c r="AA145" i="19"/>
  <c r="X145" i="19"/>
  <c r="AM144" i="19"/>
  <c r="AL144" i="19"/>
  <c r="AK144" i="19"/>
  <c r="AJ144" i="19"/>
  <c r="AI144" i="19"/>
  <c r="AG144" i="19"/>
  <c r="AF144" i="19"/>
  <c r="AE144" i="19"/>
  <c r="AD144" i="19"/>
  <c r="AC144" i="19"/>
  <c r="AB144" i="19"/>
  <c r="AA144" i="19"/>
  <c r="X144" i="19"/>
  <c r="AM143" i="19"/>
  <c r="AL143" i="19"/>
  <c r="AK143" i="19"/>
  <c r="AJ143" i="19"/>
  <c r="AI143" i="19"/>
  <c r="AG143" i="19"/>
  <c r="AF143" i="19"/>
  <c r="AE143" i="19"/>
  <c r="AD143" i="19"/>
  <c r="AC143" i="19"/>
  <c r="AB143" i="19"/>
  <c r="AA143" i="19"/>
  <c r="X143" i="19"/>
  <c r="AM142" i="19"/>
  <c r="AL142" i="19"/>
  <c r="AK142" i="19"/>
  <c r="AJ142" i="19"/>
  <c r="AI142" i="19"/>
  <c r="AG142" i="19"/>
  <c r="AF142" i="19"/>
  <c r="AE142" i="19"/>
  <c r="AD142" i="19"/>
  <c r="AC142" i="19"/>
  <c r="AB142" i="19"/>
  <c r="AA142" i="19"/>
  <c r="X142" i="19"/>
  <c r="AM141" i="19"/>
  <c r="AL141" i="19"/>
  <c r="AK141" i="19"/>
  <c r="AJ141" i="19"/>
  <c r="AI141" i="19"/>
  <c r="AG141" i="19"/>
  <c r="AF141" i="19"/>
  <c r="AE141" i="19"/>
  <c r="AD141" i="19"/>
  <c r="AC141" i="19"/>
  <c r="AB141" i="19"/>
  <c r="AA141" i="19"/>
  <c r="X141" i="19"/>
  <c r="AM140" i="19"/>
  <c r="AL140" i="19"/>
  <c r="AK140" i="19"/>
  <c r="AJ140" i="19"/>
  <c r="AI140" i="19"/>
  <c r="AG140" i="19"/>
  <c r="AF140" i="19"/>
  <c r="AE140" i="19"/>
  <c r="AD140" i="19"/>
  <c r="AC140" i="19"/>
  <c r="AB140" i="19"/>
  <c r="AA140" i="19"/>
  <c r="X140" i="19"/>
  <c r="AM104" i="19"/>
  <c r="AL104" i="19"/>
  <c r="AK104" i="19"/>
  <c r="AJ104" i="19"/>
  <c r="AI104" i="19"/>
  <c r="AG104" i="19"/>
  <c r="AF104" i="19"/>
  <c r="AE104" i="19"/>
  <c r="AD104" i="19"/>
  <c r="AC104" i="19"/>
  <c r="AB104" i="19"/>
  <c r="AA104" i="19"/>
  <c r="X104" i="19"/>
  <c r="AM138" i="19"/>
  <c r="AL138" i="19"/>
  <c r="AK138" i="19"/>
  <c r="AJ138" i="19"/>
  <c r="AI138" i="19"/>
  <c r="AG138" i="19"/>
  <c r="AF138" i="19"/>
  <c r="AE138" i="19"/>
  <c r="AD138" i="19"/>
  <c r="AC138" i="19"/>
  <c r="AB138" i="19"/>
  <c r="AA138" i="19"/>
  <c r="X138" i="19"/>
  <c r="AM137" i="19"/>
  <c r="AL137" i="19"/>
  <c r="AK137" i="19"/>
  <c r="AJ137" i="19"/>
  <c r="AI137" i="19"/>
  <c r="AG137" i="19"/>
  <c r="AF137" i="19"/>
  <c r="AE137" i="19"/>
  <c r="AD137" i="19"/>
  <c r="AC137" i="19"/>
  <c r="AB137" i="19"/>
  <c r="AA137" i="19"/>
  <c r="X137" i="19"/>
  <c r="AM136" i="19"/>
  <c r="AL136" i="19"/>
  <c r="AK136" i="19"/>
  <c r="AJ136" i="19"/>
  <c r="AI136" i="19"/>
  <c r="AG136" i="19"/>
  <c r="AF136" i="19"/>
  <c r="AE136" i="19"/>
  <c r="AD136" i="19"/>
  <c r="AC136" i="19"/>
  <c r="AB136" i="19"/>
  <c r="AA136" i="19"/>
  <c r="X136" i="19"/>
  <c r="AM135" i="19"/>
  <c r="AL135" i="19"/>
  <c r="AK135" i="19"/>
  <c r="AJ135" i="19"/>
  <c r="AI135" i="19"/>
  <c r="AG135" i="19"/>
  <c r="AF135" i="19"/>
  <c r="AE135" i="19"/>
  <c r="AD135" i="19"/>
  <c r="AC135" i="19"/>
  <c r="AB135" i="19"/>
  <c r="AA135" i="19"/>
  <c r="X135" i="19"/>
  <c r="AM134" i="19"/>
  <c r="AL134" i="19"/>
  <c r="AK134" i="19"/>
  <c r="AJ134" i="19"/>
  <c r="AI134" i="19"/>
  <c r="AG134" i="19"/>
  <c r="AF134" i="19"/>
  <c r="AE134" i="19"/>
  <c r="AD134" i="19"/>
  <c r="AC134" i="19"/>
  <c r="AB134" i="19"/>
  <c r="AA134" i="19"/>
  <c r="X134" i="19"/>
  <c r="AM133" i="19"/>
  <c r="AL133" i="19"/>
  <c r="AK133" i="19"/>
  <c r="AJ133" i="19"/>
  <c r="AI133" i="19"/>
  <c r="AG133" i="19"/>
  <c r="AF133" i="19"/>
  <c r="AE133" i="19"/>
  <c r="AD133" i="19"/>
  <c r="AC133" i="19"/>
  <c r="AB133" i="19"/>
  <c r="AA133" i="19"/>
  <c r="X133" i="19"/>
  <c r="AM132" i="19"/>
  <c r="AL132" i="19"/>
  <c r="AK132" i="19"/>
  <c r="AJ132" i="19"/>
  <c r="AI132" i="19"/>
  <c r="AG132" i="19"/>
  <c r="AF132" i="19"/>
  <c r="AE132" i="19"/>
  <c r="AD132" i="19"/>
  <c r="AC132" i="19"/>
  <c r="AB132" i="19"/>
  <c r="AA132" i="19"/>
  <c r="X132" i="19"/>
  <c r="AM102" i="19"/>
  <c r="AL102" i="19"/>
  <c r="AK102" i="19"/>
  <c r="AJ102" i="19"/>
  <c r="AI102" i="19"/>
  <c r="AG102" i="19"/>
  <c r="AF102" i="19"/>
  <c r="AE102" i="19"/>
  <c r="AD102" i="19"/>
  <c r="AC102" i="19"/>
  <c r="AB102" i="19"/>
  <c r="AA102" i="19"/>
  <c r="X102" i="19"/>
  <c r="AM130" i="19"/>
  <c r="AL130" i="19"/>
  <c r="AK130" i="19"/>
  <c r="AJ130" i="19"/>
  <c r="AI130" i="19"/>
  <c r="AG130" i="19"/>
  <c r="AF130" i="19"/>
  <c r="AE130" i="19"/>
  <c r="AD130" i="19"/>
  <c r="AC130" i="19"/>
  <c r="AB130" i="19"/>
  <c r="AA130" i="19"/>
  <c r="X130" i="19"/>
  <c r="AM129" i="19"/>
  <c r="AL129" i="19"/>
  <c r="AK129" i="19"/>
  <c r="AJ129" i="19"/>
  <c r="AI129" i="19"/>
  <c r="AG129" i="19"/>
  <c r="AF129" i="19"/>
  <c r="AE129" i="19"/>
  <c r="AD129" i="19"/>
  <c r="AC129" i="19"/>
  <c r="AB129" i="19"/>
  <c r="AA129" i="19"/>
  <c r="X129" i="19"/>
  <c r="AM128" i="19"/>
  <c r="AL128" i="19"/>
  <c r="AK128" i="19"/>
  <c r="AJ128" i="19"/>
  <c r="AI128" i="19"/>
  <c r="AG128" i="19"/>
  <c r="AF128" i="19"/>
  <c r="AE128" i="19"/>
  <c r="AD128" i="19"/>
  <c r="AC128" i="19"/>
  <c r="AB128" i="19"/>
  <c r="AA128" i="19"/>
  <c r="X128" i="19"/>
  <c r="AM127" i="19"/>
  <c r="AL127" i="19"/>
  <c r="AK127" i="19"/>
  <c r="AJ127" i="19"/>
  <c r="AI127" i="19"/>
  <c r="AG127" i="19"/>
  <c r="AF127" i="19"/>
  <c r="AE127" i="19"/>
  <c r="AD127" i="19"/>
  <c r="AC127" i="19"/>
  <c r="AB127" i="19"/>
  <c r="AA127" i="19"/>
  <c r="AM126" i="19"/>
  <c r="AL126" i="19"/>
  <c r="AK126" i="19"/>
  <c r="AJ126" i="19"/>
  <c r="AI126" i="19"/>
  <c r="AG126" i="19"/>
  <c r="AF126" i="19"/>
  <c r="AE126" i="19"/>
  <c r="AD126" i="19"/>
  <c r="AC126" i="19"/>
  <c r="AB126" i="19"/>
  <c r="AA126" i="19"/>
  <c r="X126" i="19"/>
  <c r="AM125" i="19"/>
  <c r="AL125" i="19"/>
  <c r="AK125" i="19"/>
  <c r="AJ125" i="19"/>
  <c r="AI125" i="19"/>
  <c r="AG125" i="19"/>
  <c r="AF125" i="19"/>
  <c r="AE125" i="19"/>
  <c r="AD125" i="19"/>
  <c r="AC125" i="19"/>
  <c r="AB125" i="19"/>
  <c r="AA125" i="19"/>
  <c r="X125" i="19"/>
  <c r="AM124" i="19"/>
  <c r="AL124" i="19"/>
  <c r="AK124" i="19"/>
  <c r="AJ124" i="19"/>
  <c r="AI124" i="19"/>
  <c r="AG124" i="19"/>
  <c r="AF124" i="19"/>
  <c r="AE124" i="19"/>
  <c r="AD124" i="19"/>
  <c r="AC124" i="19"/>
  <c r="AB124" i="19"/>
  <c r="AA124" i="19"/>
  <c r="X124" i="19"/>
  <c r="AM123" i="19"/>
  <c r="AL123" i="19"/>
  <c r="AK123" i="19"/>
  <c r="AJ123" i="19"/>
  <c r="AI123" i="19"/>
  <c r="AG123" i="19"/>
  <c r="AF123" i="19"/>
  <c r="AE123" i="19"/>
  <c r="AD123" i="19"/>
  <c r="AC123" i="19"/>
  <c r="AB123" i="19"/>
  <c r="AA123" i="19"/>
  <c r="X123" i="19"/>
  <c r="AM122" i="19"/>
  <c r="AL122" i="19"/>
  <c r="AK122" i="19"/>
  <c r="AJ122" i="19"/>
  <c r="AI122" i="19"/>
  <c r="AG122" i="19"/>
  <c r="AF122" i="19"/>
  <c r="AE122" i="19"/>
  <c r="AD122" i="19"/>
  <c r="AC122" i="19"/>
  <c r="AB122" i="19"/>
  <c r="AA122" i="19"/>
  <c r="X122" i="19"/>
  <c r="AM121" i="19"/>
  <c r="AL121" i="19"/>
  <c r="AK121" i="19"/>
  <c r="AJ121" i="19"/>
  <c r="AI121" i="19"/>
  <c r="AG121" i="19"/>
  <c r="AF121" i="19"/>
  <c r="AE121" i="19"/>
  <c r="AD121" i="19"/>
  <c r="AC121" i="19"/>
  <c r="AB121" i="19"/>
  <c r="AA121" i="19"/>
  <c r="AM120" i="19"/>
  <c r="AL120" i="19"/>
  <c r="AK120" i="19"/>
  <c r="AJ120" i="19"/>
  <c r="AI120" i="19"/>
  <c r="AG120" i="19"/>
  <c r="AF120" i="19"/>
  <c r="AE120" i="19"/>
  <c r="AD120" i="19"/>
  <c r="AC120" i="19"/>
  <c r="AB120" i="19"/>
  <c r="AA120" i="19"/>
  <c r="X120" i="19"/>
  <c r="AM119" i="19"/>
  <c r="AL119" i="19"/>
  <c r="AK119" i="19"/>
  <c r="AJ119" i="19"/>
  <c r="AI119" i="19"/>
  <c r="AG119" i="19"/>
  <c r="AF119" i="19"/>
  <c r="AE119" i="19"/>
  <c r="AD119" i="19"/>
  <c r="AC119" i="19"/>
  <c r="AB119" i="19"/>
  <c r="AA119" i="19"/>
  <c r="X119" i="19"/>
  <c r="AM118" i="19"/>
  <c r="AL118" i="19"/>
  <c r="AK118" i="19"/>
  <c r="AJ118" i="19"/>
  <c r="AI118" i="19"/>
  <c r="AG118" i="19"/>
  <c r="AF118" i="19"/>
  <c r="AE118" i="19"/>
  <c r="AD118" i="19"/>
  <c r="AC118" i="19"/>
  <c r="AB118" i="19"/>
  <c r="AA118" i="19"/>
  <c r="X118" i="19"/>
  <c r="AM117" i="19"/>
  <c r="AL117" i="19"/>
  <c r="AK117" i="19"/>
  <c r="AJ117" i="19"/>
  <c r="AI117" i="19"/>
  <c r="AG117" i="19"/>
  <c r="AF117" i="19"/>
  <c r="AE117" i="19"/>
  <c r="AD117" i="19"/>
  <c r="AC117" i="19"/>
  <c r="AB117" i="19"/>
  <c r="AA117" i="19"/>
  <c r="X117" i="19"/>
  <c r="AM116" i="19"/>
  <c r="AL116" i="19"/>
  <c r="AK116" i="19"/>
  <c r="AJ116" i="19"/>
  <c r="AI116" i="19"/>
  <c r="AG116" i="19"/>
  <c r="AF116" i="19"/>
  <c r="AE116" i="19"/>
  <c r="AD116" i="19"/>
  <c r="AC116" i="19"/>
  <c r="AB116" i="19"/>
  <c r="AA116" i="19"/>
  <c r="X116" i="19"/>
  <c r="AM115" i="19"/>
  <c r="AL115" i="19"/>
  <c r="AK115" i="19"/>
  <c r="AJ115" i="19"/>
  <c r="AI115" i="19"/>
  <c r="AG115" i="19"/>
  <c r="AF115" i="19"/>
  <c r="AE115" i="19"/>
  <c r="AD115" i="19"/>
  <c r="AC115" i="19"/>
  <c r="AB115" i="19"/>
  <c r="AA115" i="19"/>
  <c r="X115" i="19"/>
  <c r="AM114" i="19"/>
  <c r="AL114" i="19"/>
  <c r="AK114" i="19"/>
  <c r="AJ114" i="19"/>
  <c r="AI114" i="19"/>
  <c r="AG114" i="19"/>
  <c r="AF114" i="19"/>
  <c r="AE114" i="19"/>
  <c r="AD114" i="19"/>
  <c r="AC114" i="19"/>
  <c r="AB114" i="19"/>
  <c r="AA114" i="19"/>
  <c r="X114" i="19"/>
  <c r="AM113" i="19"/>
  <c r="AL113" i="19"/>
  <c r="AK113" i="19"/>
  <c r="AJ113" i="19"/>
  <c r="AI113" i="19"/>
  <c r="AG113" i="19"/>
  <c r="AF113" i="19"/>
  <c r="AE113" i="19"/>
  <c r="AD113" i="19"/>
  <c r="AC113" i="19"/>
  <c r="AB113" i="19"/>
  <c r="AA113" i="19"/>
  <c r="X113" i="19"/>
  <c r="AM112" i="19"/>
  <c r="AL112" i="19"/>
  <c r="AK112" i="19"/>
  <c r="AJ112" i="19"/>
  <c r="AI112" i="19"/>
  <c r="AG112" i="19"/>
  <c r="AF112" i="19"/>
  <c r="AE112" i="19"/>
  <c r="AD112" i="19"/>
  <c r="AC112" i="19"/>
  <c r="AB112" i="19"/>
  <c r="AA112" i="19"/>
  <c r="X112" i="19"/>
  <c r="AM111" i="19"/>
  <c r="AL111" i="19"/>
  <c r="AK111" i="19"/>
  <c r="AJ111" i="19"/>
  <c r="AI111" i="19"/>
  <c r="AG111" i="19"/>
  <c r="AF111" i="19"/>
  <c r="AE111" i="19"/>
  <c r="AD111" i="19"/>
  <c r="AC111" i="19"/>
  <c r="AB111" i="19"/>
  <c r="AA111" i="19"/>
  <c r="X111" i="19"/>
  <c r="AM110" i="19"/>
  <c r="AL110" i="19"/>
  <c r="AK110" i="19"/>
  <c r="AJ110" i="19"/>
  <c r="AI110" i="19"/>
  <c r="AG110" i="19"/>
  <c r="AF110" i="19"/>
  <c r="AE110" i="19"/>
  <c r="AD110" i="19"/>
  <c r="AC110" i="19"/>
  <c r="AB110" i="19"/>
  <c r="AA110" i="19"/>
  <c r="X110" i="19"/>
  <c r="AM109" i="19"/>
  <c r="AL109" i="19"/>
  <c r="AK109" i="19"/>
  <c r="AJ109" i="19"/>
  <c r="AI109" i="19"/>
  <c r="AG109" i="19"/>
  <c r="AF109" i="19"/>
  <c r="AE109" i="19"/>
  <c r="AD109" i="19"/>
  <c r="AC109" i="19"/>
  <c r="AB109" i="19"/>
  <c r="AA109" i="19"/>
  <c r="X109" i="19"/>
  <c r="AM108" i="19"/>
  <c r="AL108" i="19"/>
  <c r="AK108" i="19"/>
  <c r="AJ108" i="19"/>
  <c r="AI108" i="19"/>
  <c r="AG108" i="19"/>
  <c r="AF108" i="19"/>
  <c r="AE108" i="19"/>
  <c r="AD108" i="19"/>
  <c r="AC108" i="19"/>
  <c r="AB108" i="19"/>
  <c r="AA108" i="19"/>
  <c r="X108" i="19"/>
  <c r="AM107" i="19"/>
  <c r="AL107" i="19"/>
  <c r="AK107" i="19"/>
  <c r="AJ107" i="19"/>
  <c r="AI107" i="19"/>
  <c r="AG107" i="19"/>
  <c r="AF107" i="19"/>
  <c r="AE107" i="19"/>
  <c r="AD107" i="19"/>
  <c r="AC107" i="19"/>
  <c r="AB107" i="19"/>
  <c r="AA107" i="19"/>
  <c r="X107" i="19"/>
  <c r="AM106" i="19"/>
  <c r="AL106" i="19"/>
  <c r="AK106" i="19"/>
  <c r="AJ106" i="19"/>
  <c r="AI106" i="19"/>
  <c r="AG106" i="19"/>
  <c r="AF106" i="19"/>
  <c r="AE106" i="19"/>
  <c r="AD106" i="19"/>
  <c r="AC106" i="19"/>
  <c r="AB106" i="19"/>
  <c r="AA106" i="19"/>
  <c r="X106" i="19"/>
  <c r="AM105" i="19"/>
  <c r="AL105" i="19"/>
  <c r="AK105" i="19"/>
  <c r="AJ105" i="19"/>
  <c r="AI105" i="19"/>
  <c r="AG105" i="19"/>
  <c r="AF105" i="19"/>
  <c r="AE105" i="19"/>
  <c r="AD105" i="19"/>
  <c r="AC105" i="19"/>
  <c r="AB105" i="19"/>
  <c r="AA105" i="19"/>
  <c r="X105" i="19"/>
  <c r="AM87" i="19"/>
  <c r="AL87" i="19"/>
  <c r="AK87" i="19"/>
  <c r="AJ87" i="19"/>
  <c r="AI87" i="19"/>
  <c r="AG87" i="19"/>
  <c r="AF87" i="19"/>
  <c r="AE87" i="19"/>
  <c r="AD87" i="19"/>
  <c r="AC87" i="19"/>
  <c r="AB87" i="19"/>
  <c r="AA87" i="19"/>
  <c r="X87" i="19"/>
  <c r="AM103" i="19"/>
  <c r="AL103" i="19"/>
  <c r="AK103" i="19"/>
  <c r="AJ103" i="19"/>
  <c r="AI103" i="19"/>
  <c r="AG103" i="19"/>
  <c r="AF103" i="19"/>
  <c r="AE103" i="19"/>
  <c r="AD103" i="19"/>
  <c r="AC103" i="19"/>
  <c r="AB103" i="19"/>
  <c r="AA103" i="19"/>
  <c r="X103" i="19"/>
  <c r="AM178" i="19"/>
  <c r="AL178" i="19"/>
  <c r="AK178" i="19"/>
  <c r="AJ178" i="19"/>
  <c r="AI178" i="19"/>
  <c r="AG178" i="19"/>
  <c r="AF178" i="19"/>
  <c r="AE178" i="19"/>
  <c r="AD178" i="19"/>
  <c r="AC178" i="19"/>
  <c r="AB178" i="19"/>
  <c r="AA178" i="19"/>
  <c r="X178" i="19"/>
  <c r="AM101" i="19"/>
  <c r="AL101" i="19"/>
  <c r="AK101" i="19"/>
  <c r="AJ101" i="19"/>
  <c r="AI101" i="19"/>
  <c r="AG101" i="19"/>
  <c r="AF101" i="19"/>
  <c r="AE101" i="19"/>
  <c r="AD101" i="19"/>
  <c r="AC101" i="19"/>
  <c r="AB101" i="19"/>
  <c r="AA101" i="19"/>
  <c r="X101" i="19"/>
  <c r="AM100" i="19"/>
  <c r="AL100" i="19"/>
  <c r="AK100" i="19"/>
  <c r="AJ100" i="19"/>
  <c r="AI100" i="19"/>
  <c r="AG100" i="19"/>
  <c r="AF100" i="19"/>
  <c r="AE100" i="19"/>
  <c r="AD100" i="19"/>
  <c r="AC100" i="19"/>
  <c r="AB100" i="19"/>
  <c r="AA100" i="19"/>
  <c r="X100" i="19"/>
  <c r="AM99" i="19"/>
  <c r="AL99" i="19"/>
  <c r="AK99" i="19"/>
  <c r="AJ99" i="19"/>
  <c r="AI99" i="19"/>
  <c r="AG99" i="19"/>
  <c r="AF99" i="19"/>
  <c r="AE99" i="19"/>
  <c r="AD99" i="19"/>
  <c r="AC99" i="19"/>
  <c r="AB99" i="19"/>
  <c r="AA99" i="19"/>
  <c r="X99" i="19"/>
  <c r="AM98" i="19"/>
  <c r="AL98" i="19"/>
  <c r="AK98" i="19"/>
  <c r="AJ98" i="19"/>
  <c r="AI98" i="19"/>
  <c r="AG98" i="19"/>
  <c r="AF98" i="19"/>
  <c r="AE98" i="19"/>
  <c r="AD98" i="19"/>
  <c r="AC98" i="19"/>
  <c r="AB98" i="19"/>
  <c r="AA98" i="19"/>
  <c r="X98" i="19"/>
  <c r="AM97" i="19"/>
  <c r="AL97" i="19"/>
  <c r="AK97" i="19"/>
  <c r="AJ97" i="19"/>
  <c r="AI97" i="19"/>
  <c r="AG97" i="19"/>
  <c r="AF97" i="19"/>
  <c r="AE97" i="19"/>
  <c r="AD97" i="19"/>
  <c r="AC97" i="19"/>
  <c r="AB97" i="19"/>
  <c r="AA97" i="19"/>
  <c r="X97" i="19"/>
  <c r="AM96" i="19"/>
  <c r="AL96" i="19"/>
  <c r="AK96" i="19"/>
  <c r="AJ96" i="19"/>
  <c r="AI96" i="19"/>
  <c r="AG96" i="19"/>
  <c r="AF96" i="19"/>
  <c r="AE96" i="19"/>
  <c r="AD96" i="19"/>
  <c r="AC96" i="19"/>
  <c r="AB96" i="19"/>
  <c r="AA96" i="19"/>
  <c r="X96" i="19"/>
  <c r="AM95" i="19"/>
  <c r="AL95" i="19"/>
  <c r="AK95" i="19"/>
  <c r="AJ95" i="19"/>
  <c r="AI95" i="19"/>
  <c r="AG95" i="19"/>
  <c r="AF95" i="19"/>
  <c r="AE95" i="19"/>
  <c r="AD95" i="19"/>
  <c r="AC95" i="19"/>
  <c r="AB95" i="19"/>
  <c r="AA95" i="19"/>
  <c r="X95" i="19"/>
  <c r="AM94" i="19"/>
  <c r="AL94" i="19"/>
  <c r="AK94" i="19"/>
  <c r="AJ94" i="19"/>
  <c r="AI94" i="19"/>
  <c r="AG94" i="19"/>
  <c r="AF94" i="19"/>
  <c r="AE94" i="19"/>
  <c r="AD94" i="19"/>
  <c r="AC94" i="19"/>
  <c r="AB94" i="19"/>
  <c r="AA94" i="19"/>
  <c r="X94" i="19"/>
  <c r="AM93" i="19"/>
  <c r="AL93" i="19"/>
  <c r="AK93" i="19"/>
  <c r="AJ93" i="19"/>
  <c r="AI93" i="19"/>
  <c r="AG93" i="19"/>
  <c r="AF93" i="19"/>
  <c r="AE93" i="19"/>
  <c r="AD93" i="19"/>
  <c r="AC93" i="19"/>
  <c r="AB93" i="19"/>
  <c r="AA93" i="19"/>
  <c r="X93" i="19"/>
  <c r="AM92" i="19"/>
  <c r="AL92" i="19"/>
  <c r="AK92" i="19"/>
  <c r="AJ92" i="19"/>
  <c r="AI92" i="19"/>
  <c r="AG92" i="19"/>
  <c r="AF92" i="19"/>
  <c r="AE92" i="19"/>
  <c r="AD92" i="19"/>
  <c r="AC92" i="19"/>
  <c r="AB92" i="19"/>
  <c r="AA92" i="19"/>
  <c r="X92" i="19"/>
  <c r="AM91" i="19"/>
  <c r="AL91" i="19"/>
  <c r="AK91" i="19"/>
  <c r="AJ91" i="19"/>
  <c r="AI91" i="19"/>
  <c r="AG91" i="19"/>
  <c r="AF91" i="19"/>
  <c r="AE91" i="19"/>
  <c r="AD91" i="19"/>
  <c r="AC91" i="19"/>
  <c r="AB91" i="19"/>
  <c r="AA91" i="19"/>
  <c r="X91" i="19"/>
  <c r="AM90" i="19"/>
  <c r="AL90" i="19"/>
  <c r="AK90" i="19"/>
  <c r="AJ90" i="19"/>
  <c r="AI90" i="19"/>
  <c r="AG90" i="19"/>
  <c r="AF90" i="19"/>
  <c r="AE90" i="19"/>
  <c r="AD90" i="19"/>
  <c r="AC90" i="19"/>
  <c r="AB90" i="19"/>
  <c r="AA90" i="19"/>
  <c r="X90" i="19"/>
  <c r="AM89" i="19"/>
  <c r="AL89" i="19"/>
  <c r="AK89" i="19"/>
  <c r="AJ89" i="19"/>
  <c r="AI89" i="19"/>
  <c r="AG89" i="19"/>
  <c r="AF89" i="19"/>
  <c r="AE89" i="19"/>
  <c r="AD89" i="19"/>
  <c r="AC89" i="19"/>
  <c r="AB89" i="19"/>
  <c r="AA89" i="19"/>
  <c r="X89" i="19"/>
  <c r="AM88" i="19"/>
  <c r="AL88" i="19"/>
  <c r="AK88" i="19"/>
  <c r="AJ88" i="19"/>
  <c r="AI88" i="19"/>
  <c r="AG88" i="19"/>
  <c r="AF88" i="19"/>
  <c r="AE88" i="19"/>
  <c r="AD88" i="19"/>
  <c r="AC88" i="19"/>
  <c r="AB88" i="19"/>
  <c r="AA88" i="19"/>
  <c r="X88" i="19"/>
  <c r="AM173" i="19"/>
  <c r="AL173" i="19"/>
  <c r="AK173" i="19"/>
  <c r="AJ173" i="19"/>
  <c r="AI173" i="19"/>
  <c r="AG173" i="19"/>
  <c r="AF173" i="19"/>
  <c r="AE173" i="19"/>
  <c r="AD173" i="19"/>
  <c r="AC173" i="19"/>
  <c r="AB173" i="19"/>
  <c r="AA173" i="19"/>
  <c r="X173" i="19"/>
  <c r="AM86" i="19"/>
  <c r="AL86" i="19"/>
  <c r="AK86" i="19"/>
  <c r="AJ86" i="19"/>
  <c r="AI86" i="19"/>
  <c r="AG86" i="19"/>
  <c r="AF86" i="19"/>
  <c r="AE86" i="19"/>
  <c r="AD86" i="19"/>
  <c r="AC86" i="19"/>
  <c r="AB86" i="19"/>
  <c r="AA86" i="19"/>
  <c r="X86" i="19"/>
  <c r="AM85" i="19"/>
  <c r="AL85" i="19"/>
  <c r="AK85" i="19"/>
  <c r="AJ85" i="19"/>
  <c r="AI85" i="19"/>
  <c r="AG85" i="19"/>
  <c r="AF85" i="19"/>
  <c r="AE85" i="19"/>
  <c r="AD85" i="19"/>
  <c r="AC85" i="19"/>
  <c r="AB85" i="19"/>
  <c r="AA85" i="19"/>
  <c r="X85" i="19"/>
  <c r="AM84" i="19"/>
  <c r="AL84" i="19"/>
  <c r="AK84" i="19"/>
  <c r="AJ84" i="19"/>
  <c r="AI84" i="19"/>
  <c r="AG84" i="19"/>
  <c r="AF84" i="19"/>
  <c r="AE84" i="19"/>
  <c r="AD84" i="19"/>
  <c r="AC84" i="19"/>
  <c r="AB84" i="19"/>
  <c r="AA84" i="19"/>
  <c r="X84" i="19"/>
  <c r="AM83" i="19"/>
  <c r="AL83" i="19"/>
  <c r="AK83" i="19"/>
  <c r="AJ83" i="19"/>
  <c r="AI83" i="19"/>
  <c r="AG83" i="19"/>
  <c r="AF83" i="19"/>
  <c r="AE83" i="19"/>
  <c r="AD83" i="19"/>
  <c r="AC83" i="19"/>
  <c r="AB83" i="19"/>
  <c r="AA83" i="19"/>
  <c r="X83" i="19"/>
  <c r="AM82" i="19"/>
  <c r="AL82" i="19"/>
  <c r="AK82" i="19"/>
  <c r="AJ82" i="19"/>
  <c r="AI82" i="19"/>
  <c r="AG82" i="19"/>
  <c r="AF82" i="19"/>
  <c r="AE82" i="19"/>
  <c r="AD82" i="19"/>
  <c r="AC82" i="19"/>
  <c r="AB82" i="19"/>
  <c r="AA82" i="19"/>
  <c r="X82" i="19"/>
  <c r="AM81" i="19"/>
  <c r="AL81" i="19"/>
  <c r="AK81" i="19"/>
  <c r="AJ81" i="19"/>
  <c r="AI81" i="19"/>
  <c r="AG81" i="19"/>
  <c r="AF81" i="19"/>
  <c r="AE81" i="19"/>
  <c r="AD81" i="19"/>
  <c r="AC81" i="19"/>
  <c r="AB81" i="19"/>
  <c r="AA81" i="19"/>
  <c r="X81" i="19"/>
  <c r="AM80" i="19"/>
  <c r="AL80" i="19"/>
  <c r="AK80" i="19"/>
  <c r="AJ80" i="19"/>
  <c r="AI80" i="19"/>
  <c r="AG80" i="19"/>
  <c r="AF80" i="19"/>
  <c r="AE80" i="19"/>
  <c r="AD80" i="19"/>
  <c r="AC80" i="19"/>
  <c r="AB80" i="19"/>
  <c r="AA80" i="19"/>
  <c r="X80" i="19"/>
  <c r="AM79" i="19"/>
  <c r="AL79" i="19"/>
  <c r="AK79" i="19"/>
  <c r="AJ79" i="19"/>
  <c r="AI79" i="19"/>
  <c r="AG79" i="19"/>
  <c r="AF79" i="19"/>
  <c r="AE79" i="19"/>
  <c r="AD79" i="19"/>
  <c r="AC79" i="19"/>
  <c r="AB79" i="19"/>
  <c r="AA79" i="19"/>
  <c r="X79" i="19"/>
  <c r="AM78" i="19"/>
  <c r="AL78" i="19"/>
  <c r="AK78" i="19"/>
  <c r="AJ78" i="19"/>
  <c r="AI78" i="19"/>
  <c r="AG78" i="19"/>
  <c r="AF78" i="19"/>
  <c r="AE78" i="19"/>
  <c r="AD78" i="19"/>
  <c r="AC78" i="19"/>
  <c r="AB78" i="19"/>
  <c r="AA78" i="19"/>
  <c r="X78" i="19"/>
  <c r="AM77" i="19"/>
  <c r="AL77" i="19"/>
  <c r="AK77" i="19"/>
  <c r="AJ77" i="19"/>
  <c r="AI77" i="19"/>
  <c r="AG77" i="19"/>
  <c r="AF77" i="19"/>
  <c r="AE77" i="19"/>
  <c r="AD77" i="19"/>
  <c r="AC77" i="19"/>
  <c r="AB77" i="19"/>
  <c r="AA77" i="19"/>
  <c r="X77" i="19"/>
  <c r="AM76" i="19"/>
  <c r="AL76" i="19"/>
  <c r="AK76" i="19"/>
  <c r="AJ76" i="19"/>
  <c r="AI76" i="19"/>
  <c r="AG76" i="19"/>
  <c r="AF76" i="19"/>
  <c r="AE76" i="19"/>
  <c r="AD76" i="19"/>
  <c r="AC76" i="19"/>
  <c r="AB76" i="19"/>
  <c r="AA76" i="19"/>
  <c r="X76" i="19"/>
  <c r="AM75" i="19"/>
  <c r="AL75" i="19"/>
  <c r="AK75" i="19"/>
  <c r="AJ75" i="19"/>
  <c r="AI75" i="19"/>
  <c r="AG75" i="19"/>
  <c r="AF75" i="19"/>
  <c r="AE75" i="19"/>
  <c r="AD75" i="19"/>
  <c r="AC75" i="19"/>
  <c r="AB75" i="19"/>
  <c r="AA75" i="19"/>
  <c r="X75" i="19"/>
  <c r="AM74" i="19"/>
  <c r="AL74" i="19"/>
  <c r="AK74" i="19"/>
  <c r="AJ74" i="19"/>
  <c r="AI74" i="19"/>
  <c r="AG74" i="19"/>
  <c r="AF74" i="19"/>
  <c r="AE74" i="19"/>
  <c r="AD74" i="19"/>
  <c r="AC74" i="19"/>
  <c r="AB74" i="19"/>
  <c r="AA74" i="19"/>
  <c r="X74" i="19"/>
  <c r="AM73" i="19"/>
  <c r="AL73" i="19"/>
  <c r="AK73" i="19"/>
  <c r="AJ73" i="19"/>
  <c r="AI73" i="19"/>
  <c r="AG73" i="19"/>
  <c r="AF73" i="19"/>
  <c r="AE73" i="19"/>
  <c r="AD73" i="19"/>
  <c r="AC73" i="19"/>
  <c r="AB73" i="19"/>
  <c r="AA73" i="19"/>
  <c r="X73" i="19"/>
  <c r="AM72" i="19"/>
  <c r="AL72" i="19"/>
  <c r="AK72" i="19"/>
  <c r="AJ72" i="19"/>
  <c r="AI72" i="19"/>
  <c r="AG72" i="19"/>
  <c r="AF72" i="19"/>
  <c r="AE72" i="19"/>
  <c r="AD72" i="19"/>
  <c r="AC72" i="19"/>
  <c r="AB72" i="19"/>
  <c r="AA72" i="19"/>
  <c r="X72" i="19"/>
  <c r="AM71" i="19"/>
  <c r="AL71" i="19"/>
  <c r="AK71" i="19"/>
  <c r="AJ71" i="19"/>
  <c r="AI71" i="19"/>
  <c r="AG71" i="19"/>
  <c r="AF71" i="19"/>
  <c r="AE71" i="19"/>
  <c r="AD71" i="19"/>
  <c r="AC71" i="19"/>
  <c r="AB71" i="19"/>
  <c r="AA71" i="19"/>
  <c r="X71" i="19"/>
  <c r="AM70" i="19"/>
  <c r="AL70" i="19"/>
  <c r="AK70" i="19"/>
  <c r="AJ70" i="19"/>
  <c r="AI70" i="19"/>
  <c r="AG70" i="19"/>
  <c r="AF70" i="19"/>
  <c r="AE70" i="19"/>
  <c r="AD70" i="19"/>
  <c r="AC70" i="19"/>
  <c r="AB70" i="19"/>
  <c r="AA70" i="19"/>
  <c r="X70" i="19"/>
  <c r="AM69" i="19"/>
  <c r="AL69" i="19"/>
  <c r="AK69" i="19"/>
  <c r="AJ69" i="19"/>
  <c r="AI69" i="19"/>
  <c r="AG69" i="19"/>
  <c r="AF69" i="19"/>
  <c r="AE69" i="19"/>
  <c r="AD69" i="19"/>
  <c r="AC69" i="19"/>
  <c r="AB69" i="19"/>
  <c r="AA69" i="19"/>
  <c r="X69" i="19"/>
  <c r="AM68" i="19"/>
  <c r="AL68" i="19"/>
  <c r="AK68" i="19"/>
  <c r="AJ68" i="19"/>
  <c r="AI68" i="19"/>
  <c r="AG68" i="19"/>
  <c r="AF68" i="19"/>
  <c r="AE68" i="19"/>
  <c r="AD68" i="19"/>
  <c r="AC68" i="19"/>
  <c r="AB68" i="19"/>
  <c r="AA68" i="19"/>
  <c r="X68" i="19"/>
  <c r="AM67" i="19"/>
  <c r="AL67" i="19"/>
  <c r="AK67" i="19"/>
  <c r="AJ67" i="19"/>
  <c r="AI67" i="19"/>
  <c r="AG67" i="19"/>
  <c r="AF67" i="19"/>
  <c r="AE67" i="19"/>
  <c r="AD67" i="19"/>
  <c r="AC67" i="19"/>
  <c r="AB67" i="19"/>
  <c r="AA67" i="19"/>
  <c r="X67" i="19"/>
  <c r="AM66" i="19"/>
  <c r="AL66" i="19"/>
  <c r="AK66" i="19"/>
  <c r="AJ66" i="19"/>
  <c r="AI66" i="19"/>
  <c r="AG66" i="19"/>
  <c r="AF66" i="19"/>
  <c r="AE66" i="19"/>
  <c r="AD66" i="19"/>
  <c r="AC66" i="19"/>
  <c r="AB66" i="19"/>
  <c r="AA66" i="19"/>
  <c r="X66" i="19"/>
  <c r="AM65" i="19"/>
  <c r="AL65" i="19"/>
  <c r="AK65" i="19"/>
  <c r="AJ65" i="19"/>
  <c r="AI65" i="19"/>
  <c r="AG65" i="19"/>
  <c r="AF65" i="19"/>
  <c r="AE65" i="19"/>
  <c r="AD65" i="19"/>
  <c r="AC65" i="19"/>
  <c r="AB65" i="19"/>
  <c r="AA65" i="19"/>
  <c r="X65" i="19"/>
  <c r="AM64" i="19"/>
  <c r="AL64" i="19"/>
  <c r="AK64" i="19"/>
  <c r="AJ64" i="19"/>
  <c r="AI64" i="19"/>
  <c r="AG64" i="19"/>
  <c r="AF64" i="19"/>
  <c r="AE64" i="19"/>
  <c r="AD64" i="19"/>
  <c r="AC64" i="19"/>
  <c r="AB64" i="19"/>
  <c r="AA64" i="19"/>
  <c r="X64" i="19"/>
  <c r="AM63" i="19"/>
  <c r="AL63" i="19"/>
  <c r="AK63" i="19"/>
  <c r="AJ63" i="19"/>
  <c r="AI63" i="19"/>
  <c r="AG63" i="19"/>
  <c r="AF63" i="19"/>
  <c r="AE63" i="19"/>
  <c r="AD63" i="19"/>
  <c r="AC63" i="19"/>
  <c r="AB63" i="19"/>
  <c r="AA63" i="19"/>
  <c r="X63" i="19"/>
  <c r="AM62" i="19"/>
  <c r="AL62" i="19"/>
  <c r="AK62" i="19"/>
  <c r="AJ62" i="19"/>
  <c r="AI62" i="19"/>
  <c r="AG62" i="19"/>
  <c r="AF62" i="19"/>
  <c r="AE62" i="19"/>
  <c r="AD62" i="19"/>
  <c r="AC62" i="19"/>
  <c r="AB62" i="19"/>
  <c r="AA62" i="19"/>
  <c r="X62" i="19"/>
  <c r="AM61" i="19"/>
  <c r="AL61" i="19"/>
  <c r="AK61" i="19"/>
  <c r="AJ61" i="19"/>
  <c r="AI61" i="19"/>
  <c r="AG61" i="19"/>
  <c r="AF61" i="19"/>
  <c r="AE61" i="19"/>
  <c r="AD61" i="19"/>
  <c r="AC61" i="19"/>
  <c r="AB61" i="19"/>
  <c r="AA61" i="19"/>
  <c r="X61" i="19"/>
  <c r="AM60" i="19"/>
  <c r="AL60" i="19"/>
  <c r="AK60" i="19"/>
  <c r="AJ60" i="19"/>
  <c r="AI60" i="19"/>
  <c r="AG60" i="19"/>
  <c r="AF60" i="19"/>
  <c r="AE60" i="19"/>
  <c r="AD60" i="19"/>
  <c r="AC60" i="19"/>
  <c r="AB60" i="19"/>
  <c r="AA60" i="19"/>
  <c r="X60" i="19"/>
  <c r="AM59" i="19"/>
  <c r="AL59" i="19"/>
  <c r="AK59" i="19"/>
  <c r="AJ59" i="19"/>
  <c r="AI59" i="19"/>
  <c r="AG59" i="19"/>
  <c r="AF59" i="19"/>
  <c r="AE59" i="19"/>
  <c r="AD59" i="19"/>
  <c r="AC59" i="19"/>
  <c r="AB59" i="19"/>
  <c r="AA59" i="19"/>
  <c r="X59" i="19"/>
  <c r="AM58" i="19"/>
  <c r="AL58" i="19"/>
  <c r="AK58" i="19"/>
  <c r="AJ58" i="19"/>
  <c r="AI58" i="19"/>
  <c r="AG58" i="19"/>
  <c r="AF58" i="19"/>
  <c r="AE58" i="19"/>
  <c r="AD58" i="19"/>
  <c r="AC58" i="19"/>
  <c r="AB58" i="19"/>
  <c r="AA58" i="19"/>
  <c r="X58" i="19"/>
  <c r="AM57" i="19"/>
  <c r="AL57" i="19"/>
  <c r="AK57" i="19"/>
  <c r="AJ57" i="19"/>
  <c r="AI57" i="19"/>
  <c r="AG57" i="19"/>
  <c r="AF57" i="19"/>
  <c r="AE57" i="19"/>
  <c r="AD57" i="19"/>
  <c r="AC57" i="19"/>
  <c r="AB57" i="19"/>
  <c r="AA57" i="19"/>
  <c r="X57" i="19"/>
  <c r="AM56" i="19"/>
  <c r="AL56" i="19"/>
  <c r="AK56" i="19"/>
  <c r="AJ56" i="19"/>
  <c r="AI56" i="19"/>
  <c r="AG56" i="19"/>
  <c r="AF56" i="19"/>
  <c r="AE56" i="19"/>
  <c r="AD56" i="19"/>
  <c r="AC56" i="19"/>
  <c r="AB56" i="19"/>
  <c r="AA56" i="19"/>
  <c r="X56" i="19"/>
  <c r="AM55" i="19"/>
  <c r="AL55" i="19"/>
  <c r="AK55" i="19"/>
  <c r="AJ55" i="19"/>
  <c r="AI55" i="19"/>
  <c r="AG55" i="19"/>
  <c r="AF55" i="19"/>
  <c r="AE55" i="19"/>
  <c r="AD55" i="19"/>
  <c r="AC55" i="19"/>
  <c r="AB55" i="19"/>
  <c r="AA55" i="19"/>
  <c r="X55" i="19"/>
  <c r="AM54" i="19"/>
  <c r="AL54" i="19"/>
  <c r="AK54" i="19"/>
  <c r="AJ54" i="19"/>
  <c r="AI54" i="19"/>
  <c r="AG54" i="19"/>
  <c r="AF54" i="19"/>
  <c r="AE54" i="19"/>
  <c r="AD54" i="19"/>
  <c r="AC54" i="19"/>
  <c r="AB54" i="19"/>
  <c r="AA54" i="19"/>
  <c r="X54" i="19"/>
  <c r="AM53" i="19"/>
  <c r="AL53" i="19"/>
  <c r="AK53" i="19"/>
  <c r="AJ53" i="19"/>
  <c r="AI53" i="19"/>
  <c r="AG53" i="19"/>
  <c r="AF53" i="19"/>
  <c r="AE53" i="19"/>
  <c r="AD53" i="19"/>
  <c r="AC53" i="19"/>
  <c r="AB53" i="19"/>
  <c r="AA53" i="19"/>
  <c r="X53" i="19"/>
  <c r="AM52" i="19"/>
  <c r="AL52" i="19"/>
  <c r="AK52" i="19"/>
  <c r="AJ52" i="19"/>
  <c r="AI52" i="19"/>
  <c r="AG52" i="19"/>
  <c r="AF52" i="19"/>
  <c r="AE52" i="19"/>
  <c r="AD52" i="19"/>
  <c r="AC52" i="19"/>
  <c r="AB52" i="19"/>
  <c r="AA52" i="19"/>
  <c r="X52" i="19"/>
  <c r="AM51" i="19"/>
  <c r="AL51" i="19"/>
  <c r="AK51" i="19"/>
  <c r="AJ51" i="19"/>
  <c r="AI51" i="19"/>
  <c r="AG51" i="19"/>
  <c r="AF51" i="19"/>
  <c r="AE51" i="19"/>
  <c r="AD51" i="19"/>
  <c r="AC51" i="19"/>
  <c r="AB51" i="19"/>
  <c r="AA51" i="19"/>
  <c r="X51" i="19"/>
  <c r="AM50" i="19"/>
  <c r="AL50" i="19"/>
  <c r="AK50" i="19"/>
  <c r="AJ50" i="19"/>
  <c r="AI50" i="19"/>
  <c r="AG50" i="19"/>
  <c r="AF50" i="19"/>
  <c r="AE50" i="19"/>
  <c r="AD50" i="19"/>
  <c r="AC50" i="19"/>
  <c r="AB50" i="19"/>
  <c r="AA50" i="19"/>
  <c r="X50" i="19"/>
  <c r="AM49" i="19"/>
  <c r="AL49" i="19"/>
  <c r="AK49" i="19"/>
  <c r="AJ49" i="19"/>
  <c r="AI49" i="19"/>
  <c r="AG49" i="19"/>
  <c r="AF49" i="19"/>
  <c r="AE49" i="19"/>
  <c r="AD49" i="19"/>
  <c r="AC49" i="19"/>
  <c r="AB49" i="19"/>
  <c r="AA49" i="19"/>
  <c r="X49" i="19"/>
  <c r="AM48" i="19"/>
  <c r="AL48" i="19"/>
  <c r="AK48" i="19"/>
  <c r="AJ48" i="19"/>
  <c r="AI48" i="19"/>
  <c r="AG48" i="19"/>
  <c r="AF48" i="19"/>
  <c r="AE48" i="19"/>
  <c r="AD48" i="19"/>
  <c r="AC48" i="19"/>
  <c r="AB48" i="19"/>
  <c r="AA48" i="19"/>
  <c r="X48" i="19"/>
  <c r="AM47" i="19"/>
  <c r="AL47" i="19"/>
  <c r="AK47" i="19"/>
  <c r="AJ47" i="19"/>
  <c r="AI47" i="19"/>
  <c r="AG47" i="19"/>
  <c r="AF47" i="19"/>
  <c r="AE47" i="19"/>
  <c r="AD47" i="19"/>
  <c r="AC47" i="19"/>
  <c r="AB47" i="19"/>
  <c r="AA47" i="19"/>
  <c r="X47" i="19"/>
  <c r="AM46" i="19"/>
  <c r="AL46" i="19"/>
  <c r="AK46" i="19"/>
  <c r="AJ46" i="19"/>
  <c r="AI46" i="19"/>
  <c r="AG46" i="19"/>
  <c r="AF46" i="19"/>
  <c r="AE46" i="19"/>
  <c r="AD46" i="19"/>
  <c r="AC46" i="19"/>
  <c r="AB46" i="19"/>
  <c r="AA46" i="19"/>
  <c r="X46" i="19"/>
  <c r="AM45" i="19"/>
  <c r="AL45" i="19"/>
  <c r="AK45" i="19"/>
  <c r="AJ45" i="19"/>
  <c r="AI45" i="19"/>
  <c r="AG45" i="19"/>
  <c r="AF45" i="19"/>
  <c r="AE45" i="19"/>
  <c r="AD45" i="19"/>
  <c r="AC45" i="19"/>
  <c r="AB45" i="19"/>
  <c r="AA45" i="19"/>
  <c r="X45" i="19"/>
  <c r="AM44" i="19"/>
  <c r="AL44" i="19"/>
  <c r="AK44" i="19"/>
  <c r="AJ44" i="19"/>
  <c r="AI44" i="19"/>
  <c r="AG44" i="19"/>
  <c r="AF44" i="19"/>
  <c r="AE44" i="19"/>
  <c r="AD44" i="19"/>
  <c r="AC44" i="19"/>
  <c r="AB44" i="19"/>
  <c r="AA44" i="19"/>
  <c r="X44" i="19"/>
  <c r="AM43" i="19"/>
  <c r="AL43" i="19"/>
  <c r="AK43" i="19"/>
  <c r="AJ43" i="19"/>
  <c r="AI43" i="19"/>
  <c r="AG43" i="19"/>
  <c r="AF43" i="19"/>
  <c r="AE43" i="19"/>
  <c r="AD43" i="19"/>
  <c r="AC43" i="19"/>
  <c r="AB43" i="19"/>
  <c r="AA43" i="19"/>
  <c r="X43" i="19"/>
  <c r="AM42" i="19"/>
  <c r="AL42" i="19"/>
  <c r="AK42" i="19"/>
  <c r="AJ42" i="19"/>
  <c r="AI42" i="19"/>
  <c r="AG42" i="19"/>
  <c r="AF42" i="19"/>
  <c r="AE42" i="19"/>
  <c r="AD42" i="19"/>
  <c r="AC42" i="19"/>
  <c r="AB42" i="19"/>
  <c r="AA42" i="19"/>
  <c r="X42" i="19"/>
  <c r="AM41" i="19"/>
  <c r="AL41" i="19"/>
  <c r="AK41" i="19"/>
  <c r="AJ41" i="19"/>
  <c r="AI41" i="19"/>
  <c r="AG41" i="19"/>
  <c r="AF41" i="19"/>
  <c r="AE41" i="19"/>
  <c r="AD41" i="19"/>
  <c r="AC41" i="19"/>
  <c r="AB41" i="19"/>
  <c r="AA41" i="19"/>
  <c r="X41" i="19"/>
  <c r="AM40" i="19"/>
  <c r="AL40" i="19"/>
  <c r="AK40" i="19"/>
  <c r="AJ40" i="19"/>
  <c r="AI40" i="19"/>
  <c r="AG40" i="19"/>
  <c r="AF40" i="19"/>
  <c r="AE40" i="19"/>
  <c r="AD40" i="19"/>
  <c r="AC40" i="19"/>
  <c r="AB40" i="19"/>
  <c r="AA40" i="19"/>
  <c r="X40" i="19"/>
  <c r="AM39" i="19"/>
  <c r="AL39" i="19"/>
  <c r="AK39" i="19"/>
  <c r="AJ39" i="19"/>
  <c r="AI39" i="19"/>
  <c r="AG39" i="19"/>
  <c r="AF39" i="19"/>
  <c r="AE39" i="19"/>
  <c r="AD39" i="19"/>
  <c r="AC39" i="19"/>
  <c r="AB39" i="19"/>
  <c r="AA39" i="19"/>
  <c r="X39" i="19"/>
  <c r="AM38" i="19"/>
  <c r="AL38" i="19"/>
  <c r="AK38" i="19"/>
  <c r="AJ38" i="19"/>
  <c r="AI38" i="19"/>
  <c r="AG38" i="19"/>
  <c r="AF38" i="19"/>
  <c r="AE38" i="19"/>
  <c r="AD38" i="19"/>
  <c r="AC38" i="19"/>
  <c r="AB38" i="19"/>
  <c r="AA38" i="19"/>
  <c r="X38" i="19"/>
  <c r="AM37" i="19"/>
  <c r="AL37" i="19"/>
  <c r="AK37" i="19"/>
  <c r="AJ37" i="19"/>
  <c r="AI37" i="19"/>
  <c r="AG37" i="19"/>
  <c r="AF37" i="19"/>
  <c r="AE37" i="19"/>
  <c r="AD37" i="19"/>
  <c r="AC37" i="19"/>
  <c r="AB37" i="19"/>
  <c r="AA37" i="19"/>
  <c r="X37" i="19"/>
  <c r="AM36" i="19"/>
  <c r="AL36" i="19"/>
  <c r="AK36" i="19"/>
  <c r="AJ36" i="19"/>
  <c r="AI36" i="19"/>
  <c r="AG36" i="19"/>
  <c r="AF36" i="19"/>
  <c r="AE36" i="19"/>
  <c r="AD36" i="19"/>
  <c r="AC36" i="19"/>
  <c r="AB36" i="19"/>
  <c r="AA36" i="19"/>
  <c r="X36" i="19"/>
  <c r="AM35" i="19"/>
  <c r="AL35" i="19"/>
  <c r="AK35" i="19"/>
  <c r="AJ35" i="19"/>
  <c r="AI35" i="19"/>
  <c r="AG35" i="19"/>
  <c r="AF35" i="19"/>
  <c r="AE35" i="19"/>
  <c r="AD35" i="19"/>
  <c r="AC35" i="19"/>
  <c r="AB35" i="19"/>
  <c r="AA35" i="19"/>
  <c r="X35" i="19"/>
  <c r="AM34" i="19"/>
  <c r="AL34" i="19"/>
  <c r="AK34" i="19"/>
  <c r="AJ34" i="19"/>
  <c r="AI34" i="19"/>
  <c r="AG34" i="19"/>
  <c r="AF34" i="19"/>
  <c r="AE34" i="19"/>
  <c r="AD34" i="19"/>
  <c r="AC34" i="19"/>
  <c r="AB34" i="19"/>
  <c r="AA34" i="19"/>
  <c r="X34" i="19"/>
  <c r="AM33" i="19"/>
  <c r="AL33" i="19"/>
  <c r="AK33" i="19"/>
  <c r="AJ33" i="19"/>
  <c r="AI33" i="19"/>
  <c r="AG33" i="19"/>
  <c r="AF33" i="19"/>
  <c r="AE33" i="19"/>
  <c r="AD33" i="19"/>
  <c r="AC33" i="19"/>
  <c r="AB33" i="19"/>
  <c r="AA33" i="19"/>
  <c r="X33" i="19"/>
  <c r="AM32" i="19"/>
  <c r="AL32" i="19"/>
  <c r="AK32" i="19"/>
  <c r="AJ32" i="19"/>
  <c r="AI32" i="19"/>
  <c r="AG32" i="19"/>
  <c r="AF32" i="19"/>
  <c r="AE32" i="19"/>
  <c r="AD32" i="19"/>
  <c r="AC32" i="19"/>
  <c r="AB32" i="19"/>
  <c r="AA32" i="19"/>
  <c r="X32" i="19"/>
  <c r="AM31" i="19"/>
  <c r="AL31" i="19"/>
  <c r="AK31" i="19"/>
  <c r="AJ31" i="19"/>
  <c r="AI31" i="19"/>
  <c r="AG31" i="19"/>
  <c r="AF31" i="19"/>
  <c r="AE31" i="19"/>
  <c r="AD31" i="19"/>
  <c r="AC31" i="19"/>
  <c r="AB31" i="19"/>
  <c r="AA31" i="19"/>
  <c r="X31" i="19"/>
  <c r="AM30" i="19"/>
  <c r="AL30" i="19"/>
  <c r="AK30" i="19"/>
  <c r="AJ30" i="19"/>
  <c r="AI30" i="19"/>
  <c r="AG30" i="19"/>
  <c r="AF30" i="19"/>
  <c r="AE30" i="19"/>
  <c r="AD30" i="19"/>
  <c r="AC30" i="19"/>
  <c r="AB30" i="19"/>
  <c r="AA30" i="19"/>
  <c r="X30" i="19"/>
  <c r="AM29" i="19"/>
  <c r="AL29" i="19"/>
  <c r="AK29" i="19"/>
  <c r="AJ29" i="19"/>
  <c r="AI29" i="19"/>
  <c r="AG29" i="19"/>
  <c r="AF29" i="19"/>
  <c r="AE29" i="19"/>
  <c r="AD29" i="19"/>
  <c r="AC29" i="19"/>
  <c r="AB29" i="19"/>
  <c r="AA29" i="19"/>
  <c r="X29" i="19"/>
  <c r="AM28" i="19"/>
  <c r="AL28" i="19"/>
  <c r="AK28" i="19"/>
  <c r="AJ28" i="19"/>
  <c r="AI28" i="19"/>
  <c r="AG28" i="19"/>
  <c r="AF28" i="19"/>
  <c r="AE28" i="19"/>
  <c r="AD28" i="19"/>
  <c r="AC28" i="19"/>
  <c r="AB28" i="19"/>
  <c r="AA28" i="19"/>
  <c r="X28" i="19"/>
  <c r="AM27" i="19"/>
  <c r="AL27" i="19"/>
  <c r="AK27" i="19"/>
  <c r="AJ27" i="19"/>
  <c r="AI27" i="19"/>
  <c r="AG27" i="19"/>
  <c r="AF27" i="19"/>
  <c r="AE27" i="19"/>
  <c r="AD27" i="19"/>
  <c r="AC27" i="19"/>
  <c r="AB27" i="19"/>
  <c r="AA27" i="19"/>
  <c r="X27" i="19"/>
  <c r="AM26" i="19"/>
  <c r="AL26" i="19"/>
  <c r="AK26" i="19"/>
  <c r="AI26" i="19"/>
  <c r="AG26" i="19"/>
  <c r="AF26" i="19"/>
  <c r="AE26" i="19"/>
  <c r="AD26" i="19"/>
  <c r="AC26" i="19"/>
  <c r="AB26" i="19"/>
  <c r="AA26" i="19"/>
  <c r="X26" i="19"/>
  <c r="AM25" i="19"/>
  <c r="AL25" i="19"/>
  <c r="AK25" i="19"/>
  <c r="AJ25" i="19"/>
  <c r="AI25" i="19"/>
  <c r="AG25" i="19"/>
  <c r="AF25" i="19"/>
  <c r="AE25" i="19"/>
  <c r="AD25" i="19"/>
  <c r="AC25" i="19"/>
  <c r="AB25" i="19"/>
  <c r="AA25" i="19"/>
  <c r="X25" i="19"/>
  <c r="AM24" i="19"/>
  <c r="AL24" i="19"/>
  <c r="AK24" i="19"/>
  <c r="AJ24" i="19"/>
  <c r="AI24" i="19"/>
  <c r="AG24" i="19"/>
  <c r="AF24" i="19"/>
  <c r="AE24" i="19"/>
  <c r="AD24" i="19"/>
  <c r="AC24" i="19"/>
  <c r="AB24" i="19"/>
  <c r="AA24" i="19"/>
  <c r="X24" i="19"/>
  <c r="AM23" i="19"/>
  <c r="AL23" i="19"/>
  <c r="AK23" i="19"/>
  <c r="AJ23" i="19"/>
  <c r="AI23" i="19"/>
  <c r="AG23" i="19"/>
  <c r="AF23" i="19"/>
  <c r="AE23" i="19"/>
  <c r="AD23" i="19"/>
  <c r="AC23" i="19"/>
  <c r="AB23" i="19"/>
  <c r="AA23" i="19"/>
  <c r="X23" i="19"/>
  <c r="AM22" i="19"/>
  <c r="AL22" i="19"/>
  <c r="AK22" i="19"/>
  <c r="AJ22" i="19"/>
  <c r="AI22" i="19"/>
  <c r="AG22" i="19"/>
  <c r="AF22" i="19"/>
  <c r="AE22" i="19"/>
  <c r="AD22" i="19"/>
  <c r="AC22" i="19"/>
  <c r="AB22" i="19"/>
  <c r="AA22" i="19"/>
  <c r="X22" i="19"/>
  <c r="AM21" i="19"/>
  <c r="AL21" i="19"/>
  <c r="AK21" i="19"/>
  <c r="AJ21" i="19"/>
  <c r="AI21" i="19"/>
  <c r="AG21" i="19"/>
  <c r="AF21" i="19"/>
  <c r="AE21" i="19"/>
  <c r="AD21" i="19"/>
  <c r="AC21" i="19"/>
  <c r="AB21" i="19"/>
  <c r="AA21" i="19"/>
  <c r="X21" i="19"/>
  <c r="AM20" i="19"/>
  <c r="AL20" i="19"/>
  <c r="AK20" i="19"/>
  <c r="AJ20" i="19"/>
  <c r="AI20" i="19"/>
  <c r="AG20" i="19"/>
  <c r="AF20" i="19"/>
  <c r="AE20" i="19"/>
  <c r="AD20" i="19"/>
  <c r="AC20" i="19"/>
  <c r="AB20" i="19"/>
  <c r="AA20" i="19"/>
  <c r="X20" i="19"/>
  <c r="AM19" i="19"/>
  <c r="AL19" i="19"/>
  <c r="AK19" i="19"/>
  <c r="AJ19" i="19"/>
  <c r="AI19" i="19"/>
  <c r="AG19" i="19"/>
  <c r="AF19" i="19"/>
  <c r="AE19" i="19"/>
  <c r="AD19" i="19"/>
  <c r="AC19" i="19"/>
  <c r="AB19" i="19"/>
  <c r="AA19" i="19"/>
  <c r="X19" i="19"/>
  <c r="AM18" i="19"/>
  <c r="AL18" i="19"/>
  <c r="AK18" i="19"/>
  <c r="AJ18" i="19"/>
  <c r="AI18" i="19"/>
  <c r="AG18" i="19"/>
  <c r="AF18" i="19"/>
  <c r="AE18" i="19"/>
  <c r="AD18" i="19"/>
  <c r="AC18" i="19"/>
  <c r="AB18" i="19"/>
  <c r="AA18" i="19"/>
  <c r="X18" i="19"/>
  <c r="AM17" i="19"/>
  <c r="AL17" i="19"/>
  <c r="AK17" i="19"/>
  <c r="AJ17" i="19"/>
  <c r="AI17" i="19"/>
  <c r="AG17" i="19"/>
  <c r="AF17" i="19"/>
  <c r="AE17" i="19"/>
  <c r="AD17" i="19"/>
  <c r="AC17" i="19"/>
  <c r="AB17" i="19"/>
  <c r="AA17" i="19"/>
  <c r="X17" i="19"/>
  <c r="AM16" i="19"/>
  <c r="AL16" i="19"/>
  <c r="AK16" i="19"/>
  <c r="AJ16" i="19"/>
  <c r="AI16" i="19"/>
  <c r="AG16" i="19"/>
  <c r="AF16" i="19"/>
  <c r="AE16" i="19"/>
  <c r="AD16" i="19"/>
  <c r="AC16" i="19"/>
  <c r="AB16" i="19"/>
  <c r="AA16" i="19"/>
  <c r="X16" i="19"/>
  <c r="AM15" i="19"/>
  <c r="AL15" i="19"/>
  <c r="AK15" i="19"/>
  <c r="AJ15" i="19"/>
  <c r="AI15" i="19"/>
  <c r="AG15" i="19"/>
  <c r="AF15" i="19"/>
  <c r="AE15" i="19"/>
  <c r="AD15" i="19"/>
  <c r="AC15" i="19"/>
  <c r="AB15" i="19"/>
  <c r="AA15" i="19"/>
  <c r="X15" i="19"/>
  <c r="AM14" i="19"/>
  <c r="AL14" i="19"/>
  <c r="AK14" i="19"/>
  <c r="AJ14" i="19"/>
  <c r="AI14" i="19"/>
  <c r="AG14" i="19"/>
  <c r="AF14" i="19"/>
  <c r="AE14" i="19"/>
  <c r="AD14" i="19"/>
  <c r="AC14" i="19"/>
  <c r="AB14" i="19"/>
  <c r="AA14" i="19"/>
  <c r="X14" i="19"/>
  <c r="AM13" i="19"/>
  <c r="AL13" i="19"/>
  <c r="AK13" i="19"/>
  <c r="AJ13" i="19"/>
  <c r="AI13" i="19"/>
  <c r="AG13" i="19"/>
  <c r="AF13" i="19"/>
  <c r="AE13" i="19"/>
  <c r="AD13" i="19"/>
  <c r="AC13" i="19"/>
  <c r="AB13" i="19"/>
  <c r="X13" i="19"/>
  <c r="AM12" i="19"/>
  <c r="AL12" i="19"/>
  <c r="AK12" i="19"/>
  <c r="AI12" i="19"/>
  <c r="AG12" i="19"/>
  <c r="AF12" i="19"/>
  <c r="AE12" i="19"/>
  <c r="AD12" i="19"/>
  <c r="AC12" i="19"/>
  <c r="AB12" i="19"/>
  <c r="AA12" i="19"/>
  <c r="X12" i="19"/>
  <c r="AM11" i="19"/>
  <c r="AL11" i="19"/>
  <c r="AK11" i="19"/>
  <c r="AJ11" i="19"/>
  <c r="AI11" i="19"/>
  <c r="AG11" i="19"/>
  <c r="AF11" i="19"/>
  <c r="AE11" i="19"/>
  <c r="AD11" i="19"/>
  <c r="AC11" i="19"/>
  <c r="AB11" i="19"/>
  <c r="AA11" i="19"/>
  <c r="X11" i="19"/>
  <c r="AM10" i="19"/>
  <c r="AL10" i="19"/>
  <c r="AK10" i="19"/>
  <c r="AJ10" i="19"/>
  <c r="AG10" i="19"/>
  <c r="AD10" i="19"/>
  <c r="AC10" i="19"/>
  <c r="AB10" i="19"/>
  <c r="AA10" i="19"/>
  <c r="X10" i="19"/>
  <c r="AM9" i="19"/>
  <c r="AL9" i="19"/>
  <c r="AK9" i="19"/>
  <c r="AJ9" i="19"/>
  <c r="AI9" i="19"/>
  <c r="AG9" i="19"/>
  <c r="AF9" i="19"/>
  <c r="AE9" i="19"/>
  <c r="AD9" i="19"/>
  <c r="AC9" i="19"/>
  <c r="AB9" i="19"/>
  <c r="AA9" i="19"/>
  <c r="X9" i="19"/>
  <c r="AM8" i="19"/>
  <c r="AL8" i="19"/>
  <c r="AK8" i="19"/>
  <c r="AJ8" i="19"/>
  <c r="AI8" i="19"/>
  <c r="AG8" i="19"/>
  <c r="AF8" i="19"/>
  <c r="AE8" i="19"/>
  <c r="AD8" i="19"/>
  <c r="AC8" i="19"/>
  <c r="AB8" i="19"/>
  <c r="AA8" i="19"/>
  <c r="AM7" i="19"/>
  <c r="AL7" i="19"/>
  <c r="AK7" i="19"/>
  <c r="AJ7" i="19"/>
  <c r="AG7" i="19"/>
  <c r="AF7" i="19"/>
  <c r="AE7" i="19"/>
  <c r="AD7" i="19"/>
  <c r="AC7" i="19"/>
  <c r="AB7" i="19"/>
  <c r="AA7" i="19"/>
  <c r="X7" i="19"/>
  <c r="AM6" i="19"/>
  <c r="AL6" i="19"/>
  <c r="AK6" i="19"/>
  <c r="AJ6" i="19"/>
  <c r="AG6" i="19"/>
  <c r="AF6" i="19"/>
  <c r="AE6" i="19"/>
  <c r="AD6" i="19"/>
  <c r="AC6" i="19"/>
  <c r="AB6" i="19"/>
  <c r="AL5" i="19"/>
  <c r="AK5" i="19"/>
  <c r="AJ5" i="19"/>
  <c r="AI5" i="19"/>
  <c r="AG5" i="19"/>
  <c r="AF5" i="19"/>
  <c r="AE5" i="19"/>
  <c r="AD5" i="19"/>
  <c r="AC5" i="19"/>
  <c r="AB5" i="19"/>
  <c r="AA5" i="19"/>
  <c r="X5" i="19"/>
  <c r="AM4" i="19"/>
  <c r="AL4" i="19"/>
  <c r="AK4" i="19"/>
  <c r="AJ4" i="19"/>
  <c r="AG4" i="19"/>
  <c r="AF4" i="19"/>
  <c r="AE4" i="19"/>
  <c r="AD4" i="19"/>
  <c r="AC4" i="19"/>
  <c r="AB4" i="19"/>
  <c r="X4" i="19"/>
  <c r="H14" i="28" l="1"/>
  <c r="H17" i="28"/>
  <c r="H755" i="28"/>
  <c r="H763" i="28"/>
  <c r="H771" i="28"/>
  <c r="H779" i="28"/>
  <c r="H787" i="28"/>
  <c r="H795" i="28"/>
  <c r="H4" i="28"/>
  <c r="H8" i="28"/>
  <c r="H12" i="28"/>
  <c r="H16" i="28"/>
  <c r="H20" i="28"/>
  <c r="H24" i="28"/>
  <c r="H28" i="28"/>
  <c r="H32" i="28"/>
  <c r="H36" i="28"/>
  <c r="H40" i="28"/>
  <c r="H44" i="28"/>
  <c r="H48" i="28"/>
  <c r="H52" i="28"/>
  <c r="H56" i="28"/>
  <c r="H60" i="28"/>
  <c r="H64" i="28"/>
  <c r="H68" i="28"/>
  <c r="H72" i="28"/>
  <c r="H76" i="28"/>
  <c r="H80" i="28"/>
  <c r="H84" i="28"/>
  <c r="H88" i="28"/>
  <c r="H92" i="28"/>
  <c r="H96" i="28"/>
  <c r="H100" i="28"/>
  <c r="H104" i="28"/>
  <c r="H108" i="28"/>
  <c r="H112" i="28"/>
  <c r="H116" i="28"/>
  <c r="H120" i="28"/>
  <c r="H124" i="28"/>
  <c r="H128" i="28"/>
  <c r="H132" i="28"/>
  <c r="H136" i="28"/>
  <c r="H140" i="28"/>
  <c r="H144" i="28"/>
  <c r="H148" i="28"/>
  <c r="H152" i="28"/>
  <c r="H619" i="28"/>
  <c r="H623" i="28"/>
  <c r="H627" i="28"/>
  <c r="H631" i="28"/>
  <c r="H635" i="28"/>
  <c r="H639" i="28"/>
  <c r="H643" i="28"/>
  <c r="H647" i="28"/>
  <c r="H651" i="28"/>
  <c r="H655" i="28"/>
  <c r="H659" i="28"/>
  <c r="H663" i="28"/>
  <c r="H667" i="28"/>
  <c r="H671" i="28"/>
  <c r="H675" i="28"/>
  <c r="H679" i="28"/>
  <c r="H683" i="28"/>
  <c r="H687" i="28"/>
  <c r="H691" i="28"/>
  <c r="H695" i="28"/>
  <c r="H699" i="28"/>
  <c r="H703" i="28"/>
  <c r="H707" i="28"/>
  <c r="H711" i="28"/>
  <c r="H715" i="28"/>
  <c r="H719" i="28"/>
  <c r="H756" i="28"/>
  <c r="H764" i="28"/>
  <c r="H772" i="28"/>
  <c r="H780" i="28"/>
  <c r="H788" i="28"/>
  <c r="H796" i="28"/>
  <c r="H156" i="28"/>
  <c r="H160" i="28"/>
  <c r="H164" i="28"/>
  <c r="H168" i="28"/>
  <c r="H172" i="28"/>
  <c r="H176" i="28"/>
  <c r="H180" i="28"/>
  <c r="H184" i="28"/>
  <c r="H188" i="28"/>
  <c r="H192" i="28"/>
  <c r="H196" i="28"/>
  <c r="H200" i="28"/>
  <c r="H204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280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757" i="28"/>
  <c r="H765" i="28"/>
  <c r="H773" i="28"/>
  <c r="H781" i="28"/>
  <c r="H789" i="28"/>
  <c r="H797" i="28"/>
  <c r="H5" i="28"/>
  <c r="H9" i="28"/>
  <c r="H13" i="28"/>
  <c r="H21" i="28"/>
  <c r="H25" i="28"/>
  <c r="H29" i="28"/>
  <c r="H33" i="28"/>
  <c r="H37" i="28"/>
  <c r="H41" i="28"/>
  <c r="H45" i="28"/>
  <c r="H49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105" i="28"/>
  <c r="H109" i="28"/>
  <c r="H113" i="28"/>
  <c r="H117" i="28"/>
  <c r="H121" i="28"/>
  <c r="H125" i="28"/>
  <c r="H129" i="28"/>
  <c r="H133" i="28"/>
  <c r="H137" i="28"/>
  <c r="H141" i="28"/>
  <c r="H145" i="28"/>
  <c r="H149" i="28"/>
  <c r="H153" i="28"/>
  <c r="H620" i="28"/>
  <c r="H624" i="28"/>
  <c r="H628" i="28"/>
  <c r="H632" i="28"/>
  <c r="H636" i="28"/>
  <c r="H640" i="28"/>
  <c r="H644" i="28"/>
  <c r="H648" i="28"/>
  <c r="H652" i="28"/>
  <c r="H656" i="28"/>
  <c r="H660" i="28"/>
  <c r="H664" i="28"/>
  <c r="H668" i="28"/>
  <c r="H672" i="28"/>
  <c r="H676" i="28"/>
  <c r="H680" i="28"/>
  <c r="H684" i="28"/>
  <c r="H688" i="28"/>
  <c r="H692" i="28"/>
  <c r="H696" i="28"/>
  <c r="H700" i="28"/>
  <c r="H704" i="28"/>
  <c r="H708" i="28"/>
  <c r="H712" i="28"/>
  <c r="H716" i="28"/>
  <c r="H720" i="28"/>
  <c r="H758" i="28"/>
  <c r="H766" i="28"/>
  <c r="H774" i="28"/>
  <c r="H782" i="28"/>
  <c r="H790" i="28"/>
  <c r="H798" i="28"/>
  <c r="H157" i="28"/>
  <c r="H161" i="28"/>
  <c r="H165" i="28"/>
  <c r="H169" i="28"/>
  <c r="H173" i="28"/>
  <c r="H177" i="28"/>
  <c r="H181" i="28"/>
  <c r="H185" i="28"/>
  <c r="H189" i="28"/>
  <c r="H193" i="28"/>
  <c r="H197" i="28"/>
  <c r="H201" i="28"/>
  <c r="H205" i="28"/>
  <c r="H209" i="28"/>
  <c r="H213" i="28"/>
  <c r="H217" i="28"/>
  <c r="H221" i="28"/>
  <c r="H225" i="28"/>
  <c r="H229" i="28"/>
  <c r="H233" i="28"/>
  <c r="H237" i="28"/>
  <c r="H241" i="28"/>
  <c r="H245" i="28"/>
  <c r="H249" i="28"/>
  <c r="H253" i="28"/>
  <c r="H257" i="28"/>
  <c r="H261" i="28"/>
  <c r="H265" i="28"/>
  <c r="H269" i="28"/>
  <c r="H273" i="28"/>
  <c r="H277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759" i="28"/>
  <c r="H767" i="28"/>
  <c r="H775" i="28"/>
  <c r="H783" i="28"/>
  <c r="H791" i="28"/>
  <c r="H799" i="28"/>
  <c r="H6" i="28"/>
  <c r="H10" i="28"/>
  <c r="H18" i="28"/>
  <c r="H22" i="28"/>
  <c r="H26" i="28"/>
  <c r="H30" i="28"/>
  <c r="H34" i="28"/>
  <c r="H38" i="28"/>
  <c r="H42" i="28"/>
  <c r="H46" i="28"/>
  <c r="H50" i="28"/>
  <c r="H54" i="28"/>
  <c r="H58" i="28"/>
  <c r="H62" i="28"/>
  <c r="H66" i="28"/>
  <c r="H70" i="28"/>
  <c r="H74" i="28"/>
  <c r="H78" i="28"/>
  <c r="H82" i="28"/>
  <c r="H86" i="28"/>
  <c r="H90" i="28"/>
  <c r="H94" i="28"/>
  <c r="H98" i="28"/>
  <c r="H102" i="28"/>
  <c r="H106" i="28"/>
  <c r="H110" i="28"/>
  <c r="H114" i="28"/>
  <c r="H118" i="28"/>
  <c r="H122" i="28"/>
  <c r="H126" i="28"/>
  <c r="H130" i="28"/>
  <c r="H134" i="28"/>
  <c r="H138" i="28"/>
  <c r="H142" i="28"/>
  <c r="H146" i="28"/>
  <c r="H150" i="28"/>
  <c r="H154" i="28"/>
  <c r="H621" i="28"/>
  <c r="H625" i="28"/>
  <c r="H629" i="28"/>
  <c r="H633" i="28"/>
  <c r="H637" i="28"/>
  <c r="H641" i="28"/>
  <c r="H645" i="28"/>
  <c r="H649" i="28"/>
  <c r="H653" i="28"/>
  <c r="H657" i="28"/>
  <c r="H661" i="28"/>
  <c r="H665" i="28"/>
  <c r="H669" i="28"/>
  <c r="H673" i="28"/>
  <c r="H677" i="28"/>
  <c r="H681" i="28"/>
  <c r="H685" i="28"/>
  <c r="H689" i="28"/>
  <c r="H693" i="28"/>
  <c r="H697" i="28"/>
  <c r="H701" i="28"/>
  <c r="H705" i="28"/>
  <c r="H709" i="28"/>
  <c r="H713" i="28"/>
  <c r="H717" i="28"/>
  <c r="H721" i="28"/>
  <c r="H760" i="28"/>
  <c r="H768" i="28"/>
  <c r="H776" i="28"/>
  <c r="H784" i="28"/>
  <c r="H792" i="28"/>
  <c r="H800" i="28"/>
  <c r="H158" i="28"/>
  <c r="H162" i="28"/>
  <c r="H166" i="28"/>
  <c r="H170" i="28"/>
  <c r="H174" i="28"/>
  <c r="H178" i="28"/>
  <c r="H182" i="28"/>
  <c r="H186" i="28"/>
  <c r="H190" i="28"/>
  <c r="H194" i="28"/>
  <c r="H198" i="28"/>
  <c r="H202" i="28"/>
  <c r="H206" i="28"/>
  <c r="H210" i="28"/>
  <c r="H214" i="28"/>
  <c r="H218" i="28"/>
  <c r="H222" i="28"/>
  <c r="H226" i="28"/>
  <c r="H230" i="28"/>
  <c r="H234" i="28"/>
  <c r="H238" i="28"/>
  <c r="H242" i="28"/>
  <c r="H246" i="28"/>
  <c r="H250" i="28"/>
  <c r="H254" i="28"/>
  <c r="H258" i="28"/>
  <c r="H262" i="28"/>
  <c r="H266" i="28"/>
  <c r="H270" i="28"/>
  <c r="H274" i="28"/>
  <c r="H278" i="28"/>
  <c r="H282" i="28"/>
  <c r="H286" i="28"/>
  <c r="H290" i="28"/>
  <c r="H294" i="28"/>
  <c r="H298" i="28"/>
  <c r="H302" i="28"/>
  <c r="H306" i="28"/>
  <c r="H310" i="28"/>
  <c r="H314" i="28"/>
  <c r="H318" i="28"/>
  <c r="H322" i="28"/>
  <c r="H326" i="28"/>
  <c r="H330" i="28"/>
  <c r="H334" i="28"/>
  <c r="H338" i="28"/>
  <c r="H342" i="28"/>
  <c r="H346" i="28"/>
  <c r="H350" i="28"/>
  <c r="H354" i="28"/>
  <c r="H358" i="28"/>
  <c r="H362" i="28"/>
  <c r="H366" i="28"/>
  <c r="H370" i="28"/>
  <c r="H374" i="28"/>
  <c r="H378" i="28"/>
  <c r="H382" i="28"/>
  <c r="H386" i="28"/>
  <c r="H390" i="28"/>
  <c r="H394" i="28"/>
  <c r="H398" i="28"/>
  <c r="H402" i="28"/>
  <c r="H406" i="28"/>
  <c r="H410" i="28"/>
  <c r="H414" i="28"/>
  <c r="H418" i="28"/>
  <c r="H422" i="28"/>
  <c r="H426" i="28"/>
  <c r="H430" i="28"/>
  <c r="H434" i="28"/>
  <c r="H438" i="28"/>
  <c r="H442" i="28"/>
  <c r="H446" i="28"/>
  <c r="H450" i="28"/>
  <c r="H454" i="28"/>
  <c r="H458" i="28"/>
  <c r="H761" i="28"/>
  <c r="H769" i="28"/>
  <c r="H777" i="28"/>
  <c r="H785" i="28"/>
  <c r="H793" i="28"/>
  <c r="H801" i="28"/>
  <c r="H7" i="28"/>
  <c r="H11" i="28"/>
  <c r="H15" i="28"/>
  <c r="H19" i="28"/>
  <c r="H23" i="28"/>
  <c r="H27" i="28"/>
  <c r="H31" i="28"/>
  <c r="H35" i="28"/>
  <c r="H39" i="28"/>
  <c r="H43" i="28"/>
  <c r="H47" i="28"/>
  <c r="H51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103" i="28"/>
  <c r="H107" i="28"/>
  <c r="H111" i="28"/>
  <c r="H115" i="28"/>
  <c r="H119" i="28"/>
  <c r="H123" i="28"/>
  <c r="H127" i="28"/>
  <c r="H131" i="28"/>
  <c r="H135" i="28"/>
  <c r="H139" i="28"/>
  <c r="H143" i="28"/>
  <c r="H147" i="28"/>
  <c r="H151" i="28"/>
  <c r="H155" i="28"/>
  <c r="H622" i="28"/>
  <c r="H626" i="28"/>
  <c r="H630" i="28"/>
  <c r="H634" i="28"/>
  <c r="H638" i="28"/>
  <c r="H642" i="28"/>
  <c r="H646" i="28"/>
  <c r="H650" i="28"/>
  <c r="H654" i="28"/>
  <c r="H658" i="28"/>
  <c r="H662" i="28"/>
  <c r="H666" i="28"/>
  <c r="H670" i="28"/>
  <c r="H674" i="28"/>
  <c r="H678" i="28"/>
  <c r="H682" i="28"/>
  <c r="H686" i="28"/>
  <c r="H690" i="28"/>
  <c r="H694" i="28"/>
  <c r="H698" i="28"/>
  <c r="H702" i="28"/>
  <c r="H706" i="28"/>
  <c r="H710" i="28"/>
  <c r="H714" i="28"/>
  <c r="H718" i="28"/>
  <c r="H722" i="28"/>
  <c r="H762" i="28"/>
  <c r="H183" i="28"/>
  <c r="H215" i="28"/>
  <c r="H247" i="28"/>
  <c r="H279" i="28"/>
  <c r="H311" i="28"/>
  <c r="H343" i="28"/>
  <c r="H375" i="28"/>
  <c r="H407" i="28"/>
  <c r="H439" i="28"/>
  <c r="H725" i="28"/>
  <c r="H729" i="28"/>
  <c r="H733" i="28"/>
  <c r="H737" i="28"/>
  <c r="H741" i="28"/>
  <c r="H745" i="28"/>
  <c r="H749" i="28"/>
  <c r="H753" i="28"/>
  <c r="H534" i="28"/>
  <c r="H542" i="28"/>
  <c r="H554" i="28"/>
  <c r="H562" i="28"/>
  <c r="H570" i="28"/>
  <c r="H578" i="28"/>
  <c r="H586" i="28"/>
  <c r="H594" i="28"/>
  <c r="H606" i="28"/>
  <c r="H614" i="28"/>
  <c r="H742" i="28"/>
  <c r="H754" i="28"/>
  <c r="H579" i="28"/>
  <c r="H591" i="28"/>
  <c r="H770" i="28"/>
  <c r="H171" i="28"/>
  <c r="H203" i="28"/>
  <c r="H235" i="28"/>
  <c r="H267" i="28"/>
  <c r="H299" i="28"/>
  <c r="H331" i="28"/>
  <c r="H363" i="28"/>
  <c r="H395" i="28"/>
  <c r="H427" i="28"/>
  <c r="H459" i="28"/>
  <c r="H470" i="28"/>
  <c r="H474" i="28"/>
  <c r="H478" i="28"/>
  <c r="H482" i="28"/>
  <c r="H486" i="28"/>
  <c r="H490" i="28"/>
  <c r="H494" i="28"/>
  <c r="H498" i="28"/>
  <c r="H502" i="28"/>
  <c r="H506" i="28"/>
  <c r="H510" i="28"/>
  <c r="H514" i="28"/>
  <c r="H518" i="28"/>
  <c r="H522" i="28"/>
  <c r="H526" i="28"/>
  <c r="H530" i="28"/>
  <c r="H538" i="28"/>
  <c r="H546" i="28"/>
  <c r="H550" i="28"/>
  <c r="H558" i="28"/>
  <c r="H566" i="28"/>
  <c r="H574" i="28"/>
  <c r="H582" i="28"/>
  <c r="H590" i="28"/>
  <c r="H598" i="28"/>
  <c r="H602" i="28"/>
  <c r="H610" i="28"/>
  <c r="H618" i="28"/>
  <c r="H746" i="28"/>
  <c r="H567" i="28"/>
  <c r="H583" i="28"/>
  <c r="H595" i="28"/>
  <c r="H778" i="28"/>
  <c r="H159" i="28"/>
  <c r="H191" i="28"/>
  <c r="H223" i="28"/>
  <c r="H255" i="28"/>
  <c r="H287" i="28"/>
  <c r="H319" i="28"/>
  <c r="H351" i="28"/>
  <c r="H383" i="28"/>
  <c r="H415" i="28"/>
  <c r="H447" i="28"/>
  <c r="H726" i="28"/>
  <c r="H730" i="28"/>
  <c r="H734" i="28"/>
  <c r="H738" i="28"/>
  <c r="H750" i="28"/>
  <c r="H575" i="28"/>
  <c r="H607" i="28"/>
  <c r="H786" i="28"/>
  <c r="H179" i="28"/>
  <c r="H211" i="28"/>
  <c r="H243" i="28"/>
  <c r="H275" i="28"/>
  <c r="H307" i="28"/>
  <c r="H339" i="28"/>
  <c r="H371" i="28"/>
  <c r="H403" i="28"/>
  <c r="H435" i="28"/>
  <c r="H466" i="28"/>
  <c r="H471" i="28"/>
  <c r="H475" i="28"/>
  <c r="H479" i="28"/>
  <c r="H483" i="28"/>
  <c r="H487" i="28"/>
  <c r="H491" i="28"/>
  <c r="H495" i="28"/>
  <c r="H499" i="28"/>
  <c r="H503" i="28"/>
  <c r="H507" i="28"/>
  <c r="H511" i="28"/>
  <c r="H515" i="28"/>
  <c r="H519" i="28"/>
  <c r="H523" i="28"/>
  <c r="H527" i="28"/>
  <c r="H531" i="28"/>
  <c r="H535" i="28"/>
  <c r="H539" i="28"/>
  <c r="H543" i="28"/>
  <c r="H547" i="28"/>
  <c r="H551" i="28"/>
  <c r="H555" i="28"/>
  <c r="H559" i="28"/>
  <c r="H563" i="28"/>
  <c r="H571" i="28"/>
  <c r="H587" i="28"/>
  <c r="H611" i="28"/>
  <c r="H794" i="28"/>
  <c r="H167" i="28"/>
  <c r="H199" i="28"/>
  <c r="H231" i="28"/>
  <c r="H263" i="28"/>
  <c r="H295" i="28"/>
  <c r="H327" i="28"/>
  <c r="H359" i="28"/>
  <c r="H391" i="28"/>
  <c r="H423" i="28"/>
  <c r="H455" i="28"/>
  <c r="H723" i="28"/>
  <c r="H727" i="28"/>
  <c r="H731" i="28"/>
  <c r="H735" i="28"/>
  <c r="H739" i="28"/>
  <c r="H743" i="28"/>
  <c r="H747" i="28"/>
  <c r="H751" i="28"/>
  <c r="H532" i="28"/>
  <c r="H544" i="28"/>
  <c r="H552" i="28"/>
  <c r="H560" i="28"/>
  <c r="H568" i="28"/>
  <c r="H576" i="28"/>
  <c r="H584" i="28"/>
  <c r="H592" i="28"/>
  <c r="H604" i="28"/>
  <c r="H612" i="28"/>
  <c r="H577" i="28"/>
  <c r="H593" i="28"/>
  <c r="H609" i="28"/>
  <c r="H599" i="28"/>
  <c r="H802" i="28"/>
  <c r="H187" i="28"/>
  <c r="H219" i="28"/>
  <c r="H251" i="28"/>
  <c r="H283" i="28"/>
  <c r="H315" i="28"/>
  <c r="H347" i="28"/>
  <c r="H379" i="28"/>
  <c r="H411" i="28"/>
  <c r="H443" i="28"/>
  <c r="H462" i="28"/>
  <c r="H467" i="28"/>
  <c r="H472" i="28"/>
  <c r="H476" i="28"/>
  <c r="H480" i="28"/>
  <c r="H484" i="28"/>
  <c r="H488" i="28"/>
  <c r="H492" i="28"/>
  <c r="H496" i="28"/>
  <c r="H500" i="28"/>
  <c r="H504" i="28"/>
  <c r="H508" i="28"/>
  <c r="H512" i="28"/>
  <c r="H516" i="28"/>
  <c r="H520" i="28"/>
  <c r="H524" i="28"/>
  <c r="H528" i="28"/>
  <c r="H536" i="28"/>
  <c r="H540" i="28"/>
  <c r="H548" i="28"/>
  <c r="H556" i="28"/>
  <c r="H564" i="28"/>
  <c r="H572" i="28"/>
  <c r="H580" i="28"/>
  <c r="H588" i="28"/>
  <c r="H596" i="28"/>
  <c r="H600" i="28"/>
  <c r="H608" i="28"/>
  <c r="H616" i="28"/>
  <c r="H581" i="28"/>
  <c r="H597" i="28"/>
  <c r="H613" i="28"/>
  <c r="H603" i="28"/>
  <c r="H175" i="28"/>
  <c r="H207" i="28"/>
  <c r="H239" i="28"/>
  <c r="H271" i="28"/>
  <c r="H303" i="28"/>
  <c r="H335" i="28"/>
  <c r="H367" i="28"/>
  <c r="H399" i="28"/>
  <c r="H431" i="28"/>
  <c r="H724" i="28"/>
  <c r="H728" i="28"/>
  <c r="H732" i="28"/>
  <c r="H736" i="28"/>
  <c r="H740" i="28"/>
  <c r="H744" i="28"/>
  <c r="H748" i="28"/>
  <c r="H752" i="28"/>
  <c r="H513" i="28"/>
  <c r="H525" i="28"/>
  <c r="H533" i="28"/>
  <c r="H541" i="28"/>
  <c r="H549" i="28"/>
  <c r="H561" i="28"/>
  <c r="H569" i="28"/>
  <c r="H585" i="28"/>
  <c r="H605" i="28"/>
  <c r="H615" i="28"/>
  <c r="H163" i="28"/>
  <c r="H195" i="28"/>
  <c r="H227" i="28"/>
  <c r="H259" i="28"/>
  <c r="H291" i="28"/>
  <c r="H323" i="28"/>
  <c r="H355" i="28"/>
  <c r="H387" i="28"/>
  <c r="H419" i="28"/>
  <c r="H451" i="28"/>
  <c r="H463" i="28"/>
  <c r="H473" i="28"/>
  <c r="H477" i="28"/>
  <c r="H481" i="28"/>
  <c r="H485" i="28"/>
  <c r="H489" i="28"/>
  <c r="H493" i="28"/>
  <c r="H497" i="28"/>
  <c r="H501" i="28"/>
  <c r="H505" i="28"/>
  <c r="H509" i="28"/>
  <c r="H517" i="28"/>
  <c r="H521" i="28"/>
  <c r="H529" i="28"/>
  <c r="H537" i="28"/>
  <c r="H545" i="28"/>
  <c r="H553" i="28"/>
  <c r="H557" i="28"/>
  <c r="H565" i="28"/>
  <c r="H573" i="28"/>
  <c r="H589" i="28"/>
  <c r="H601" i="28"/>
  <c r="H617" i="28"/>
  <c r="AN6" i="19" l="1"/>
  <c r="AP6" i="19" s="1"/>
  <c r="AO6" i="19" s="1"/>
  <c r="AN78" i="19"/>
  <c r="AP78" i="19" s="1"/>
  <c r="AO78" i="19" s="1"/>
  <c r="AN60" i="19"/>
  <c r="AP60" i="19" s="1"/>
  <c r="AO60" i="19" s="1"/>
  <c r="AN126" i="19"/>
  <c r="AP126" i="19" s="1"/>
  <c r="AO126" i="19" s="1"/>
  <c r="AN30" i="19"/>
  <c r="AP30" i="19" s="1"/>
  <c r="AO30" i="19" s="1"/>
  <c r="AN53" i="19"/>
  <c r="AP53" i="19" s="1"/>
  <c r="AO53" i="19" s="1"/>
  <c r="AN119" i="19"/>
  <c r="AP119" i="19" s="1"/>
  <c r="AO119" i="19" s="1"/>
  <c r="AN254" i="19"/>
  <c r="AP254" i="19" s="1"/>
  <c r="AO254" i="19" s="1"/>
  <c r="AN23" i="19"/>
  <c r="AN173" i="19"/>
  <c r="AP173" i="19" s="1"/>
  <c r="AO173" i="19" s="1"/>
  <c r="AN284" i="19"/>
  <c r="AP284" i="19" s="1"/>
  <c r="AO284" i="19" s="1"/>
  <c r="AN64" i="19"/>
  <c r="AP64" i="19" s="1"/>
  <c r="AO64" i="19" s="1"/>
  <c r="AN176" i="19"/>
  <c r="AP176" i="19" s="1"/>
  <c r="AO176" i="19" s="1"/>
  <c r="AN33" i="19"/>
  <c r="AP33" i="19" s="1"/>
  <c r="AO33" i="19" s="1"/>
  <c r="AN97" i="19"/>
  <c r="AP97" i="19" s="1"/>
  <c r="AO97" i="19" s="1"/>
  <c r="AN531" i="19"/>
  <c r="AP531" i="19" s="1"/>
  <c r="AO531" i="19" s="1"/>
  <c r="AN467" i="19"/>
  <c r="AP467" i="19" s="1"/>
  <c r="AO467" i="19" s="1"/>
  <c r="AN403" i="19"/>
  <c r="AP403" i="19" s="1"/>
  <c r="AO403" i="19" s="1"/>
  <c r="AN546" i="19"/>
  <c r="AP546" i="19" s="1"/>
  <c r="AO546" i="19" s="1"/>
  <c r="AN482" i="19"/>
  <c r="AP482" i="19" s="1"/>
  <c r="AO482" i="19" s="1"/>
  <c r="AN418" i="19"/>
  <c r="AP418" i="19" s="1"/>
  <c r="AO418" i="19" s="1"/>
  <c r="AN553" i="19"/>
  <c r="AP553" i="19" s="1"/>
  <c r="AO553" i="19" s="1"/>
  <c r="AN489" i="19"/>
  <c r="AP489" i="19" s="1"/>
  <c r="AO489" i="19" s="1"/>
  <c r="AN425" i="19"/>
  <c r="AP425" i="19" s="1"/>
  <c r="AO425" i="19" s="1"/>
  <c r="AN592" i="19"/>
  <c r="AN528" i="19"/>
  <c r="AP528" i="19" s="1"/>
  <c r="AO528" i="19" s="1"/>
  <c r="AN464" i="19"/>
  <c r="AP464" i="19" s="1"/>
  <c r="AO464" i="19" s="1"/>
  <c r="AN567" i="19"/>
  <c r="AN503" i="19"/>
  <c r="AP503" i="19" s="1"/>
  <c r="AO503" i="19" s="1"/>
  <c r="AN439" i="19"/>
  <c r="AP439" i="19" s="1"/>
  <c r="AO439" i="19" s="1"/>
  <c r="AN589" i="19"/>
  <c r="AN525" i="19"/>
  <c r="AP525" i="19" s="1"/>
  <c r="AO525" i="19" s="1"/>
  <c r="AN461" i="19"/>
  <c r="AP461" i="19" s="1"/>
  <c r="AO461" i="19" s="1"/>
  <c r="AN397" i="19"/>
  <c r="AP397" i="19" s="1"/>
  <c r="AO397" i="19" s="1"/>
  <c r="AN398" i="19"/>
  <c r="AP398" i="19" s="1"/>
  <c r="AO398" i="19" s="1"/>
  <c r="AN315" i="19"/>
  <c r="AP315" i="19" s="1"/>
  <c r="AO315" i="19" s="1"/>
  <c r="AN556" i="19"/>
  <c r="AP556" i="19" s="1"/>
  <c r="AO556" i="19" s="1"/>
  <c r="AN346" i="19"/>
  <c r="AP346" i="19" s="1"/>
  <c r="AO346" i="19" s="1"/>
  <c r="AN282" i="19"/>
  <c r="AP282" i="19" s="1"/>
  <c r="AO282" i="19" s="1"/>
  <c r="AN370" i="19"/>
  <c r="AP370" i="19" s="1"/>
  <c r="AO370" i="19" s="1"/>
  <c r="AN305" i="19"/>
  <c r="AP305" i="19" s="1"/>
  <c r="AO305" i="19" s="1"/>
  <c r="AN532" i="19"/>
  <c r="AP532" i="19" s="1"/>
  <c r="AO532" i="19" s="1"/>
  <c r="AN360" i="19"/>
  <c r="AP360" i="19" s="1"/>
  <c r="AO360" i="19" s="1"/>
  <c r="AN296" i="19"/>
  <c r="AP296" i="19" s="1"/>
  <c r="AO296" i="19" s="1"/>
  <c r="AN430" i="19"/>
  <c r="AP430" i="19" s="1"/>
  <c r="AO430" i="19" s="1"/>
  <c r="AN351" i="19"/>
  <c r="AP351" i="19" s="1"/>
  <c r="AO351" i="19" s="1"/>
  <c r="AN287" i="19"/>
  <c r="AP287" i="19" s="1"/>
  <c r="AO287" i="19" s="1"/>
  <c r="AN414" i="19"/>
  <c r="AP414" i="19" s="1"/>
  <c r="AO414" i="19" s="1"/>
  <c r="AN333" i="19"/>
  <c r="AP333" i="19" s="1"/>
  <c r="AO333" i="19" s="1"/>
  <c r="AN269" i="19"/>
  <c r="AP269" i="19" s="1"/>
  <c r="AO269" i="19" s="1"/>
  <c r="AN245" i="19"/>
  <c r="AP245" i="19" s="1"/>
  <c r="AO245" i="19" s="1"/>
  <c r="AN181" i="19"/>
  <c r="AP181" i="19" s="1"/>
  <c r="AO181" i="19" s="1"/>
  <c r="AN364" i="19"/>
  <c r="AP364" i="19" s="1"/>
  <c r="AO364" i="19" s="1"/>
  <c r="AN212" i="19"/>
  <c r="AP212" i="19" s="1"/>
  <c r="AO212" i="19" s="1"/>
  <c r="AN148" i="19"/>
  <c r="AP148" i="19" s="1"/>
  <c r="AO148" i="19" s="1"/>
  <c r="AN334" i="19"/>
  <c r="AP334" i="19" s="1"/>
  <c r="AO334" i="19" s="1"/>
  <c r="AN219" i="19"/>
  <c r="AP219" i="19" s="1"/>
  <c r="AO219" i="19" s="1"/>
  <c r="AN155" i="19"/>
  <c r="AP155" i="19" s="1"/>
  <c r="AO155" i="19" s="1"/>
  <c r="AN308" i="19"/>
  <c r="AP308" i="19" s="1"/>
  <c r="AO308" i="19" s="1"/>
  <c r="AN259" i="19"/>
  <c r="AP259" i="19" s="1"/>
  <c r="AO259" i="19" s="1"/>
  <c r="AN217" i="19"/>
  <c r="AP217" i="19" s="1"/>
  <c r="AO217" i="19" s="1"/>
  <c r="AN452" i="19"/>
  <c r="AP452" i="19" s="1"/>
  <c r="AO452" i="19" s="1"/>
  <c r="AN249" i="19"/>
  <c r="AP249" i="19" s="1"/>
  <c r="AO249" i="19" s="1"/>
  <c r="AN185" i="19"/>
  <c r="AP185" i="19" s="1"/>
  <c r="AO185" i="19" s="1"/>
  <c r="AN121" i="19"/>
  <c r="AP121" i="19" s="1"/>
  <c r="AO121" i="19" s="1"/>
  <c r="AN255" i="19"/>
  <c r="AP255" i="19" s="1"/>
  <c r="AO255" i="19" s="1"/>
  <c r="AN191" i="19"/>
  <c r="AP191" i="19" s="1"/>
  <c r="AO191" i="19" s="1"/>
  <c r="AN396" i="19"/>
  <c r="AP396" i="19" s="1"/>
  <c r="AO396" i="19" s="1"/>
  <c r="AN10" i="19"/>
  <c r="AP10" i="19" s="1"/>
  <c r="AO10" i="19" s="1"/>
  <c r="AN74" i="19"/>
  <c r="AP74" i="19" s="1"/>
  <c r="AO74" i="19" s="1"/>
  <c r="AN86" i="19"/>
  <c r="AP86" i="19" s="1"/>
  <c r="AO86" i="19" s="1"/>
  <c r="AN43" i="19"/>
  <c r="AP43" i="19" s="1"/>
  <c r="AO43" i="19" s="1"/>
  <c r="AN107" i="19"/>
  <c r="AP107" i="19" s="1"/>
  <c r="AO107" i="19" s="1"/>
  <c r="AN4" i="19"/>
  <c r="AP4" i="19" s="1"/>
  <c r="AO4" i="19" s="1"/>
  <c r="AN68" i="19"/>
  <c r="AP68" i="19" s="1"/>
  <c r="AO68" i="19" s="1"/>
  <c r="AN143" i="19"/>
  <c r="AP143" i="19" s="1"/>
  <c r="AO143" i="19" s="1"/>
  <c r="AN120" i="19"/>
  <c r="AP120" i="19" s="1"/>
  <c r="AO120" i="19" s="1"/>
  <c r="AN61" i="19"/>
  <c r="AP61" i="19" s="1"/>
  <c r="AO61" i="19" s="1"/>
  <c r="AN127" i="19"/>
  <c r="AP127" i="19" s="1"/>
  <c r="AO127" i="19" s="1"/>
  <c r="AN276" i="19"/>
  <c r="AP276" i="19" s="1"/>
  <c r="AO276" i="19" s="1"/>
  <c r="AN31" i="19"/>
  <c r="AP31" i="19" s="1"/>
  <c r="AO31" i="19" s="1"/>
  <c r="AN95" i="19"/>
  <c r="AP95" i="19" s="1"/>
  <c r="AO95" i="19" s="1"/>
  <c r="AN8" i="19"/>
  <c r="AP8" i="19" s="1"/>
  <c r="AO8" i="19" s="1"/>
  <c r="AN72" i="19"/>
  <c r="AP72" i="19" s="1"/>
  <c r="AO72" i="19" s="1"/>
  <c r="AN208" i="19"/>
  <c r="AP208" i="19" s="1"/>
  <c r="AO208" i="19" s="1"/>
  <c r="AN41" i="19"/>
  <c r="AP41" i="19" s="1"/>
  <c r="AO41" i="19" s="1"/>
  <c r="AN105" i="19"/>
  <c r="AP105" i="19" s="1"/>
  <c r="AO105" i="19" s="1"/>
  <c r="AN587" i="19"/>
  <c r="AN523" i="19"/>
  <c r="AP523" i="19" s="1"/>
  <c r="AO523" i="19" s="1"/>
  <c r="AN459" i="19"/>
  <c r="AP459" i="19" s="1"/>
  <c r="AO459" i="19" s="1"/>
  <c r="AN395" i="19"/>
  <c r="AP395" i="19" s="1"/>
  <c r="AO395" i="19" s="1"/>
  <c r="AN538" i="19"/>
  <c r="AP538" i="19" s="1"/>
  <c r="AO538" i="19" s="1"/>
  <c r="AN474" i="19"/>
  <c r="AP474" i="19" s="1"/>
  <c r="AO474" i="19" s="1"/>
  <c r="AN410" i="19"/>
  <c r="AP410" i="19" s="1"/>
  <c r="AO410" i="19" s="1"/>
  <c r="AN545" i="19"/>
  <c r="AP545" i="19" s="1"/>
  <c r="AO545" i="19" s="1"/>
  <c r="AN481" i="19"/>
  <c r="AP481" i="19" s="1"/>
  <c r="AO481" i="19" s="1"/>
  <c r="AN417" i="19"/>
  <c r="AP417" i="19" s="1"/>
  <c r="AO417" i="19" s="1"/>
  <c r="AN584" i="19"/>
  <c r="AN520" i="19"/>
  <c r="AP520" i="19" s="1"/>
  <c r="AO520" i="19" s="1"/>
  <c r="AN456" i="19"/>
  <c r="AP456" i="19" s="1"/>
  <c r="AO456" i="19" s="1"/>
  <c r="AN559" i="19"/>
  <c r="AP559" i="19" s="1"/>
  <c r="AO559" i="19" s="1"/>
  <c r="AN495" i="19"/>
  <c r="AP495" i="19" s="1"/>
  <c r="AO495" i="19" s="1"/>
  <c r="AN431" i="19"/>
  <c r="AP431" i="19" s="1"/>
  <c r="AO431" i="19" s="1"/>
  <c r="AN581" i="19"/>
  <c r="AN517" i="19"/>
  <c r="AP517" i="19" s="1"/>
  <c r="AO517" i="19" s="1"/>
  <c r="AN453" i="19"/>
  <c r="AP453" i="19" s="1"/>
  <c r="AO453" i="19" s="1"/>
  <c r="AN389" i="19"/>
  <c r="AP389" i="19" s="1"/>
  <c r="AO389" i="19" s="1"/>
  <c r="AN372" i="19"/>
  <c r="AP372" i="19" s="1"/>
  <c r="AO372" i="19" s="1"/>
  <c r="AN307" i="19"/>
  <c r="AP307" i="19" s="1"/>
  <c r="AO307" i="19" s="1"/>
  <c r="AN524" i="19"/>
  <c r="AP524" i="19" s="1"/>
  <c r="AO524" i="19" s="1"/>
  <c r="AN338" i="19"/>
  <c r="AP338" i="19" s="1"/>
  <c r="AO338" i="19" s="1"/>
  <c r="AN590" i="19"/>
  <c r="AN361" i="19"/>
  <c r="AP361" i="19" s="1"/>
  <c r="AO361" i="19" s="1"/>
  <c r="AN297" i="19"/>
  <c r="AP297" i="19" s="1"/>
  <c r="AO297" i="19" s="1"/>
  <c r="AN500" i="19"/>
  <c r="AP500" i="19" s="1"/>
  <c r="AO500" i="19" s="1"/>
  <c r="AN352" i="19"/>
  <c r="AP352" i="19" s="1"/>
  <c r="AO352" i="19" s="1"/>
  <c r="AN288" i="19"/>
  <c r="AP288" i="19" s="1"/>
  <c r="AO288" i="19" s="1"/>
  <c r="AN420" i="19"/>
  <c r="AP420" i="19" s="1"/>
  <c r="AO420" i="19" s="1"/>
  <c r="AN343" i="19"/>
  <c r="AP343" i="19" s="1"/>
  <c r="AO343" i="19" s="1"/>
  <c r="AN279" i="19"/>
  <c r="AP279" i="19" s="1"/>
  <c r="AO279" i="19" s="1"/>
  <c r="AN404" i="19"/>
  <c r="AP404" i="19" s="1"/>
  <c r="AO404" i="19" s="1"/>
  <c r="AN325" i="19"/>
  <c r="AP325" i="19" s="1"/>
  <c r="AO325" i="19" s="1"/>
  <c r="AN261" i="19"/>
  <c r="AP261" i="19" s="1"/>
  <c r="AO261" i="19" s="1"/>
  <c r="AN237" i="19"/>
  <c r="AP237" i="19" s="1"/>
  <c r="AO237" i="19" s="1"/>
  <c r="AN131" i="19"/>
  <c r="AP131" i="19" s="1"/>
  <c r="AO131" i="19" s="1"/>
  <c r="AN332" i="19"/>
  <c r="AP332" i="19" s="1"/>
  <c r="AO332" i="19" s="1"/>
  <c r="AN204" i="19"/>
  <c r="AP204" i="19" s="1"/>
  <c r="AO204" i="19" s="1"/>
  <c r="AN140" i="19"/>
  <c r="AP140" i="19" s="1"/>
  <c r="AO140" i="19" s="1"/>
  <c r="AN302" i="19"/>
  <c r="AP302" i="19" s="1"/>
  <c r="AO302" i="19" s="1"/>
  <c r="AN211" i="19"/>
  <c r="AP211" i="19" s="1"/>
  <c r="AO211" i="19" s="1"/>
  <c r="AN147" i="19"/>
  <c r="AP147" i="19" s="1"/>
  <c r="AO147" i="19" s="1"/>
  <c r="AN272" i="19"/>
  <c r="AP272" i="19" s="1"/>
  <c r="AO272" i="19" s="1"/>
  <c r="AN234" i="19"/>
  <c r="AP234" i="19" s="1"/>
  <c r="AO234" i="19" s="1"/>
  <c r="AN213" i="19"/>
  <c r="AP213" i="19" s="1"/>
  <c r="AO213" i="19" s="1"/>
  <c r="AN416" i="19"/>
  <c r="AP416" i="19" s="1"/>
  <c r="AO416" i="19" s="1"/>
  <c r="L516" i="28" s="1" a="1"/>
  <c r="L516" i="28" s="1"/>
  <c r="K516" i="28" s="1"/>
  <c r="AN241" i="19"/>
  <c r="AP241" i="19" s="1"/>
  <c r="AO241" i="19" s="1"/>
  <c r="AN177" i="19"/>
  <c r="AP177" i="19" s="1"/>
  <c r="AO177" i="19" s="1"/>
  <c r="AN516" i="19"/>
  <c r="AP516" i="19" s="1"/>
  <c r="AO516" i="19" s="1"/>
  <c r="AN247" i="19"/>
  <c r="AP247" i="19" s="1"/>
  <c r="AO247" i="19" s="1"/>
  <c r="AN183" i="19"/>
  <c r="AP183" i="19" s="1"/>
  <c r="AO183" i="19" s="1"/>
  <c r="AN376" i="19"/>
  <c r="AP376" i="19" s="1"/>
  <c r="AO376" i="19" s="1"/>
  <c r="AN18" i="19"/>
  <c r="AN82" i="19"/>
  <c r="AP82" i="19" s="1"/>
  <c r="AO82" i="19" s="1"/>
  <c r="AN168" i="19"/>
  <c r="AP168" i="19" s="1"/>
  <c r="AO168" i="19" s="1"/>
  <c r="AN94" i="19"/>
  <c r="AP94" i="19" s="1"/>
  <c r="AO94" i="19" s="1"/>
  <c r="AN51" i="19"/>
  <c r="AP51" i="19" s="1"/>
  <c r="AO51" i="19" s="1"/>
  <c r="AN117" i="19"/>
  <c r="AP117" i="19" s="1"/>
  <c r="AO117" i="19" s="1"/>
  <c r="AN373" i="19"/>
  <c r="AP373" i="19" s="1"/>
  <c r="AO373" i="19" s="1"/>
  <c r="AN12" i="19"/>
  <c r="AN76" i="19"/>
  <c r="AP76" i="19" s="1"/>
  <c r="AO76" i="19" s="1"/>
  <c r="AN144" i="19"/>
  <c r="AP144" i="19" s="1"/>
  <c r="AO144" i="19" s="1"/>
  <c r="AN5" i="19"/>
  <c r="AP5" i="19" s="1"/>
  <c r="AO5" i="19" s="1"/>
  <c r="AN69" i="19"/>
  <c r="AP69" i="19" s="1"/>
  <c r="AO69" i="19" s="1"/>
  <c r="AN128" i="19"/>
  <c r="AP128" i="19" s="1"/>
  <c r="AO128" i="19" s="1"/>
  <c r="AN316" i="19"/>
  <c r="AP316" i="19" s="1"/>
  <c r="AO316" i="19" s="1"/>
  <c r="AN39" i="19"/>
  <c r="AP39" i="19" s="1"/>
  <c r="AO39" i="19" s="1"/>
  <c r="AN103" i="19"/>
  <c r="AP103" i="19" s="1"/>
  <c r="AO103" i="19" s="1"/>
  <c r="AN16" i="19"/>
  <c r="AN80" i="19"/>
  <c r="AP80" i="19" s="1"/>
  <c r="AO80" i="19" s="1"/>
  <c r="AN240" i="19"/>
  <c r="AP240" i="19" s="1"/>
  <c r="AO240" i="19" s="1"/>
  <c r="AN49" i="19"/>
  <c r="AP49" i="19" s="1"/>
  <c r="AO49" i="19" s="1"/>
  <c r="AN113" i="19"/>
  <c r="AP113" i="19" s="1"/>
  <c r="AO113" i="19" s="1"/>
  <c r="AN579" i="19"/>
  <c r="AN515" i="19"/>
  <c r="AP515" i="19" s="1"/>
  <c r="AO515" i="19" s="1"/>
  <c r="AN451" i="19"/>
  <c r="AP451" i="19" s="1"/>
  <c r="AO451" i="19" s="1"/>
  <c r="AN387" i="19"/>
  <c r="AP387" i="19" s="1"/>
  <c r="AO387" i="19" s="1"/>
  <c r="AN530" i="19"/>
  <c r="AP530" i="19" s="1"/>
  <c r="AO530" i="19" s="1"/>
  <c r="AN466" i="19"/>
  <c r="AP466" i="19" s="1"/>
  <c r="AO466" i="19" s="1"/>
  <c r="AN402" i="19"/>
  <c r="AP402" i="19" s="1"/>
  <c r="AO402" i="19" s="1"/>
  <c r="AN537" i="19"/>
  <c r="AP537" i="19" s="1"/>
  <c r="AO537" i="19" s="1"/>
  <c r="AN473" i="19"/>
  <c r="AP473" i="19" s="1"/>
  <c r="AO473" i="19" s="1"/>
  <c r="AN409" i="19"/>
  <c r="AP409" i="19" s="1"/>
  <c r="AO409" i="19" s="1"/>
  <c r="AN576" i="19"/>
  <c r="AN512" i="19"/>
  <c r="AP512" i="19" s="1"/>
  <c r="AO512" i="19" s="1"/>
  <c r="AN448" i="19"/>
  <c r="AP448" i="19" s="1"/>
  <c r="AO448" i="19" s="1"/>
  <c r="AN551" i="19"/>
  <c r="AP551" i="19" s="1"/>
  <c r="AO551" i="19" s="1"/>
  <c r="AN487" i="19"/>
  <c r="AP487" i="19" s="1"/>
  <c r="AO487" i="19" s="1"/>
  <c r="AN423" i="19"/>
  <c r="AP423" i="19" s="1"/>
  <c r="AO423" i="19" s="1"/>
  <c r="AN573" i="19"/>
  <c r="AN509" i="19"/>
  <c r="AP509" i="19" s="1"/>
  <c r="AO509" i="19" s="1"/>
  <c r="AN445" i="19"/>
  <c r="AP445" i="19" s="1"/>
  <c r="AO445" i="19" s="1"/>
  <c r="AN582" i="19"/>
  <c r="AN363" i="19"/>
  <c r="AP363" i="19" s="1"/>
  <c r="AO363" i="19" s="1"/>
  <c r="AN299" i="19"/>
  <c r="AP299" i="19" s="1"/>
  <c r="AO299" i="19" s="1"/>
  <c r="AN492" i="19"/>
  <c r="AP492" i="19" s="1"/>
  <c r="AO492" i="19" s="1"/>
  <c r="AN330" i="19"/>
  <c r="AP330" i="19" s="1"/>
  <c r="AO330" i="19" s="1"/>
  <c r="AN558" i="19"/>
  <c r="AP558" i="19" s="1"/>
  <c r="AO558" i="19" s="1"/>
  <c r="AN353" i="19"/>
  <c r="AP353" i="19" s="1"/>
  <c r="AO353" i="19" s="1"/>
  <c r="AN289" i="19"/>
  <c r="AP289" i="19" s="1"/>
  <c r="AO289" i="19" s="1"/>
  <c r="AN468" i="19"/>
  <c r="AP468" i="19" s="1"/>
  <c r="AO468" i="19" s="1"/>
  <c r="AN344" i="19"/>
  <c r="AP344" i="19" s="1"/>
  <c r="AO344" i="19" s="1"/>
  <c r="AN280" i="19"/>
  <c r="AP280" i="19" s="1"/>
  <c r="AO280" i="19" s="1"/>
  <c r="AN390" i="19"/>
  <c r="AP390" i="19" s="1"/>
  <c r="AO390" i="19" s="1"/>
  <c r="AN335" i="19"/>
  <c r="AP335" i="19" s="1"/>
  <c r="AO335" i="19" s="1"/>
  <c r="AN574" i="19"/>
  <c r="AN394" i="19"/>
  <c r="AP394" i="19" s="1"/>
  <c r="AO394" i="19" s="1"/>
  <c r="AN317" i="19"/>
  <c r="AP317" i="19" s="1"/>
  <c r="AO317" i="19" s="1"/>
  <c r="AN580" i="19"/>
  <c r="AN229" i="19"/>
  <c r="AP229" i="19" s="1"/>
  <c r="AO229" i="19" s="1"/>
  <c r="AN165" i="19"/>
  <c r="AP165" i="19" s="1"/>
  <c r="AO165" i="19" s="1"/>
  <c r="AN300" i="19"/>
  <c r="AP300" i="19" s="1"/>
  <c r="AO300" i="19" s="1"/>
  <c r="AN196" i="19"/>
  <c r="AP196" i="19" s="1"/>
  <c r="AO196" i="19" s="1"/>
  <c r="L717" i="28" s="1" a="1"/>
  <c r="L717" i="28" s="1"/>
  <c r="K717" i="28" s="1"/>
  <c r="AN132" i="19"/>
  <c r="AP132" i="19" s="1"/>
  <c r="AO132" i="19" s="1"/>
  <c r="AN264" i="19"/>
  <c r="AP264" i="19" s="1"/>
  <c r="AO264" i="19" s="1"/>
  <c r="AN203" i="19"/>
  <c r="AP203" i="19" s="1"/>
  <c r="AO203" i="19" s="1"/>
  <c r="AN104" i="19"/>
  <c r="AP104" i="19" s="1"/>
  <c r="AO104" i="19" s="1"/>
  <c r="AN271" i="19"/>
  <c r="AP271" i="19" s="1"/>
  <c r="AO271" i="19" s="1"/>
  <c r="AN226" i="19"/>
  <c r="AP226" i="19" s="1"/>
  <c r="AO226" i="19" s="1"/>
  <c r="AN162" i="19"/>
  <c r="AP162" i="19" s="1"/>
  <c r="AO162" i="19" s="1"/>
  <c r="AN342" i="19"/>
  <c r="AP342" i="19" s="1"/>
  <c r="AO342" i="19" s="1"/>
  <c r="AN233" i="19"/>
  <c r="AP233" i="19" s="1"/>
  <c r="AO233" i="19" s="1"/>
  <c r="AN169" i="19"/>
  <c r="AP169" i="19" s="1"/>
  <c r="AO169" i="19" s="1"/>
  <c r="AN422" i="19"/>
  <c r="AP422" i="19" s="1"/>
  <c r="AO422" i="19" s="1"/>
  <c r="AN239" i="19"/>
  <c r="AP239" i="19" s="1"/>
  <c r="AO239" i="19" s="1"/>
  <c r="AN175" i="19"/>
  <c r="AP175" i="19" s="1"/>
  <c r="AO175" i="19" s="1"/>
  <c r="AN356" i="19"/>
  <c r="AP356" i="19" s="1"/>
  <c r="AO356" i="19" s="1"/>
  <c r="AN26" i="19"/>
  <c r="AN90" i="19"/>
  <c r="AP90" i="19" s="1"/>
  <c r="AO90" i="19" s="1"/>
  <c r="AN200" i="19"/>
  <c r="AP200" i="19" s="1"/>
  <c r="AO200" i="19" s="1"/>
  <c r="AN178" i="19"/>
  <c r="AP178" i="19" s="1"/>
  <c r="AO178" i="19" s="1"/>
  <c r="AN59" i="19"/>
  <c r="AP59" i="19" s="1"/>
  <c r="AO59" i="19" s="1"/>
  <c r="AN125" i="19"/>
  <c r="AP125" i="19" s="1"/>
  <c r="AO125" i="19" s="1"/>
  <c r="AN20" i="19"/>
  <c r="AN84" i="19"/>
  <c r="AP84" i="19" s="1"/>
  <c r="AO84" i="19" s="1"/>
  <c r="AN150" i="19"/>
  <c r="AP150" i="19" s="1"/>
  <c r="AO150" i="19" s="1"/>
  <c r="AN13" i="19"/>
  <c r="AN77" i="19"/>
  <c r="AP77" i="19" s="1"/>
  <c r="AO77" i="19" s="1"/>
  <c r="AN151" i="19"/>
  <c r="AP151" i="19" s="1"/>
  <c r="AO151" i="19" s="1"/>
  <c r="AN14" i="19"/>
  <c r="AN47" i="19"/>
  <c r="AP47" i="19" s="1"/>
  <c r="AO47" i="19" s="1"/>
  <c r="AN111" i="19"/>
  <c r="AP111" i="19" s="1"/>
  <c r="AO111" i="19" s="1"/>
  <c r="AN24" i="19"/>
  <c r="AN88" i="19"/>
  <c r="AP88" i="19" s="1"/>
  <c r="AO88" i="19" s="1"/>
  <c r="AN324" i="19"/>
  <c r="AP324" i="19" s="1"/>
  <c r="AO324" i="19" s="1"/>
  <c r="AN57" i="19"/>
  <c r="AP57" i="19" s="1"/>
  <c r="AO57" i="19" s="1"/>
  <c r="AN135" i="19"/>
  <c r="AP135" i="19" s="1"/>
  <c r="AO135" i="19" s="1"/>
  <c r="AN571" i="19"/>
  <c r="AN507" i="19"/>
  <c r="AP507" i="19" s="1"/>
  <c r="AO507" i="19" s="1"/>
  <c r="AN443" i="19"/>
  <c r="AP443" i="19" s="1"/>
  <c r="AO443" i="19" s="1"/>
  <c r="AN586" i="19"/>
  <c r="AN522" i="19"/>
  <c r="AP522" i="19" s="1"/>
  <c r="AO522" i="19" s="1"/>
  <c r="AN458" i="19"/>
  <c r="AP458" i="19" s="1"/>
  <c r="AO458" i="19" s="1"/>
  <c r="AN593" i="19"/>
  <c r="AN529" i="19"/>
  <c r="AP529" i="19" s="1"/>
  <c r="AO529" i="19" s="1"/>
  <c r="AN465" i="19"/>
  <c r="AP465" i="19" s="1"/>
  <c r="AO465" i="19" s="1"/>
  <c r="AN401" i="19"/>
  <c r="AP401" i="19" s="1"/>
  <c r="AO401" i="19" s="1"/>
  <c r="AN568" i="19"/>
  <c r="AN504" i="19"/>
  <c r="AP504" i="19" s="1"/>
  <c r="AO504" i="19" s="1"/>
  <c r="AN440" i="19"/>
  <c r="AP440" i="19" s="1"/>
  <c r="AO440" i="19" s="1"/>
  <c r="AN543" i="19"/>
  <c r="AP543" i="19" s="1"/>
  <c r="AO543" i="19" s="1"/>
  <c r="AN479" i="19"/>
  <c r="AP479" i="19" s="1"/>
  <c r="AO479" i="19" s="1"/>
  <c r="AN415" i="19"/>
  <c r="AP415" i="19" s="1"/>
  <c r="AO415" i="19" s="1"/>
  <c r="AN565" i="19"/>
  <c r="AN501" i="19"/>
  <c r="AP501" i="19" s="1"/>
  <c r="AO501" i="19" s="1"/>
  <c r="AN437" i="19"/>
  <c r="AP437" i="19" s="1"/>
  <c r="AO437" i="19" s="1"/>
  <c r="AN550" i="19"/>
  <c r="AP550" i="19" s="1"/>
  <c r="AO550" i="19" s="1"/>
  <c r="AN355" i="19"/>
  <c r="AP355" i="19" s="1"/>
  <c r="AO355" i="19" s="1"/>
  <c r="AN291" i="19"/>
  <c r="AP291" i="19" s="1"/>
  <c r="AO291" i="19" s="1"/>
  <c r="AN460" i="19"/>
  <c r="AP460" i="19" s="1"/>
  <c r="AO460" i="19" s="1"/>
  <c r="AN322" i="19"/>
  <c r="AP322" i="19" s="1"/>
  <c r="AO322" i="19" s="1"/>
  <c r="AN526" i="19"/>
  <c r="AP526" i="19" s="1"/>
  <c r="AO526" i="19" s="1"/>
  <c r="AN345" i="19"/>
  <c r="AP345" i="19" s="1"/>
  <c r="AO345" i="19" s="1"/>
  <c r="AN281" i="19"/>
  <c r="AP281" i="19" s="1"/>
  <c r="AO281" i="19" s="1"/>
  <c r="AN436" i="19"/>
  <c r="AP436" i="19" s="1"/>
  <c r="AO436" i="19" s="1"/>
  <c r="AN336" i="19"/>
  <c r="AP336" i="19" s="1"/>
  <c r="AO336" i="19" s="1"/>
  <c r="AN566" i="19"/>
  <c r="AN388" i="19"/>
  <c r="AP388" i="19" s="1"/>
  <c r="AO388" i="19" s="1"/>
  <c r="AN327" i="19"/>
  <c r="AP327" i="19" s="1"/>
  <c r="AO327" i="19" s="1"/>
  <c r="AN542" i="19"/>
  <c r="AP542" i="19" s="1"/>
  <c r="AO542" i="19" s="1"/>
  <c r="AN374" i="19"/>
  <c r="AP374" i="19" s="1"/>
  <c r="AO374" i="19" s="1"/>
  <c r="AN309" i="19"/>
  <c r="AP309" i="19" s="1"/>
  <c r="AO309" i="19" s="1"/>
  <c r="AN476" i="19"/>
  <c r="AP476" i="19" s="1"/>
  <c r="AO476" i="19" s="1"/>
  <c r="AN221" i="19"/>
  <c r="AP221" i="19" s="1"/>
  <c r="AO221" i="19" s="1"/>
  <c r="AN157" i="19"/>
  <c r="AP157" i="19" s="1"/>
  <c r="AO157" i="19" s="1"/>
  <c r="AN252" i="19"/>
  <c r="AP252" i="19" s="1"/>
  <c r="AO252" i="19" s="1"/>
  <c r="AN188" i="19"/>
  <c r="AP188" i="19" s="1"/>
  <c r="AO188" i="19" s="1"/>
  <c r="AN124" i="19"/>
  <c r="AP124" i="19" s="1"/>
  <c r="AO124" i="19" s="1"/>
  <c r="AN263" i="19"/>
  <c r="AP263" i="19" s="1"/>
  <c r="AO263" i="19" s="1"/>
  <c r="AN195" i="19"/>
  <c r="AP195" i="19" s="1"/>
  <c r="AO195" i="19" s="1"/>
  <c r="AN102" i="19"/>
  <c r="AP102" i="19" s="1"/>
  <c r="AO102" i="19" s="1"/>
  <c r="AN266" i="19"/>
  <c r="AP266" i="19" s="1"/>
  <c r="AO266" i="19" s="1"/>
  <c r="AN218" i="19"/>
  <c r="AP218" i="19" s="1"/>
  <c r="AO218" i="19" s="1"/>
  <c r="AN154" i="19"/>
  <c r="AP154" i="19" s="1"/>
  <c r="AO154" i="19" s="1"/>
  <c r="AN310" i="19"/>
  <c r="AP310" i="19" s="1"/>
  <c r="AO310" i="19" s="1"/>
  <c r="AN225" i="19"/>
  <c r="AP225" i="19" s="1"/>
  <c r="AO225" i="19" s="1"/>
  <c r="AN161" i="19"/>
  <c r="AP161" i="19" s="1"/>
  <c r="AO161" i="19" s="1"/>
  <c r="AN375" i="19"/>
  <c r="AP375" i="19" s="1"/>
  <c r="AO375" i="19" s="1"/>
  <c r="AN231" i="19"/>
  <c r="AP231" i="19" s="1"/>
  <c r="AO231" i="19" s="1"/>
  <c r="AN167" i="19"/>
  <c r="AP167" i="19" s="1"/>
  <c r="AO167" i="19" s="1"/>
  <c r="AN38" i="19"/>
  <c r="AP38" i="19" s="1"/>
  <c r="AO38" i="19" s="1"/>
  <c r="AN34" i="19"/>
  <c r="AP34" i="19" s="1"/>
  <c r="AO34" i="19" s="1"/>
  <c r="AN98" i="19"/>
  <c r="AP98" i="19" s="1"/>
  <c r="AO98" i="19" s="1"/>
  <c r="AN232" i="19"/>
  <c r="AP232" i="19" s="1"/>
  <c r="AO232" i="19" s="1"/>
  <c r="AN184" i="19"/>
  <c r="AP184" i="19" s="1"/>
  <c r="AO184" i="19" s="1"/>
  <c r="AN67" i="19"/>
  <c r="AP67" i="19" s="1"/>
  <c r="AO67" i="19" s="1"/>
  <c r="AN142" i="19"/>
  <c r="AP142" i="19" s="1"/>
  <c r="AO142" i="19" s="1"/>
  <c r="AN28" i="19"/>
  <c r="AP28" i="19" s="1"/>
  <c r="AO28" i="19" s="1"/>
  <c r="AN92" i="19"/>
  <c r="AP92" i="19" s="1"/>
  <c r="AO92" i="19" s="1"/>
  <c r="AN160" i="19"/>
  <c r="AP160" i="19" s="1"/>
  <c r="AO160" i="19" s="1"/>
  <c r="AN21" i="19"/>
  <c r="AN85" i="19"/>
  <c r="AP85" i="19" s="1"/>
  <c r="AO85" i="19" s="1"/>
  <c r="AN152" i="19"/>
  <c r="AP152" i="19" s="1"/>
  <c r="AO152" i="19" s="1"/>
  <c r="AN22" i="19"/>
  <c r="AN55" i="19"/>
  <c r="AP55" i="19" s="1"/>
  <c r="AO55" i="19" s="1"/>
  <c r="AN133" i="19"/>
  <c r="AP133" i="19" s="1"/>
  <c r="AO133" i="19" s="1"/>
  <c r="AN32" i="19"/>
  <c r="AP32" i="19" s="1"/>
  <c r="AO32" i="19" s="1"/>
  <c r="AN96" i="19"/>
  <c r="AP96" i="19" s="1"/>
  <c r="AO96" i="19" s="1"/>
  <c r="AN248" i="19"/>
  <c r="AP248" i="19" s="1"/>
  <c r="AO248" i="19" s="1"/>
  <c r="AN65" i="19"/>
  <c r="AP65" i="19" s="1"/>
  <c r="AO65" i="19" s="1"/>
  <c r="AN136" i="19"/>
  <c r="AP136" i="19" s="1"/>
  <c r="AO136" i="19" s="1"/>
  <c r="AN563" i="19"/>
  <c r="AN499" i="19"/>
  <c r="AP499" i="19" s="1"/>
  <c r="AO499" i="19" s="1"/>
  <c r="AN435" i="19"/>
  <c r="AP435" i="19" s="1"/>
  <c r="AO435" i="19" s="1"/>
  <c r="AN578" i="19"/>
  <c r="AN514" i="19"/>
  <c r="AP514" i="19" s="1"/>
  <c r="AO514" i="19" s="1"/>
  <c r="AN450" i="19"/>
  <c r="AP450" i="19" s="1"/>
  <c r="AO450" i="19" s="1"/>
  <c r="AN585" i="19"/>
  <c r="AN521" i="19"/>
  <c r="AP521" i="19" s="1"/>
  <c r="AO521" i="19" s="1"/>
  <c r="AN457" i="19"/>
  <c r="AP457" i="19" s="1"/>
  <c r="AO457" i="19" s="1"/>
  <c r="AN393" i="19"/>
  <c r="AP393" i="19" s="1"/>
  <c r="AO393" i="19" s="1"/>
  <c r="AN560" i="19"/>
  <c r="AP560" i="19" s="1"/>
  <c r="AO560" i="19" s="1"/>
  <c r="AN496" i="19"/>
  <c r="AP496" i="19" s="1"/>
  <c r="AO496" i="19" s="1"/>
  <c r="AN432" i="19"/>
  <c r="AP432" i="19" s="1"/>
  <c r="AO432" i="19" s="1"/>
  <c r="AN535" i="19"/>
  <c r="AP535" i="19" s="1"/>
  <c r="AO535" i="19" s="1"/>
  <c r="AN471" i="19"/>
  <c r="AP471" i="19" s="1"/>
  <c r="AO471" i="19" s="1"/>
  <c r="AN407" i="19"/>
  <c r="AP407" i="19" s="1"/>
  <c r="AO407" i="19" s="1"/>
  <c r="AN557" i="19"/>
  <c r="AP557" i="19" s="1"/>
  <c r="AO557" i="19" s="1"/>
  <c r="AN493" i="19"/>
  <c r="AP493" i="19" s="1"/>
  <c r="AO493" i="19" s="1"/>
  <c r="AN429" i="19"/>
  <c r="AP429" i="19" s="1"/>
  <c r="AO429" i="19" s="1"/>
  <c r="AN518" i="19"/>
  <c r="AP518" i="19" s="1"/>
  <c r="AO518" i="19" s="1"/>
  <c r="AN347" i="19"/>
  <c r="AP347" i="19" s="1"/>
  <c r="AO347" i="19" s="1"/>
  <c r="AN283" i="19"/>
  <c r="AP283" i="19" s="1"/>
  <c r="AO283" i="19" s="1"/>
  <c r="AN400" i="19"/>
  <c r="AP400" i="19" s="1"/>
  <c r="AO400" i="19" s="1"/>
  <c r="AN314" i="19"/>
  <c r="AP314" i="19" s="1"/>
  <c r="AO314" i="19" s="1"/>
  <c r="AN494" i="19"/>
  <c r="AP494" i="19" s="1"/>
  <c r="AO494" i="19" s="1"/>
  <c r="AN337" i="19"/>
  <c r="AP337" i="19" s="1"/>
  <c r="AO337" i="19" s="1"/>
  <c r="AN273" i="19"/>
  <c r="AP273" i="19" s="1"/>
  <c r="AO273" i="19" s="1"/>
  <c r="AN428" i="19"/>
  <c r="AP428" i="19" s="1"/>
  <c r="AO428" i="19" s="1"/>
  <c r="AN328" i="19"/>
  <c r="AP328" i="19" s="1"/>
  <c r="AO328" i="19" s="1"/>
  <c r="AN534" i="19"/>
  <c r="AP534" i="19" s="1"/>
  <c r="AO534" i="19" s="1"/>
  <c r="AN386" i="19"/>
  <c r="AP386" i="19" s="1"/>
  <c r="AO386" i="19" s="1"/>
  <c r="AN319" i="19"/>
  <c r="AP319" i="19" s="1"/>
  <c r="AO319" i="19" s="1"/>
  <c r="AN510" i="19"/>
  <c r="AP510" i="19" s="1"/>
  <c r="AO510" i="19" s="1"/>
  <c r="AN365" i="19"/>
  <c r="AP365" i="19" s="1"/>
  <c r="AO365" i="19" s="1"/>
  <c r="AN301" i="19"/>
  <c r="AP301" i="19" s="1"/>
  <c r="AO301" i="19" s="1"/>
  <c r="AN358" i="19"/>
  <c r="AP358" i="19" s="1"/>
  <c r="AO358" i="19" s="1"/>
  <c r="AN242" i="19"/>
  <c r="AP242" i="19" s="1"/>
  <c r="AO242" i="19" s="1"/>
  <c r="AN149" i="19"/>
  <c r="AP149" i="19" s="1"/>
  <c r="AO149" i="19" s="1"/>
  <c r="AN244" i="19"/>
  <c r="AP244" i="19" s="1"/>
  <c r="AO244" i="19" s="1"/>
  <c r="AN180" i="19"/>
  <c r="AP180" i="19" s="1"/>
  <c r="AO180" i="19" s="1"/>
  <c r="AN116" i="19"/>
  <c r="AP116" i="19" s="1"/>
  <c r="AO116" i="19" s="1"/>
  <c r="AN251" i="19"/>
  <c r="AP251" i="19" s="1"/>
  <c r="AO251" i="19" s="1"/>
  <c r="AN187" i="19"/>
  <c r="AP187" i="19" s="1"/>
  <c r="AO187" i="19" s="1"/>
  <c r="AN123" i="19"/>
  <c r="AP123" i="19" s="1"/>
  <c r="AO123" i="19" s="1"/>
  <c r="AN262" i="19"/>
  <c r="AP262" i="19" s="1"/>
  <c r="AO262" i="19" s="1"/>
  <c r="AN210" i="19"/>
  <c r="AP210" i="19" s="1"/>
  <c r="AO210" i="19" s="1"/>
  <c r="AN146" i="19"/>
  <c r="AP146" i="19" s="1"/>
  <c r="AO146" i="19" s="1"/>
  <c r="AN274" i="19"/>
  <c r="AP274" i="19" s="1"/>
  <c r="AO274" i="19" s="1"/>
  <c r="AN139" i="19"/>
  <c r="AP139" i="19" s="1"/>
  <c r="AO139" i="19" s="1"/>
  <c r="AN153" i="19"/>
  <c r="AP153" i="19" s="1"/>
  <c r="AO153" i="19" s="1"/>
  <c r="AN350" i="19"/>
  <c r="AP350" i="19" s="1"/>
  <c r="AO350" i="19" s="1"/>
  <c r="AN223" i="19"/>
  <c r="AP223" i="19" s="1"/>
  <c r="AO223" i="19" s="1"/>
  <c r="AN159" i="19"/>
  <c r="AP159" i="19" s="1"/>
  <c r="AO159" i="19" s="1"/>
  <c r="AN46" i="19"/>
  <c r="AP46" i="19" s="1"/>
  <c r="AO46" i="19" s="1"/>
  <c r="AN42" i="19"/>
  <c r="AP42" i="19" s="1"/>
  <c r="AO42" i="19" s="1"/>
  <c r="AN106" i="19"/>
  <c r="AP106" i="19" s="1"/>
  <c r="AO106" i="19" s="1"/>
  <c r="AN292" i="19"/>
  <c r="AP292" i="19" s="1"/>
  <c r="AO292" i="19" s="1"/>
  <c r="AN11" i="19"/>
  <c r="AN75" i="19"/>
  <c r="AP75" i="19" s="1"/>
  <c r="AO75" i="19" s="1"/>
  <c r="AN36" i="19"/>
  <c r="AP36" i="19" s="1"/>
  <c r="AO36" i="19" s="1"/>
  <c r="AN100" i="19"/>
  <c r="AP100" i="19" s="1"/>
  <c r="AO100" i="19" s="1"/>
  <c r="AN192" i="19"/>
  <c r="AP192" i="19" s="1"/>
  <c r="AO192" i="19" s="1"/>
  <c r="AN29" i="19"/>
  <c r="AP29" i="19" s="1"/>
  <c r="AO29" i="19" s="1"/>
  <c r="AN93" i="19"/>
  <c r="AP93" i="19" s="1"/>
  <c r="AO93" i="19" s="1"/>
  <c r="AN158" i="19"/>
  <c r="AP158" i="19" s="1"/>
  <c r="AO158" i="19" s="1"/>
  <c r="AN70" i="19"/>
  <c r="AP70" i="19" s="1"/>
  <c r="AO70" i="19" s="1"/>
  <c r="AN63" i="19"/>
  <c r="AP63" i="19" s="1"/>
  <c r="AO63" i="19" s="1"/>
  <c r="AN182" i="19"/>
  <c r="AP182" i="19" s="1"/>
  <c r="AO182" i="19" s="1"/>
  <c r="AN40" i="19"/>
  <c r="AP40" i="19" s="1"/>
  <c r="AO40" i="19" s="1"/>
  <c r="AN87" i="19"/>
  <c r="AP87" i="19" s="1"/>
  <c r="AO87" i="19" s="1"/>
  <c r="AN9" i="19"/>
  <c r="AP9" i="19" s="1"/>
  <c r="AO9" i="19" s="1"/>
  <c r="AN73" i="19"/>
  <c r="AP73" i="19" s="1"/>
  <c r="AO73" i="19" s="1"/>
  <c r="AN174" i="19"/>
  <c r="AP174" i="19" s="1"/>
  <c r="AO174" i="19" s="1"/>
  <c r="AN555" i="19"/>
  <c r="AP555" i="19" s="1"/>
  <c r="AO555" i="19" s="1"/>
  <c r="AN491" i="19"/>
  <c r="AP491" i="19" s="1"/>
  <c r="AO491" i="19" s="1"/>
  <c r="AN427" i="19"/>
  <c r="AP427" i="19" s="1"/>
  <c r="AO427" i="19" s="1"/>
  <c r="AN570" i="19"/>
  <c r="AN506" i="19"/>
  <c r="AP506" i="19" s="1"/>
  <c r="AO506" i="19" s="1"/>
  <c r="AN442" i="19"/>
  <c r="AP442" i="19" s="1"/>
  <c r="AO442" i="19" s="1"/>
  <c r="AN577" i="19"/>
  <c r="AN513" i="19"/>
  <c r="AP513" i="19" s="1"/>
  <c r="AO513" i="19" s="1"/>
  <c r="AN449" i="19"/>
  <c r="AP449" i="19" s="1"/>
  <c r="AO449" i="19" s="1"/>
  <c r="AN385" i="19"/>
  <c r="AP385" i="19" s="1"/>
  <c r="AO385" i="19" s="1"/>
  <c r="AN552" i="19"/>
  <c r="AP552" i="19" s="1"/>
  <c r="AO552" i="19" s="1"/>
  <c r="AN488" i="19"/>
  <c r="AP488" i="19" s="1"/>
  <c r="AO488" i="19" s="1"/>
  <c r="AN591" i="19"/>
  <c r="AN527" i="19"/>
  <c r="AP527" i="19" s="1"/>
  <c r="AO527" i="19" s="1"/>
  <c r="AN463" i="19"/>
  <c r="AP463" i="19" s="1"/>
  <c r="AO463" i="19" s="1"/>
  <c r="AN399" i="19"/>
  <c r="AP399" i="19" s="1"/>
  <c r="AO399" i="19" s="1"/>
  <c r="AN549" i="19"/>
  <c r="AP549" i="19" s="1"/>
  <c r="AO549" i="19" s="1"/>
  <c r="AN485" i="19"/>
  <c r="AP485" i="19" s="1"/>
  <c r="AO485" i="19" s="1"/>
  <c r="AN421" i="19"/>
  <c r="AP421" i="19" s="1"/>
  <c r="AO421" i="19" s="1"/>
  <c r="AN486" i="19"/>
  <c r="AP486" i="19" s="1"/>
  <c r="AO486" i="19" s="1"/>
  <c r="AN339" i="19"/>
  <c r="AP339" i="19" s="1"/>
  <c r="AO339" i="19" s="1"/>
  <c r="AN275" i="19"/>
  <c r="AP275" i="19" s="1"/>
  <c r="AO275" i="19" s="1"/>
  <c r="AN371" i="19"/>
  <c r="AP371" i="19" s="1"/>
  <c r="AO371" i="19" s="1"/>
  <c r="AN306" i="19"/>
  <c r="AP306" i="19" s="1"/>
  <c r="AO306" i="19" s="1"/>
  <c r="AN462" i="19"/>
  <c r="AP462" i="19" s="1"/>
  <c r="AO462" i="19" s="1"/>
  <c r="AN329" i="19"/>
  <c r="AP329" i="19" s="1"/>
  <c r="AO329" i="19" s="1"/>
  <c r="AN265" i="19"/>
  <c r="AP265" i="19" s="1"/>
  <c r="AO265" i="19" s="1"/>
  <c r="AN384" i="19"/>
  <c r="AP384" i="19" s="1"/>
  <c r="AO384" i="19" s="1"/>
  <c r="AN320" i="19"/>
  <c r="AP320" i="19" s="1"/>
  <c r="AO320" i="19" s="1"/>
  <c r="AN502" i="19"/>
  <c r="AP502" i="19" s="1"/>
  <c r="AO502" i="19" s="1"/>
  <c r="AN379" i="19"/>
  <c r="AP379" i="19" s="1"/>
  <c r="AO379" i="19" s="1"/>
  <c r="AN311" i="19"/>
  <c r="AP311" i="19" s="1"/>
  <c r="AO311" i="19" s="1"/>
  <c r="AN478" i="19"/>
  <c r="AP478" i="19" s="1"/>
  <c r="AO478" i="19" s="1"/>
  <c r="AN357" i="19"/>
  <c r="AP357" i="19" s="1"/>
  <c r="AO357" i="19" s="1"/>
  <c r="AN293" i="19"/>
  <c r="AP293" i="19" s="1"/>
  <c r="AO293" i="19" s="1"/>
  <c r="AN326" i="19"/>
  <c r="AP326" i="19" s="1"/>
  <c r="AO326" i="19" s="1"/>
  <c r="AN205" i="19"/>
  <c r="AP205" i="19" s="1"/>
  <c r="AO205" i="19" s="1"/>
  <c r="AN141" i="19"/>
  <c r="AP141" i="19" s="1"/>
  <c r="AO141" i="19" s="1"/>
  <c r="AN236" i="19"/>
  <c r="AP236" i="19" s="1"/>
  <c r="AO236" i="19" s="1"/>
  <c r="AN172" i="19"/>
  <c r="AP172" i="19" s="1"/>
  <c r="AO172" i="19" s="1"/>
  <c r="AN540" i="19"/>
  <c r="AP540" i="19" s="1"/>
  <c r="AO540" i="19" s="1"/>
  <c r="AN243" i="19"/>
  <c r="AP243" i="19" s="1"/>
  <c r="AO243" i="19" s="1"/>
  <c r="AN179" i="19"/>
  <c r="AP179" i="19" s="1"/>
  <c r="AO179" i="19" s="1"/>
  <c r="AN115" i="19"/>
  <c r="AP115" i="19" s="1"/>
  <c r="AO115" i="19" s="1"/>
  <c r="AN260" i="19"/>
  <c r="AP260" i="19" s="1"/>
  <c r="AO260" i="19" s="1"/>
  <c r="AN202" i="19"/>
  <c r="AP202" i="19" s="1"/>
  <c r="AO202" i="19" s="1"/>
  <c r="AN138" i="19"/>
  <c r="AP138" i="19" s="1"/>
  <c r="AO138" i="19" s="1"/>
  <c r="AN270" i="19"/>
  <c r="AP270" i="19" s="1"/>
  <c r="AO270" i="19" s="1"/>
  <c r="AN209" i="19"/>
  <c r="AP209" i="19" s="1"/>
  <c r="AO209" i="19" s="1"/>
  <c r="AN145" i="19"/>
  <c r="AP145" i="19" s="1"/>
  <c r="AO145" i="19" s="1"/>
  <c r="AN318" i="19"/>
  <c r="AP318" i="19" s="1"/>
  <c r="AO318" i="19" s="1"/>
  <c r="AN215" i="19"/>
  <c r="AP215" i="19" s="1"/>
  <c r="AO215" i="19" s="1"/>
  <c r="AN548" i="19"/>
  <c r="AP548" i="19" s="1"/>
  <c r="AO548" i="19" s="1"/>
  <c r="AN54" i="19"/>
  <c r="AP54" i="19" s="1"/>
  <c r="AO54" i="19" s="1"/>
  <c r="AN50" i="19"/>
  <c r="AP50" i="19" s="1"/>
  <c r="AO50" i="19" s="1"/>
  <c r="AN114" i="19"/>
  <c r="AP114" i="19" s="1"/>
  <c r="AO114" i="19" s="1"/>
  <c r="AN348" i="19"/>
  <c r="AP348" i="19" s="1"/>
  <c r="AO348" i="19" s="1"/>
  <c r="AN19" i="19"/>
  <c r="AN83" i="19"/>
  <c r="AP83" i="19" s="1"/>
  <c r="AO83" i="19" s="1"/>
  <c r="AN166" i="19"/>
  <c r="AP166" i="19" s="1"/>
  <c r="AO166" i="19" s="1"/>
  <c r="AN44" i="19"/>
  <c r="AP44" i="19" s="1"/>
  <c r="AO44" i="19" s="1"/>
  <c r="AN108" i="19"/>
  <c r="AP108" i="19" s="1"/>
  <c r="AO108" i="19" s="1"/>
  <c r="AN224" i="19"/>
  <c r="AP224" i="19" s="1"/>
  <c r="AO224" i="19" s="1"/>
  <c r="AN37" i="19"/>
  <c r="AP37" i="19" s="1"/>
  <c r="AO37" i="19" s="1"/>
  <c r="AN101" i="19"/>
  <c r="AP101" i="19" s="1"/>
  <c r="AO101" i="19" s="1"/>
  <c r="AN190" i="19"/>
  <c r="AP190" i="19" s="1"/>
  <c r="AO190" i="19" s="1"/>
  <c r="AN7" i="19"/>
  <c r="AP7" i="19" s="1"/>
  <c r="AO7" i="19" s="1"/>
  <c r="AN71" i="19"/>
  <c r="AP71" i="19" s="1"/>
  <c r="AO71" i="19" s="1"/>
  <c r="AN214" i="19"/>
  <c r="AP214" i="19" s="1"/>
  <c r="AO214" i="19" s="1"/>
  <c r="AN48" i="19"/>
  <c r="AP48" i="19" s="1"/>
  <c r="AO48" i="19" s="1"/>
  <c r="AN112" i="19"/>
  <c r="AP112" i="19" s="1"/>
  <c r="AO112" i="19" s="1"/>
  <c r="AN17" i="19"/>
  <c r="AN81" i="19"/>
  <c r="AP81" i="19" s="1"/>
  <c r="AO81" i="19" s="1"/>
  <c r="AN206" i="19"/>
  <c r="AP206" i="19" s="1"/>
  <c r="AO206" i="19" s="1"/>
  <c r="AN547" i="19"/>
  <c r="AP547" i="19" s="1"/>
  <c r="AO547" i="19" s="1"/>
  <c r="AN483" i="19"/>
  <c r="AP483" i="19" s="1"/>
  <c r="AO483" i="19" s="1"/>
  <c r="AN419" i="19"/>
  <c r="AP419" i="19" s="1"/>
  <c r="AO419" i="19" s="1"/>
  <c r="AN562" i="19"/>
  <c r="AP562" i="19" s="1"/>
  <c r="AO562" i="19" s="1"/>
  <c r="AN498" i="19"/>
  <c r="AP498" i="19" s="1"/>
  <c r="AO498" i="19" s="1"/>
  <c r="AN434" i="19"/>
  <c r="AP434" i="19" s="1"/>
  <c r="AO434" i="19" s="1"/>
  <c r="AN569" i="19"/>
  <c r="AN505" i="19"/>
  <c r="AP505" i="19" s="1"/>
  <c r="AO505" i="19" s="1"/>
  <c r="AN441" i="19"/>
  <c r="AP441" i="19" s="1"/>
  <c r="AO441" i="19" s="1"/>
  <c r="AN377" i="19"/>
  <c r="AP377" i="19" s="1"/>
  <c r="AO377" i="19" s="1"/>
  <c r="AN544" i="19"/>
  <c r="AP544" i="19" s="1"/>
  <c r="AO544" i="19" s="1"/>
  <c r="AN480" i="19"/>
  <c r="AP480" i="19" s="1"/>
  <c r="AO480" i="19" s="1"/>
  <c r="AN583" i="19"/>
  <c r="AN519" i="19"/>
  <c r="AP519" i="19" s="1"/>
  <c r="AO519" i="19" s="1"/>
  <c r="AN455" i="19"/>
  <c r="AP455" i="19" s="1"/>
  <c r="AO455" i="19" s="1"/>
  <c r="AN391" i="19"/>
  <c r="AP391" i="19" s="1"/>
  <c r="AO391" i="19" s="1"/>
  <c r="AN541" i="19"/>
  <c r="AP541" i="19" s="1"/>
  <c r="AO541" i="19" s="1"/>
  <c r="AN477" i="19"/>
  <c r="AP477" i="19" s="1"/>
  <c r="AO477" i="19" s="1"/>
  <c r="AN413" i="19"/>
  <c r="AP413" i="19" s="1"/>
  <c r="AO413" i="19" s="1"/>
  <c r="AN454" i="19"/>
  <c r="AP454" i="19" s="1"/>
  <c r="AO454" i="19" s="1"/>
  <c r="AN331" i="19"/>
  <c r="AP331" i="19" s="1"/>
  <c r="AO331" i="19" s="1"/>
  <c r="AN267" i="19"/>
  <c r="AP267" i="19" s="1"/>
  <c r="AO267" i="19" s="1"/>
  <c r="AN362" i="19"/>
  <c r="AP362" i="19" s="1"/>
  <c r="AO362" i="19" s="1"/>
  <c r="AN298" i="19"/>
  <c r="AP298" i="19" s="1"/>
  <c r="AO298" i="19" s="1"/>
  <c r="AN382" i="19"/>
  <c r="AP382" i="19" s="1"/>
  <c r="AO382" i="19" s="1"/>
  <c r="AN321" i="19"/>
  <c r="AP321" i="19" s="1"/>
  <c r="AO321" i="19" s="1"/>
  <c r="AN257" i="19"/>
  <c r="AP257" i="19" s="1"/>
  <c r="AO257" i="19" s="1"/>
  <c r="AN380" i="19"/>
  <c r="AP380" i="19" s="1"/>
  <c r="AO380" i="19" s="1"/>
  <c r="AN312" i="19"/>
  <c r="AP312" i="19" s="1"/>
  <c r="AO312" i="19" s="1"/>
  <c r="AN470" i="19"/>
  <c r="AP470" i="19" s="1"/>
  <c r="AO470" i="19" s="1"/>
  <c r="AN367" i="19"/>
  <c r="AP367" i="19" s="1"/>
  <c r="AO367" i="19" s="1"/>
  <c r="AN303" i="19"/>
  <c r="AP303" i="19" s="1"/>
  <c r="AO303" i="19" s="1"/>
  <c r="AN446" i="19"/>
  <c r="AP446" i="19" s="1"/>
  <c r="AO446" i="19" s="1"/>
  <c r="AN349" i="19"/>
  <c r="AP349" i="19" s="1"/>
  <c r="AO349" i="19" s="1"/>
  <c r="AN285" i="19"/>
  <c r="AP285" i="19" s="1"/>
  <c r="AO285" i="19" s="1"/>
  <c r="AN294" i="19"/>
  <c r="AP294" i="19" s="1"/>
  <c r="AO294" i="19" s="1"/>
  <c r="AN197" i="19"/>
  <c r="AP197" i="19" s="1"/>
  <c r="AO197" i="19" s="1"/>
  <c r="AN508" i="19"/>
  <c r="AP508" i="19" s="1"/>
  <c r="AO508" i="19" s="1"/>
  <c r="AN228" i="19"/>
  <c r="AP228" i="19" s="1"/>
  <c r="AO228" i="19" s="1"/>
  <c r="AN164" i="19"/>
  <c r="AP164" i="19" s="1"/>
  <c r="AO164" i="19" s="1"/>
  <c r="AN392" i="19"/>
  <c r="AP392" i="19" s="1"/>
  <c r="AO392" i="19" s="1"/>
  <c r="AN235" i="19"/>
  <c r="AP235" i="19" s="1"/>
  <c r="AO235" i="19" s="1"/>
  <c r="AN171" i="19"/>
  <c r="AP171" i="19" s="1"/>
  <c r="AO171" i="19" s="1"/>
  <c r="AN572" i="19"/>
  <c r="AN170" i="19"/>
  <c r="AP170" i="19" s="1"/>
  <c r="AO170" i="19" s="1"/>
  <c r="AN194" i="19"/>
  <c r="AP194" i="19" s="1"/>
  <c r="AO194" i="19" s="1"/>
  <c r="AN130" i="19"/>
  <c r="AP130" i="19" s="1"/>
  <c r="AO130" i="19" s="1"/>
  <c r="AN268" i="19"/>
  <c r="AP268" i="19" s="1"/>
  <c r="AO268" i="19" s="1"/>
  <c r="AN201" i="19"/>
  <c r="AP201" i="19" s="1"/>
  <c r="AO201" i="19" s="1"/>
  <c r="AN137" i="19"/>
  <c r="AP137" i="19" s="1"/>
  <c r="AO137" i="19" s="1"/>
  <c r="AN286" i="19"/>
  <c r="AP286" i="19" s="1"/>
  <c r="AO286" i="19" s="1"/>
  <c r="AN207" i="19"/>
  <c r="AP207" i="19" s="1"/>
  <c r="AO207" i="19" s="1"/>
  <c r="AN444" i="19"/>
  <c r="AP444" i="19" s="1"/>
  <c r="AO444" i="19" s="1"/>
  <c r="AN110" i="19"/>
  <c r="AP110" i="19" s="1"/>
  <c r="AO110" i="19" s="1"/>
  <c r="AN58" i="19"/>
  <c r="AP58" i="19" s="1"/>
  <c r="AO58" i="19" s="1"/>
  <c r="AN406" i="19"/>
  <c r="AP406" i="19" s="1"/>
  <c r="AO406" i="19" s="1"/>
  <c r="AN27" i="19"/>
  <c r="AN91" i="19"/>
  <c r="AP91" i="19" s="1"/>
  <c r="AO91" i="19" s="1"/>
  <c r="AN198" i="19"/>
  <c r="AP198" i="19" s="1"/>
  <c r="AO198" i="19" s="1"/>
  <c r="AN484" i="19"/>
  <c r="AP484" i="19" s="1"/>
  <c r="AO484" i="19" s="1"/>
  <c r="AN52" i="19"/>
  <c r="AP52" i="19" s="1"/>
  <c r="AO52" i="19" s="1"/>
  <c r="AN118" i="19"/>
  <c r="AP118" i="19" s="1"/>
  <c r="AO118" i="19" s="1"/>
  <c r="AN256" i="19"/>
  <c r="AP256" i="19" s="1"/>
  <c r="AO256" i="19" s="1"/>
  <c r="AN45" i="19"/>
  <c r="AP45" i="19" s="1"/>
  <c r="AO45" i="19" s="1"/>
  <c r="AN109" i="19"/>
  <c r="AP109" i="19" s="1"/>
  <c r="AO109" i="19" s="1"/>
  <c r="AN222" i="19"/>
  <c r="AP222" i="19" s="1"/>
  <c r="AO222" i="19" s="1"/>
  <c r="AN15" i="19"/>
  <c r="AN79" i="19"/>
  <c r="AP79" i="19" s="1"/>
  <c r="AO79" i="19" s="1"/>
  <c r="AN246" i="19"/>
  <c r="AP246" i="19" s="1"/>
  <c r="AO246" i="19" s="1"/>
  <c r="AN56" i="19"/>
  <c r="AP56" i="19" s="1"/>
  <c r="AO56" i="19" s="1"/>
  <c r="AN134" i="19"/>
  <c r="AP134" i="19" s="1"/>
  <c r="AO134" i="19" s="1"/>
  <c r="AN25" i="19"/>
  <c r="AN89" i="19"/>
  <c r="AP89" i="19" s="1"/>
  <c r="AO89" i="19" s="1"/>
  <c r="AN238" i="19"/>
  <c r="AP238" i="19" s="1"/>
  <c r="AO238" i="19" s="1"/>
  <c r="AN539" i="19"/>
  <c r="AP539" i="19" s="1"/>
  <c r="AO539" i="19" s="1"/>
  <c r="AN475" i="19"/>
  <c r="AP475" i="19" s="1"/>
  <c r="AO475" i="19" s="1"/>
  <c r="L508" i="28" s="1" a="1"/>
  <c r="L508" i="28" s="1"/>
  <c r="K508" i="28" s="1"/>
  <c r="AN411" i="19"/>
  <c r="AP411" i="19" s="1"/>
  <c r="AO411" i="19" s="1"/>
  <c r="AN554" i="19"/>
  <c r="AP554" i="19" s="1"/>
  <c r="AO554" i="19" s="1"/>
  <c r="AN490" i="19"/>
  <c r="AP490" i="19" s="1"/>
  <c r="AO490" i="19" s="1"/>
  <c r="AN426" i="19"/>
  <c r="AP426" i="19" s="1"/>
  <c r="AO426" i="19" s="1"/>
  <c r="AN561" i="19"/>
  <c r="AP561" i="19" s="1"/>
  <c r="AO561" i="19" s="1"/>
  <c r="AN497" i="19"/>
  <c r="AP497" i="19" s="1"/>
  <c r="AO497" i="19" s="1"/>
  <c r="AN433" i="19"/>
  <c r="AP433" i="19" s="1"/>
  <c r="AO433" i="19" s="1"/>
  <c r="AN369" i="19"/>
  <c r="AP369" i="19" s="1"/>
  <c r="AO369" i="19" s="1"/>
  <c r="AN536" i="19"/>
  <c r="AP536" i="19" s="1"/>
  <c r="AO536" i="19" s="1"/>
  <c r="AN472" i="19"/>
  <c r="AP472" i="19" s="1"/>
  <c r="AO472" i="19" s="1"/>
  <c r="AN575" i="19"/>
  <c r="AN511" i="19"/>
  <c r="AP511" i="19" s="1"/>
  <c r="AO511" i="19" s="1"/>
  <c r="AN447" i="19"/>
  <c r="AP447" i="19" s="1"/>
  <c r="AO447" i="19" s="1"/>
  <c r="AN383" i="19"/>
  <c r="AP383" i="19" s="1"/>
  <c r="AO383" i="19" s="1"/>
  <c r="AN533" i="19"/>
  <c r="AP533" i="19" s="1"/>
  <c r="AO533" i="19" s="1"/>
  <c r="AN469" i="19"/>
  <c r="AP469" i="19" s="1"/>
  <c r="AO469" i="19" s="1"/>
  <c r="AN405" i="19"/>
  <c r="AP405" i="19" s="1"/>
  <c r="AO405" i="19" s="1"/>
  <c r="AN408" i="19"/>
  <c r="AP408" i="19" s="1"/>
  <c r="AO408" i="19" s="1"/>
  <c r="AN323" i="19"/>
  <c r="AP323" i="19" s="1"/>
  <c r="AO323" i="19" s="1"/>
  <c r="L776" i="28" s="1" a="1"/>
  <c r="L776" i="28" s="1"/>
  <c r="K776" i="28" s="1"/>
  <c r="AN588" i="19"/>
  <c r="AN354" i="19"/>
  <c r="AP354" i="19" s="1"/>
  <c r="AO354" i="19" s="1"/>
  <c r="AN290" i="19"/>
  <c r="AP290" i="19" s="1"/>
  <c r="AO290" i="19" s="1"/>
  <c r="AN381" i="19"/>
  <c r="AP381" i="19" s="1"/>
  <c r="AO381" i="19" s="1"/>
  <c r="AN313" i="19"/>
  <c r="AP313" i="19" s="1"/>
  <c r="AO313" i="19" s="1"/>
  <c r="AN564" i="19"/>
  <c r="AN368" i="19"/>
  <c r="AP368" i="19" s="1"/>
  <c r="AO368" i="19" s="1"/>
  <c r="AN304" i="19"/>
  <c r="AP304" i="19" s="1"/>
  <c r="AO304" i="19" s="1"/>
  <c r="AN438" i="19"/>
  <c r="AP438" i="19" s="1"/>
  <c r="AO438" i="19" s="1"/>
  <c r="AN359" i="19"/>
  <c r="AP359" i="19" s="1"/>
  <c r="AO359" i="19" s="1"/>
  <c r="AN295" i="19"/>
  <c r="AP295" i="19" s="1"/>
  <c r="AO295" i="19" s="1"/>
  <c r="AN424" i="19"/>
  <c r="AP424" i="19" s="1"/>
  <c r="AO424" i="19" s="1"/>
  <c r="AN341" i="19"/>
  <c r="AP341" i="19" s="1"/>
  <c r="AO341" i="19" s="1"/>
  <c r="AN277" i="19"/>
  <c r="AP277" i="19" s="1"/>
  <c r="AO277" i="19" s="1"/>
  <c r="AN253" i="19"/>
  <c r="AP253" i="19" s="1"/>
  <c r="AO253" i="19" s="1"/>
  <c r="AN189" i="19"/>
  <c r="AP189" i="19" s="1"/>
  <c r="AO189" i="19" s="1"/>
  <c r="AN378" i="19"/>
  <c r="AP378" i="19" s="1"/>
  <c r="AO378" i="19" s="1"/>
  <c r="AN220" i="19"/>
  <c r="AP220" i="19" s="1"/>
  <c r="AO220" i="19" s="1"/>
  <c r="AN156" i="19"/>
  <c r="AP156" i="19" s="1"/>
  <c r="AO156" i="19" s="1"/>
  <c r="AN366" i="19"/>
  <c r="AP366" i="19" s="1"/>
  <c r="AO366" i="19" s="1"/>
  <c r="AN227" i="19"/>
  <c r="AP227" i="19" s="1"/>
  <c r="AO227" i="19" s="1"/>
  <c r="AN163" i="19"/>
  <c r="AP163" i="19" s="1"/>
  <c r="AO163" i="19" s="1"/>
  <c r="AN340" i="19"/>
  <c r="AP340" i="19" s="1"/>
  <c r="AO340" i="19" s="1"/>
  <c r="AN250" i="19"/>
  <c r="AP250" i="19" s="1"/>
  <c r="AO250" i="19" s="1"/>
  <c r="AN186" i="19"/>
  <c r="AP186" i="19" s="1"/>
  <c r="AO186" i="19" s="1"/>
  <c r="AN122" i="19"/>
  <c r="AP122" i="19" s="1"/>
  <c r="AO122" i="19" s="1"/>
  <c r="AN258" i="19"/>
  <c r="AP258" i="19" s="1"/>
  <c r="AO258" i="19" s="1"/>
  <c r="AN193" i="19"/>
  <c r="AP193" i="19" s="1"/>
  <c r="AO193" i="19" s="1"/>
  <c r="AN129" i="19"/>
  <c r="AP129" i="19" s="1"/>
  <c r="AO129" i="19" s="1"/>
  <c r="AN278" i="19"/>
  <c r="AP278" i="19" s="1"/>
  <c r="AO278" i="19" s="1"/>
  <c r="AN199" i="19"/>
  <c r="AP199" i="19" s="1"/>
  <c r="AO199" i="19" s="1"/>
  <c r="AN412" i="19"/>
  <c r="AP412" i="19" s="1"/>
  <c r="AO412" i="19" s="1"/>
  <c r="AN216" i="19"/>
  <c r="AP216" i="19" s="1"/>
  <c r="AO216" i="19" s="1"/>
  <c r="AN66" i="19"/>
  <c r="AP66" i="19" s="1"/>
  <c r="AO66" i="19" s="1"/>
  <c r="AN62" i="19"/>
  <c r="AP62" i="19" s="1"/>
  <c r="AO62" i="19" s="1"/>
  <c r="AN35" i="19"/>
  <c r="AP35" i="19" s="1"/>
  <c r="AO35" i="19" s="1"/>
  <c r="AN99" i="19"/>
  <c r="AP99" i="19" s="1"/>
  <c r="AO99" i="19" s="1"/>
  <c r="AN230" i="19"/>
  <c r="AP230" i="19" s="1"/>
  <c r="AO230" i="19" s="1"/>
  <c r="AP25" i="19" l="1"/>
  <c r="AP27" i="19"/>
  <c r="AP22" i="19"/>
  <c r="AP21" i="19"/>
  <c r="AP24" i="19"/>
  <c r="AP26" i="19"/>
  <c r="AP23" i="19"/>
  <c r="AP15" i="19"/>
  <c r="AP17" i="19"/>
  <c r="AP19" i="19"/>
  <c r="AP11" i="19"/>
  <c r="AP14" i="19"/>
  <c r="AP13" i="19"/>
  <c r="AP20" i="19"/>
  <c r="AP16" i="19"/>
  <c r="AP12" i="19"/>
  <c r="AP18" i="19"/>
  <c r="L764" i="28" a="1"/>
  <c r="L764" i="28" s="1"/>
  <c r="K764" i="28" s="1"/>
  <c r="L786" i="28" a="1"/>
  <c r="L786" i="28" s="1"/>
  <c r="K786" i="28" s="1"/>
  <c r="L790" i="28" a="1"/>
  <c r="L790" i="28" s="1"/>
  <c r="K790" i="28" s="1"/>
  <c r="L796" i="28" a="1"/>
  <c r="L796" i="28" s="1"/>
  <c r="K796" i="28" s="1"/>
  <c r="L757" i="28" a="1"/>
  <c r="L757" i="28" s="1"/>
  <c r="K757" i="28" s="1"/>
  <c r="L765" i="28" a="1"/>
  <c r="L765" i="28" s="1"/>
  <c r="K765" i="28" s="1"/>
  <c r="L787" i="28" a="1"/>
  <c r="L787" i="28" s="1"/>
  <c r="K787" i="28" s="1"/>
  <c r="L788" i="28" a="1"/>
  <c r="L788" i="28" s="1"/>
  <c r="K788" i="28" s="1"/>
  <c r="L794" i="28" a="1"/>
  <c r="L794" i="28" s="1"/>
  <c r="K794" i="28" s="1"/>
  <c r="L797" i="28" a="1"/>
  <c r="L797" i="28" s="1"/>
  <c r="K797" i="28" s="1"/>
  <c r="L763" i="28" a="1"/>
  <c r="L763" i="28" s="1"/>
  <c r="K763" i="28" s="1"/>
  <c r="L789" i="28" a="1"/>
  <c r="L789" i="28" s="1"/>
  <c r="K789" i="28" s="1"/>
  <c r="L792" i="28" a="1"/>
  <c r="L792" i="28" s="1"/>
  <c r="K792" i="28" s="1"/>
  <c r="L762" i="28" a="1"/>
  <c r="L762" i="28" s="1"/>
  <c r="K762" i="28" s="1"/>
  <c r="L791" i="28" a="1"/>
  <c r="L791" i="28" s="1"/>
  <c r="K791" i="28" s="1"/>
  <c r="L778" i="28" a="1"/>
  <c r="L778" i="28" s="1"/>
  <c r="K778" i="28" s="1"/>
  <c r="L768" i="28" a="1"/>
  <c r="L768" i="28" s="1"/>
  <c r="K768" i="28" s="1"/>
  <c r="L772" i="28" a="1"/>
  <c r="L772" i="28" s="1"/>
  <c r="K772" i="28" s="1"/>
  <c r="L780" i="28" a="1"/>
  <c r="L780" i="28" s="1"/>
  <c r="K780" i="28" s="1"/>
  <c r="L793" i="28" a="1"/>
  <c r="L793" i="28" s="1"/>
  <c r="K793" i="28" s="1"/>
  <c r="L766" i="28" a="1"/>
  <c r="L766" i="28" s="1"/>
  <c r="K766" i="28" s="1"/>
  <c r="L767" i="28" a="1"/>
  <c r="L767" i="28" s="1"/>
  <c r="K767" i="28" s="1"/>
  <c r="L795" i="28" a="1"/>
  <c r="L795" i="28" s="1"/>
  <c r="K795" i="28" s="1"/>
  <c r="L802" i="28" a="1"/>
  <c r="L802" i="28" s="1"/>
  <c r="K802" i="28" s="1"/>
  <c r="L771" i="28" a="1"/>
  <c r="L771" i="28" s="1"/>
  <c r="K771" i="28" s="1"/>
  <c r="L801" i="28" a="1"/>
  <c r="L801" i="28" s="1"/>
  <c r="K801" i="28" s="1"/>
  <c r="L769" i="28" a="1"/>
  <c r="L769" i="28" s="1"/>
  <c r="K769" i="28" s="1"/>
  <c r="L770" i="28" a="1"/>
  <c r="L770" i="28" s="1"/>
  <c r="K770" i="28" s="1"/>
  <c r="L756" i="28" a="1"/>
  <c r="L756" i="28" s="1"/>
  <c r="K756" i="28" s="1"/>
  <c r="L760" i="28" a="1"/>
  <c r="L760" i="28" s="1"/>
  <c r="K760" i="28" s="1"/>
  <c r="L799" i="28" a="1"/>
  <c r="L799" i="28" s="1"/>
  <c r="K799" i="28" s="1"/>
  <c r="L781" i="28" a="1"/>
  <c r="L781" i="28" s="1"/>
  <c r="K781" i="28" s="1"/>
  <c r="L800" i="28" a="1"/>
  <c r="L800" i="28" s="1"/>
  <c r="K800" i="28" s="1"/>
  <c r="L774" i="28" a="1"/>
  <c r="L774" i="28" s="1"/>
  <c r="K774" i="28" s="1"/>
  <c r="L755" i="28" a="1"/>
  <c r="L755" i="28" s="1"/>
  <c r="K755" i="28" s="1"/>
  <c r="L798" i="28" a="1"/>
  <c r="L798" i="28" s="1"/>
  <c r="K798" i="28" s="1"/>
  <c r="L17" i="28" a="1"/>
  <c r="L17" i="28" s="1"/>
  <c r="K17" i="28" s="1"/>
  <c r="L20" i="28" a="1"/>
  <c r="L20" i="28" s="1"/>
  <c r="K20" i="28" s="1"/>
  <c r="L19" i="28" a="1"/>
  <c r="L19" i="28" s="1"/>
  <c r="K19" i="28" s="1"/>
  <c r="L12" i="28" a="1"/>
  <c r="L12" i="28" s="1"/>
  <c r="K12" i="28" s="1"/>
  <c r="L21" i="28" a="1"/>
  <c r="L21" i="28" s="1"/>
  <c r="K21" i="28" s="1"/>
  <c r="L18" i="28" a="1"/>
  <c r="L18" i="28" s="1"/>
  <c r="K18" i="28" s="1"/>
  <c r="L11" i="28" a="1"/>
  <c r="L11" i="28" s="1"/>
  <c r="K11" i="28" s="1"/>
  <c r="L188" i="28" a="1"/>
  <c r="L188" i="28" s="1"/>
  <c r="K188" i="28" s="1"/>
  <c r="L287" i="28" a="1"/>
  <c r="L287" i="28" s="1"/>
  <c r="K287" i="28" s="1"/>
  <c r="L341" i="28" a="1"/>
  <c r="L341" i="28" s="1"/>
  <c r="K341" i="28" s="1"/>
  <c r="L349" i="28" a="1"/>
  <c r="L349" i="28" s="1"/>
  <c r="K349" i="28" s="1"/>
  <c r="L352" i="28" a="1"/>
  <c r="L352" i="28" s="1"/>
  <c r="K352" i="28" s="1"/>
  <c r="L361" i="28" a="1"/>
  <c r="L361" i="28" s="1"/>
  <c r="K361" i="28" s="1"/>
  <c r="L343" i="28" a="1"/>
  <c r="L343" i="28" s="1"/>
  <c r="K343" i="28" s="1"/>
  <c r="L348" i="28" a="1"/>
  <c r="L348" i="28" s="1"/>
  <c r="K348" i="28" s="1"/>
  <c r="L353" i="28" a="1"/>
  <c r="L353" i="28" s="1"/>
  <c r="K353" i="28" s="1"/>
  <c r="L402" i="28" a="1"/>
  <c r="L402" i="28" s="1"/>
  <c r="K402" i="28" s="1"/>
  <c r="L454" i="28" a="1"/>
  <c r="L454" i="28" s="1"/>
  <c r="K454" i="28" s="1"/>
  <c r="L423" i="28" a="1"/>
  <c r="L423" i="28" s="1"/>
  <c r="K423" i="28" s="1"/>
  <c r="L448" i="28" a="1"/>
  <c r="L448" i="28" s="1"/>
  <c r="K448" i="28" s="1"/>
  <c r="L504" i="28" a="1"/>
  <c r="L504" i="28" s="1"/>
  <c r="K504" i="28" s="1"/>
  <c r="L288" i="28" a="1"/>
  <c r="L288" i="28" s="1"/>
  <c r="K288" i="28" s="1"/>
  <c r="L480" i="28" a="1"/>
  <c r="L480" i="28" s="1"/>
  <c r="K480" i="28" s="1"/>
  <c r="L422" i="28" a="1"/>
  <c r="L422" i="28" s="1"/>
  <c r="K422" i="28" s="1"/>
  <c r="L350" i="28" a="1"/>
  <c r="L350" i="28" s="1"/>
  <c r="K350" i="28" s="1"/>
  <c r="L14" i="28" a="1"/>
  <c r="L14" i="28" s="1"/>
  <c r="K14" i="28" s="1"/>
  <c r="L16" i="28" a="1"/>
  <c r="L16" i="28" s="1"/>
  <c r="K16" i="28" s="1"/>
  <c r="L455" i="28" a="1"/>
  <c r="L455" i="28" s="1"/>
  <c r="K455" i="28" s="1"/>
  <c r="L401" i="28" a="1"/>
  <c r="L401" i="28" s="1"/>
  <c r="K401" i="28" s="1"/>
  <c r="L286" i="28" a="1"/>
  <c r="L286" i="28" s="1"/>
  <c r="K286" i="28" s="1"/>
  <c r="L284" i="28" a="1"/>
  <c r="L284" i="28" s="1"/>
  <c r="K284" i="28" s="1"/>
  <c r="L15" i="28" a="1"/>
  <c r="L15" i="28" s="1"/>
  <c r="K15" i="28" s="1"/>
  <c r="L400" i="28" a="1"/>
  <c r="L400" i="28" s="1"/>
  <c r="K400" i="28" s="1"/>
  <c r="L285" i="28" a="1"/>
  <c r="L285" i="28" s="1"/>
  <c r="K285" i="28" s="1"/>
  <c r="L13" i="28" a="1"/>
  <c r="L13" i="28" s="1"/>
  <c r="K13" i="28" s="1"/>
  <c r="L421" i="28" a="1"/>
  <c r="L421" i="28" s="1"/>
  <c r="K421" i="28" s="1"/>
  <c r="L347" i="28" a="1"/>
  <c r="L347" i="28" s="1"/>
  <c r="K347" i="28" s="1"/>
  <c r="L449" i="28" a="1"/>
  <c r="L449" i="28" s="1"/>
  <c r="K449" i="28" s="1"/>
  <c r="L346" i="28" a="1"/>
  <c r="L346" i="28" s="1"/>
  <c r="K346" i="28" s="1"/>
  <c r="L481" i="28" a="1"/>
  <c r="L481" i="28" s="1"/>
  <c r="K481" i="28" s="1"/>
  <c r="L424" i="28" a="1"/>
  <c r="L424" i="28" s="1"/>
  <c r="K424" i="28" s="1"/>
  <c r="L471" i="28" a="1"/>
  <c r="L471" i="28" s="1"/>
  <c r="K471" i="28" s="1"/>
  <c r="L283" i="28" a="1"/>
  <c r="L283" i="28" s="1"/>
  <c r="K283" i="28" s="1"/>
  <c r="L351" i="28" a="1"/>
  <c r="L351" i="28" s="1"/>
  <c r="K351" i="28" s="1"/>
  <c r="L148" i="28" a="1"/>
  <c r="L148" i="28" s="1"/>
  <c r="K148" i="28" s="1"/>
  <c r="L170" i="28" a="1"/>
  <c r="L170" i="28" s="1"/>
  <c r="K170" i="28" s="1"/>
  <c r="L195" i="28" a="1"/>
  <c r="L195" i="28" s="1"/>
  <c r="K195" i="28" s="1"/>
  <c r="L192" i="28" a="1"/>
  <c r="L192" i="28" s="1"/>
  <c r="K192" i="28" s="1"/>
  <c r="L278" i="28" a="1"/>
  <c r="L278" i="28" s="1"/>
  <c r="K278" i="28" s="1"/>
  <c r="L169" i="28" a="1"/>
  <c r="L169" i="28" s="1"/>
  <c r="K169" i="28" s="1"/>
  <c r="L67" i="28" a="1"/>
  <c r="L67" i="28" s="1"/>
  <c r="K67" i="28" s="1"/>
  <c r="L66" i="28" a="1"/>
  <c r="L66" i="28" s="1"/>
  <c r="K66" i="28" s="1"/>
  <c r="L135" i="28" a="1"/>
  <c r="L135" i="28" s="1"/>
  <c r="K135" i="28" s="1"/>
  <c r="L164" i="28" a="1"/>
  <c r="L164" i="28" s="1"/>
  <c r="K164" i="28" s="1"/>
  <c r="L93" i="28" a="1"/>
  <c r="L93" i="28" s="1"/>
  <c r="K93" i="28" s="1"/>
  <c r="L96" i="28" a="1"/>
  <c r="L96" i="28" s="1"/>
  <c r="K96" i="28" s="1"/>
  <c r="L116" i="28" a="1"/>
  <c r="L116" i="28" s="1"/>
  <c r="K116" i="28" s="1"/>
  <c r="L53" i="28" a="1"/>
  <c r="L53" i="28" s="1"/>
  <c r="K53" i="28" s="1"/>
  <c r="L201" i="28" a="1"/>
  <c r="L201" i="28" s="1"/>
  <c r="K201" i="28" s="1"/>
  <c r="L505" i="28" a="1"/>
  <c r="L505" i="28" s="1"/>
  <c r="K505" i="28" s="1"/>
  <c r="L506" i="28" a="1"/>
  <c r="L506" i="28" s="1"/>
  <c r="K506" i="28" s="1"/>
  <c r="L114" i="28" a="1"/>
  <c r="L114" i="28" s="1"/>
  <c r="K114" i="28" s="1"/>
  <c r="L136" i="28" a="1"/>
  <c r="L136" i="28" s="1"/>
  <c r="K136" i="28" s="1"/>
  <c r="L174" i="28" a="1"/>
  <c r="L174" i="28" s="1"/>
  <c r="K174" i="28" s="1"/>
  <c r="L88" i="28" a="1"/>
  <c r="L88" i="28" s="1"/>
  <c r="K88" i="28" s="1"/>
  <c r="L466" i="28" a="1"/>
  <c r="L466" i="28" s="1"/>
  <c r="K466" i="28" s="1"/>
  <c r="L467" i="28" a="1"/>
  <c r="L467" i="28" s="1"/>
  <c r="K467" i="28" s="1"/>
  <c r="L468" i="28" a="1"/>
  <c r="L468" i="28" s="1"/>
  <c r="K468" i="28" s="1"/>
  <c r="L465" i="28" a="1"/>
  <c r="L465" i="28" s="1"/>
  <c r="K465" i="28" s="1"/>
  <c r="L469" i="28" a="1"/>
  <c r="L469" i="28" s="1"/>
  <c r="K469" i="28" s="1"/>
  <c r="L10" i="28" a="1"/>
  <c r="L10" i="28" s="1"/>
  <c r="K10" i="28" s="1"/>
  <c r="L173" i="28" a="1"/>
  <c r="L173" i="28" s="1"/>
  <c r="K173" i="28" s="1"/>
  <c r="L263" i="28" a="1"/>
  <c r="L263" i="28" s="1"/>
  <c r="K263" i="28" s="1"/>
  <c r="L200" i="28" a="1"/>
  <c r="L200" i="28" s="1"/>
  <c r="K200" i="28" s="1"/>
  <c r="L264" i="28" a="1"/>
  <c r="L264" i="28" s="1"/>
  <c r="K264" i="28" s="1"/>
  <c r="L111" i="28" a="1"/>
  <c r="L111" i="28" s="1"/>
  <c r="K111" i="28" s="1"/>
  <c r="L89" i="28" a="1"/>
  <c r="L89" i="28" s="1"/>
  <c r="K89" i="28" s="1"/>
  <c r="L235" i="28" a="1"/>
  <c r="L235" i="28" s="1"/>
  <c r="K235" i="28" s="1"/>
  <c r="L512" i="28" a="1"/>
  <c r="L512" i="28" s="1"/>
  <c r="K512" i="28" s="1"/>
  <c r="L511" i="28" a="1"/>
  <c r="L511" i="28" s="1"/>
  <c r="K511" i="28" s="1"/>
  <c r="L544" i="28" a="1"/>
  <c r="L544" i="28" s="1"/>
  <c r="K544" i="28" s="1"/>
  <c r="L543" i="28" a="1"/>
  <c r="L543" i="28" s="1"/>
  <c r="K543" i="28" s="1"/>
  <c r="L500" i="28" a="1"/>
  <c r="L500" i="28" s="1"/>
  <c r="K500" i="28" s="1"/>
  <c r="L496" i="28" a="1"/>
  <c r="L496" i="28" s="1"/>
  <c r="K496" i="28" s="1"/>
  <c r="L502" i="28" a="1"/>
  <c r="L502" i="28" s="1"/>
  <c r="K502" i="28" s="1"/>
  <c r="L499" i="28" a="1"/>
  <c r="L499" i="28" s="1"/>
  <c r="K499" i="28" s="1"/>
  <c r="L498" i="28" a="1"/>
  <c r="L498" i="28" s="1"/>
  <c r="K498" i="28" s="1"/>
  <c r="L501" i="28" a="1"/>
  <c r="L501" i="28" s="1"/>
  <c r="K501" i="28" s="1"/>
  <c r="L503" i="28" a="1"/>
  <c r="L503" i="28" s="1"/>
  <c r="K503" i="28" s="1"/>
  <c r="L497" i="28" a="1"/>
  <c r="L497" i="28" s="1"/>
  <c r="K497" i="28" s="1"/>
  <c r="L372" i="28" a="1"/>
  <c r="L372" i="28" s="1"/>
  <c r="K372" i="28" s="1"/>
  <c r="L380" i="28" a="1"/>
  <c r="L380" i="28" s="1"/>
  <c r="K380" i="28" s="1"/>
  <c r="L388" i="28" a="1"/>
  <c r="L388" i="28" s="1"/>
  <c r="K388" i="28" s="1"/>
  <c r="L396" i="28" a="1"/>
  <c r="L396" i="28" s="1"/>
  <c r="K396" i="28" s="1"/>
  <c r="L365" i="28" a="1"/>
  <c r="L365" i="28" s="1"/>
  <c r="K365" i="28" s="1"/>
  <c r="L370" i="28" a="1"/>
  <c r="L370" i="28" s="1"/>
  <c r="K370" i="28" s="1"/>
  <c r="L378" i="28" a="1"/>
  <c r="L378" i="28" s="1"/>
  <c r="K378" i="28" s="1"/>
  <c r="L386" i="28" a="1"/>
  <c r="L386" i="28" s="1"/>
  <c r="K386" i="28" s="1"/>
  <c r="L394" i="28" a="1"/>
  <c r="L394" i="28" s="1"/>
  <c r="K394" i="28" s="1"/>
  <c r="L369" i="28" a="1"/>
  <c r="L369" i="28" s="1"/>
  <c r="K369" i="28" s="1"/>
  <c r="L364" i="28" a="1"/>
  <c r="L364" i="28" s="1"/>
  <c r="K364" i="28" s="1"/>
  <c r="L389" i="28" a="1"/>
  <c r="L389" i="28" s="1"/>
  <c r="K389" i="28" s="1"/>
  <c r="L381" i="28" a="1"/>
  <c r="L381" i="28" s="1"/>
  <c r="K381" i="28" s="1"/>
  <c r="L373" i="28" a="1"/>
  <c r="L373" i="28" s="1"/>
  <c r="K373" i="28" s="1"/>
  <c r="L397" i="28" a="1"/>
  <c r="L397" i="28" s="1"/>
  <c r="K397" i="28" s="1"/>
  <c r="L390" i="28" a="1"/>
  <c r="L390" i="28" s="1"/>
  <c r="K390" i="28" s="1"/>
  <c r="L387" i="28" a="1"/>
  <c r="L387" i="28" s="1"/>
  <c r="K387" i="28" s="1"/>
  <c r="L392" i="28" a="1"/>
  <c r="L392" i="28" s="1"/>
  <c r="K392" i="28" s="1"/>
  <c r="L393" i="28" a="1"/>
  <c r="L393" i="28" s="1"/>
  <c r="K393" i="28" s="1"/>
  <c r="L367" i="28" a="1"/>
  <c r="L367" i="28" s="1"/>
  <c r="K367" i="28" s="1"/>
  <c r="L398" i="28" a="1"/>
  <c r="L398" i="28" s="1"/>
  <c r="K398" i="28" s="1"/>
  <c r="L395" i="28" a="1"/>
  <c r="L395" i="28" s="1"/>
  <c r="K395" i="28" s="1"/>
  <c r="L371" i="28" a="1"/>
  <c r="L371" i="28" s="1"/>
  <c r="K371" i="28" s="1"/>
  <c r="L391" i="28" a="1"/>
  <c r="L391" i="28" s="1"/>
  <c r="K391" i="28" s="1"/>
  <c r="L377" i="28" a="1"/>
  <c r="L377" i="28" s="1"/>
  <c r="K377" i="28" s="1"/>
  <c r="L385" i="28" a="1"/>
  <c r="L385" i="28" s="1"/>
  <c r="K385" i="28" s="1"/>
  <c r="L384" i="28" a="1"/>
  <c r="L384" i="28" s="1"/>
  <c r="K384" i="28" s="1"/>
  <c r="L374" i="28" a="1"/>
  <c r="L374" i="28" s="1"/>
  <c r="K374" i="28" s="1"/>
  <c r="L382" i="28" a="1"/>
  <c r="L382" i="28" s="1"/>
  <c r="K382" i="28" s="1"/>
  <c r="L379" i="28" a="1"/>
  <c r="L379" i="28" s="1"/>
  <c r="K379" i="28" s="1"/>
  <c r="L375" i="28" a="1"/>
  <c r="L375" i="28" s="1"/>
  <c r="K375" i="28" s="1"/>
  <c r="L368" i="28" a="1"/>
  <c r="L368" i="28" s="1"/>
  <c r="K368" i="28" s="1"/>
  <c r="L561" i="28" a="1"/>
  <c r="L561" i="28" s="1"/>
  <c r="K561" i="28" s="1"/>
  <c r="L569" i="28" a="1"/>
  <c r="L569" i="28" s="1"/>
  <c r="K569" i="28" s="1"/>
  <c r="L585" i="28" a="1"/>
  <c r="L585" i="28" s="1"/>
  <c r="K585" i="28" s="1"/>
  <c r="L617" i="28" a="1"/>
  <c r="L617" i="28" s="1"/>
  <c r="K617" i="28" s="1"/>
  <c r="L550" i="28" a="1"/>
  <c r="L550" i="28" s="1"/>
  <c r="K550" i="28" s="1"/>
  <c r="L706" i="28" a="1"/>
  <c r="L706" i="28" s="1"/>
  <c r="K706" i="28" s="1"/>
  <c r="L738" i="28" a="1"/>
  <c r="L738" i="28" s="1"/>
  <c r="K738" i="28" s="1"/>
  <c r="L754" i="28" a="1"/>
  <c r="L754" i="28" s="1"/>
  <c r="K754" i="28" s="1"/>
  <c r="L721" i="28" a="1"/>
  <c r="L721" i="28" s="1"/>
  <c r="K721" i="28" s="1"/>
  <c r="L729" i="28" a="1"/>
  <c r="L729" i="28" s="1"/>
  <c r="K729" i="28" s="1"/>
  <c r="L753" i="28" a="1"/>
  <c r="L753" i="28" s="1"/>
  <c r="K753" i="28" s="1"/>
  <c r="L618" i="28" a="1"/>
  <c r="L618" i="28" s="1"/>
  <c r="K618" i="28" s="1"/>
  <c r="L655" i="28" a="1"/>
  <c r="L655" i="28" s="1"/>
  <c r="K655" i="28" s="1"/>
  <c r="L703" i="28" a="1"/>
  <c r="L703" i="28" s="1"/>
  <c r="K703" i="28" s="1"/>
  <c r="L709" i="28" a="1"/>
  <c r="L709" i="28" s="1"/>
  <c r="K709" i="28" s="1"/>
  <c r="L733" i="28" a="1"/>
  <c r="L733" i="28" s="1"/>
  <c r="K733" i="28" s="1"/>
  <c r="L741" i="28" a="1"/>
  <c r="L741" i="28" s="1"/>
  <c r="K741" i="28" s="1"/>
  <c r="L749" i="28" a="1"/>
  <c r="L749" i="28" s="1"/>
  <c r="K749" i="28" s="1"/>
  <c r="L723" i="28" a="1"/>
  <c r="L723" i="28" s="1"/>
  <c r="K723" i="28" s="1"/>
  <c r="L731" i="28" a="1"/>
  <c r="L731" i="28" s="1"/>
  <c r="K731" i="28" s="1"/>
  <c r="L739" i="28" a="1"/>
  <c r="L739" i="28" s="1"/>
  <c r="K739" i="28" s="1"/>
  <c r="L719" i="28" a="1"/>
  <c r="L719" i="28" s="1"/>
  <c r="K719" i="28" s="1"/>
  <c r="L752" i="28" a="1"/>
  <c r="L752" i="28" s="1"/>
  <c r="K752" i="28" s="1"/>
  <c r="L736" i="28" a="1"/>
  <c r="L736" i="28" s="1"/>
  <c r="K736" i="28" s="1"/>
  <c r="L740" i="28" a="1"/>
  <c r="L740" i="28" s="1"/>
  <c r="K740" i="28" s="1"/>
  <c r="L606" i="28" a="1"/>
  <c r="L606" i="28" s="1"/>
  <c r="K606" i="28" s="1"/>
  <c r="L535" i="28" a="1"/>
  <c r="L535" i="28" s="1"/>
  <c r="K535" i="28" s="1"/>
  <c r="L647" i="28" a="1"/>
  <c r="L647" i="28" s="1"/>
  <c r="K647" i="28" s="1"/>
  <c r="L640" i="28" a="1"/>
  <c r="L640" i="28" s="1"/>
  <c r="K640" i="28" s="1"/>
  <c r="L716" i="28" a="1"/>
  <c r="L716" i="28" s="1"/>
  <c r="K716" i="28" s="1"/>
  <c r="L744" i="28" a="1"/>
  <c r="L744" i="28" s="1"/>
  <c r="K744" i="28" s="1"/>
  <c r="L710" i="28" a="1"/>
  <c r="L710" i="28" s="1"/>
  <c r="K710" i="28" s="1"/>
  <c r="L728" i="28" a="1"/>
  <c r="L728" i="28" s="1"/>
  <c r="K728" i="28" s="1"/>
  <c r="L597" i="28" a="1"/>
  <c r="L597" i="28" s="1"/>
  <c r="K597" i="28" s="1"/>
  <c r="L530" i="28" a="1"/>
  <c r="L530" i="28" s="1"/>
  <c r="K530" i="28" s="1"/>
  <c r="L628" i="28" a="1"/>
  <c r="L628" i="28" s="1"/>
  <c r="K628" i="28" s="1"/>
  <c r="L548" i="28" a="1"/>
  <c r="L548" i="28" s="1"/>
  <c r="K548" i="28" s="1"/>
  <c r="L726" i="28" a="1"/>
  <c r="L726" i="28" s="1"/>
  <c r="K726" i="28" s="1"/>
  <c r="L718" i="28" a="1"/>
  <c r="L718" i="28" s="1"/>
  <c r="K718" i="28" s="1"/>
  <c r="L581" i="28" a="1"/>
  <c r="L581" i="28" s="1"/>
  <c r="K581" i="28" s="1"/>
  <c r="L612" i="28" a="1"/>
  <c r="L612" i="28" s="1"/>
  <c r="K612" i="28" s="1"/>
  <c r="L748" i="28" a="1"/>
  <c r="L748" i="28" s="1"/>
  <c r="K748" i="28" s="1"/>
  <c r="L529" i="28" a="1"/>
  <c r="L529" i="28" s="1"/>
  <c r="K529" i="28" s="1"/>
  <c r="L742" i="28" a="1"/>
  <c r="L742" i="28" s="1"/>
  <c r="K742" i="28" s="1"/>
  <c r="L671" i="28" a="1"/>
  <c r="L671" i="28" s="1"/>
  <c r="K671" i="28" s="1"/>
  <c r="L619" i="28" a="1"/>
  <c r="L619" i="28" s="1"/>
  <c r="K619" i="28" s="1"/>
  <c r="L750" i="28" a="1"/>
  <c r="L750" i="28" s="1"/>
  <c r="K750" i="28" s="1"/>
  <c r="L627" i="28" a="1"/>
  <c r="L627" i="28" s="1"/>
  <c r="K627" i="28" s="1"/>
  <c r="L560" i="28" a="1"/>
  <c r="L560" i="28" s="1"/>
  <c r="K560" i="28" s="1"/>
  <c r="L579" i="28" a="1"/>
  <c r="L579" i="28" s="1"/>
  <c r="K579" i="28" s="1"/>
  <c r="L567" i="28" a="1"/>
  <c r="L567" i="28" s="1"/>
  <c r="K567" i="28" s="1"/>
  <c r="L589" i="28" a="1"/>
  <c r="L589" i="28" s="1"/>
  <c r="K589" i="28" s="1"/>
  <c r="L549" i="28" a="1"/>
  <c r="L549" i="28" s="1"/>
  <c r="K549" i="28" s="1"/>
  <c r="L720" i="28" a="1"/>
  <c r="L720" i="28" s="1"/>
  <c r="K720" i="28" s="1"/>
  <c r="L686" i="28" a="1"/>
  <c r="L686" i="28" s="1"/>
  <c r="K686" i="28" s="1"/>
  <c r="L734" i="28" a="1"/>
  <c r="L734" i="28" s="1"/>
  <c r="K734" i="28" s="1"/>
  <c r="L751" i="28" a="1"/>
  <c r="L751" i="28" s="1"/>
  <c r="K751" i="28" s="1"/>
  <c r="L558" i="28" a="1"/>
  <c r="L558" i="28" s="1"/>
  <c r="K558" i="28" s="1"/>
  <c r="L643" i="28" a="1"/>
  <c r="L643" i="28" s="1"/>
  <c r="K643" i="28" s="1"/>
  <c r="L580" i="28" a="1"/>
  <c r="L580" i="28" s="1"/>
  <c r="K580" i="28" s="1"/>
  <c r="L631" i="28" a="1"/>
  <c r="L631" i="28" s="1"/>
  <c r="K631" i="28" s="1"/>
  <c r="L528" i="28" a="1"/>
  <c r="L528" i="28" s="1"/>
  <c r="K528" i="28" s="1"/>
  <c r="L520" i="28" a="1"/>
  <c r="L520" i="28" s="1"/>
  <c r="K520" i="28" s="1"/>
  <c r="L562" i="28" a="1"/>
  <c r="L562" i="28" s="1"/>
  <c r="K562" i="28" s="1"/>
  <c r="L673" i="28" a="1"/>
  <c r="L673" i="28" s="1"/>
  <c r="K673" i="28" s="1"/>
  <c r="L685" i="28" a="1"/>
  <c r="L685" i="28" s="1"/>
  <c r="K685" i="28" s="1"/>
  <c r="L638" i="28" a="1"/>
  <c r="L638" i="28" s="1"/>
  <c r="K638" i="28" s="1"/>
  <c r="L519" i="28" a="1"/>
  <c r="L519" i="28" s="1"/>
  <c r="K519" i="28" s="1"/>
  <c r="L611" i="28" a="1"/>
  <c r="L611" i="28" s="1"/>
  <c r="K611" i="28" s="1"/>
  <c r="L584" i="28" a="1"/>
  <c r="L584" i="28" s="1"/>
  <c r="K584" i="28" s="1"/>
  <c r="L598" i="28" a="1"/>
  <c r="L598" i="28" s="1"/>
  <c r="K598" i="28" s="1"/>
  <c r="L650" i="28" a="1"/>
  <c r="L650" i="28" s="1"/>
  <c r="K650" i="28" s="1"/>
  <c r="L547" i="28" a="1"/>
  <c r="L547" i="28" s="1"/>
  <c r="K547" i="28" s="1"/>
  <c r="L536" i="28" a="1"/>
  <c r="L536" i="28" s="1"/>
  <c r="K536" i="28" s="1"/>
  <c r="L566" i="28" a="1"/>
  <c r="L566" i="28" s="1"/>
  <c r="K566" i="28" s="1"/>
  <c r="L9" i="28" a="1"/>
  <c r="L9" i="28" s="1"/>
  <c r="K9" i="28" s="1"/>
  <c r="L52" i="28" a="1"/>
  <c r="L52" i="28" s="1"/>
  <c r="K52" i="28" s="1"/>
  <c r="L55" i="28" a="1"/>
  <c r="L55" i="28" s="1"/>
  <c r="K55" i="28" s="1"/>
  <c r="L39" i="28" a="1"/>
  <c r="L39" i="28" s="1"/>
  <c r="K39" i="28" s="1"/>
  <c r="L41" i="28" a="1"/>
  <c r="L41" i="28" s="1"/>
  <c r="K41" i="28" s="1"/>
  <c r="L8" i="28" a="1"/>
  <c r="L8" i="28" s="1"/>
  <c r="K8" i="28" s="1"/>
  <c r="L38" i="28" a="1"/>
  <c r="L38" i="28" s="1"/>
  <c r="K38" i="28" s="1"/>
  <c r="L40" i="28" a="1"/>
  <c r="L40" i="28" s="1"/>
  <c r="K40" i="28" s="1"/>
  <c r="L7" i="28" a="1"/>
  <c r="L7" i="28" s="1"/>
  <c r="K7" i="28" s="1"/>
  <c r="L54" i="28" a="1"/>
  <c r="L54" i="28" s="1"/>
  <c r="K54" i="28" s="1"/>
  <c r="L56" i="28" a="1"/>
  <c r="L56" i="28" s="1"/>
  <c r="K56" i="28" s="1"/>
  <c r="L599" i="28" a="1"/>
  <c r="L599" i="28" s="1"/>
  <c r="K599" i="28" s="1"/>
  <c r="L623" i="28" a="1"/>
  <c r="L623" i="28" s="1"/>
  <c r="K623" i="28" s="1"/>
  <c r="L657" i="28" a="1"/>
  <c r="L657" i="28" s="1"/>
  <c r="K657" i="28" s="1"/>
  <c r="L674" i="28" a="1"/>
  <c r="L674" i="28" s="1"/>
  <c r="K674" i="28" s="1"/>
  <c r="L613" i="28" a="1"/>
  <c r="L613" i="28" s="1"/>
  <c r="K613" i="28" s="1"/>
  <c r="L622" i="28" a="1"/>
  <c r="L622" i="28" s="1"/>
  <c r="K622" i="28" s="1"/>
  <c r="L670" i="28" a="1"/>
  <c r="L670" i="28" s="1"/>
  <c r="K670" i="28" s="1"/>
  <c r="L587" i="28" a="1"/>
  <c r="L587" i="28" s="1"/>
  <c r="K587" i="28" s="1"/>
  <c r="L51" i="28" a="1"/>
  <c r="L51" i="28" s="1"/>
  <c r="K51" i="28" s="1"/>
  <c r="L44" i="28" a="1"/>
  <c r="L44" i="28" s="1"/>
  <c r="K44" i="28" s="1"/>
  <c r="L50" i="28" a="1"/>
  <c r="L50" i="28" s="1"/>
  <c r="K50" i="28" s="1"/>
  <c r="L279" i="28" a="1"/>
  <c r="L279" i="28" s="1"/>
  <c r="K279" i="28" s="1"/>
  <c r="L281" i="28" a="1"/>
  <c r="L281" i="28" s="1"/>
  <c r="K281" i="28" s="1"/>
  <c r="L280" i="28" a="1"/>
  <c r="L280" i="28" s="1"/>
  <c r="K280" i="28" s="1"/>
  <c r="L47" i="28" a="1"/>
  <c r="L47" i="28" s="1"/>
  <c r="K47" i="28" s="1"/>
  <c r="L49" i="28" a="1"/>
  <c r="L49" i="28" s="1"/>
  <c r="K49" i="28" s="1"/>
  <c r="L45" i="28" a="1"/>
  <c r="L45" i="28" s="1"/>
  <c r="K45" i="28" s="1"/>
  <c r="L46" i="28" a="1"/>
  <c r="L46" i="28" s="1"/>
  <c r="K46" i="28" s="1"/>
  <c r="L48" i="28" a="1"/>
  <c r="L48" i="28" s="1"/>
  <c r="K48" i="28" s="1"/>
  <c r="L60" i="28" a="1"/>
  <c r="L60" i="28" s="1"/>
  <c r="K60" i="28" s="1"/>
  <c r="L61" i="28" a="1"/>
  <c r="L61" i="28" s="1"/>
  <c r="K61" i="28" s="1"/>
  <c r="L180" i="28" a="1"/>
  <c r="L180" i="28" s="1"/>
  <c r="K180" i="28" s="1"/>
  <c r="L219" i="28" a="1"/>
  <c r="L219" i="28" s="1"/>
  <c r="K219" i="28" s="1"/>
  <c r="L202" i="28" a="1"/>
  <c r="L202" i="28" s="1"/>
  <c r="K202" i="28" s="1"/>
  <c r="L178" i="28" a="1"/>
  <c r="L178" i="28" s="1"/>
  <c r="K178" i="28" s="1"/>
  <c r="L277" i="28" a="1"/>
  <c r="L277" i="28" s="1"/>
  <c r="K277" i="28" s="1"/>
  <c r="L269" i="28" a="1"/>
  <c r="L269" i="28" s="1"/>
  <c r="K269" i="28" s="1"/>
  <c r="L274" i="28" a="1"/>
  <c r="L274" i="28" s="1"/>
  <c r="K274" i="28" s="1"/>
  <c r="L276" i="28" a="1"/>
  <c r="L276" i="28" s="1"/>
  <c r="K276" i="28" s="1"/>
  <c r="L190" i="28" a="1"/>
  <c r="L190" i="28" s="1"/>
  <c r="K190" i="28" s="1"/>
  <c r="L197" i="28" a="1"/>
  <c r="L197" i="28" s="1"/>
  <c r="K197" i="28" s="1"/>
  <c r="L196" i="28" a="1"/>
  <c r="L196" i="28" s="1"/>
  <c r="K196" i="28" s="1"/>
  <c r="L203" i="28" a="1"/>
  <c r="L203" i="28" s="1"/>
  <c r="K203" i="28" s="1"/>
  <c r="L182" i="28" a="1"/>
  <c r="L182" i="28" s="1"/>
  <c r="K182" i="28" s="1"/>
  <c r="L304" i="28" a="1"/>
  <c r="L304" i="28" s="1"/>
  <c r="K304" i="28" s="1"/>
  <c r="L330" i="28" a="1"/>
  <c r="L330" i="28" s="1"/>
  <c r="K330" i="28" s="1"/>
  <c r="L198" i="28" a="1"/>
  <c r="L198" i="28" s="1"/>
  <c r="K198" i="28" s="1"/>
  <c r="L326" i="28" a="1"/>
  <c r="L326" i="28" s="1"/>
  <c r="K326" i="28" s="1"/>
  <c r="L97" i="28" a="1"/>
  <c r="L97" i="28" s="1"/>
  <c r="K97" i="28" s="1"/>
  <c r="L153" i="28" a="1"/>
  <c r="L153" i="28" s="1"/>
  <c r="K153" i="28" s="1"/>
  <c r="L65" i="28" a="1"/>
  <c r="L65" i="28" s="1"/>
  <c r="K65" i="28" s="1"/>
  <c r="L131" i="28" a="1"/>
  <c r="L131" i="28" s="1"/>
  <c r="K131" i="28" s="1"/>
  <c r="L187" i="28" a="1"/>
  <c r="L187" i="28" s="1"/>
  <c r="K187" i="28" s="1"/>
  <c r="L204" i="28" a="1"/>
  <c r="L204" i="28" s="1"/>
  <c r="K204" i="28" s="1"/>
  <c r="L71" i="28" a="1"/>
  <c r="L71" i="28" s="1"/>
  <c r="K71" i="28" s="1"/>
  <c r="L238" i="28" a="1"/>
  <c r="L238" i="28" s="1"/>
  <c r="K238" i="28" s="1"/>
  <c r="L515" i="28" a="1"/>
  <c r="L515" i="28" s="1"/>
  <c r="K515" i="28" s="1"/>
  <c r="L524" i="28" a="1"/>
  <c r="L524" i="28" s="1"/>
  <c r="K524" i="28" s="1"/>
  <c r="L689" i="28" a="1"/>
  <c r="L689" i="28" s="1"/>
  <c r="K689" i="28" s="1"/>
  <c r="L687" i="28" a="1"/>
  <c r="L687" i="28" s="1"/>
  <c r="K687" i="28" s="1"/>
  <c r="L699" i="28" a="1"/>
  <c r="L699" i="28" s="1"/>
  <c r="K699" i="28" s="1"/>
  <c r="L677" i="28" a="1"/>
  <c r="L677" i="28" s="1"/>
  <c r="K677" i="28" s="1"/>
  <c r="L679" i="28" a="1"/>
  <c r="L679" i="28" s="1"/>
  <c r="K679" i="28" s="1"/>
  <c r="L659" i="28" a="1"/>
  <c r="L659" i="28" s="1"/>
  <c r="K659" i="28" s="1"/>
  <c r="L667" i="28" a="1"/>
  <c r="L667" i="28" s="1"/>
  <c r="K667" i="28" s="1"/>
  <c r="L616" i="28" a="1"/>
  <c r="L616" i="28" s="1"/>
  <c r="K616" i="28" s="1"/>
  <c r="L624" i="28" a="1"/>
  <c r="L624" i="28" s="1"/>
  <c r="K624" i="28" s="1"/>
  <c r="L704" i="28" a="1"/>
  <c r="L704" i="28" s="1"/>
  <c r="K704" i="28" s="1"/>
  <c r="L702" i="28" a="1"/>
  <c r="L702" i="28" s="1"/>
  <c r="K702" i="28" s="1"/>
  <c r="L664" i="28" a="1"/>
  <c r="L664" i="28" s="1"/>
  <c r="K664" i="28" s="1"/>
  <c r="L600" i="28" a="1"/>
  <c r="L600" i="28" s="1"/>
  <c r="K600" i="28" s="1"/>
  <c r="L605" i="28" a="1"/>
  <c r="L605" i="28" s="1"/>
  <c r="K605" i="28" s="1"/>
  <c r="L539" i="28" a="1"/>
  <c r="L539" i="28" s="1"/>
  <c r="K539" i="28" s="1"/>
  <c r="L608" i="28" a="1"/>
  <c r="L608" i="28" s="1"/>
  <c r="K608" i="28" s="1"/>
  <c r="L565" i="28" a="1"/>
  <c r="L565" i="28" s="1"/>
  <c r="K565" i="28" s="1"/>
  <c r="L537" i="28" a="1"/>
  <c r="L537" i="28" s="1"/>
  <c r="K537" i="28" s="1"/>
  <c r="L609" i="28" a="1"/>
  <c r="L609" i="28" s="1"/>
  <c r="K609" i="28" s="1"/>
  <c r="L594" i="28" a="1"/>
  <c r="L594" i="28" s="1"/>
  <c r="K594" i="28" s="1"/>
  <c r="L633" i="28" a="1"/>
  <c r="L633" i="28" s="1"/>
  <c r="K633" i="28" s="1"/>
  <c r="L714" i="28" a="1"/>
  <c r="L714" i="28" s="1"/>
  <c r="K714" i="28" s="1"/>
  <c r="L722" i="28" a="1"/>
  <c r="L722" i="28" s="1"/>
  <c r="K722" i="28" s="1"/>
  <c r="L730" i="28" a="1"/>
  <c r="L730" i="28" s="1"/>
  <c r="K730" i="28" s="1"/>
  <c r="L746" i="28" a="1"/>
  <c r="L746" i="28" s="1"/>
  <c r="K746" i="28" s="1"/>
  <c r="L626" i="28" a="1"/>
  <c r="L626" i="28" s="1"/>
  <c r="K626" i="28" s="1"/>
  <c r="L681" i="28" a="1"/>
  <c r="L681" i="28" s="1"/>
  <c r="K681" i="28" s="1"/>
  <c r="L713" i="28" a="1"/>
  <c r="L713" i="28" s="1"/>
  <c r="K713" i="28" s="1"/>
  <c r="L737" i="28" a="1"/>
  <c r="L737" i="28" s="1"/>
  <c r="K737" i="28" s="1"/>
  <c r="L745" i="28" a="1"/>
  <c r="L745" i="28" s="1"/>
  <c r="K745" i="28" s="1"/>
  <c r="L644" i="28" a="1"/>
  <c r="L644" i="28" s="1"/>
  <c r="K644" i="28" s="1"/>
  <c r="L695" i="28" a="1"/>
  <c r="L695" i="28" s="1"/>
  <c r="K695" i="28" s="1"/>
  <c r="L546" i="28" a="1"/>
  <c r="L546" i="28" s="1"/>
  <c r="K546" i="28" s="1"/>
  <c r="L634" i="28" a="1"/>
  <c r="L634" i="28" s="1"/>
  <c r="K634" i="28" s="1"/>
  <c r="L668" i="28" a="1"/>
  <c r="L668" i="28" s="1"/>
  <c r="K668" i="28" s="1"/>
  <c r="L693" i="28" a="1"/>
  <c r="L693" i="28" s="1"/>
  <c r="K693" i="28" s="1"/>
  <c r="L725" i="28" a="1"/>
  <c r="L725" i="28" s="1"/>
  <c r="K725" i="28" s="1"/>
  <c r="L639" i="28" a="1"/>
  <c r="L639" i="28" s="1"/>
  <c r="K639" i="28" s="1"/>
  <c r="L747" i="28" a="1"/>
  <c r="L747" i="28" s="1"/>
  <c r="K747" i="28" s="1"/>
  <c r="L651" i="28" a="1"/>
  <c r="L651" i="28" s="1"/>
  <c r="K651" i="28" s="1"/>
  <c r="L672" i="28" a="1"/>
  <c r="L672" i="28" s="1"/>
  <c r="K672" i="28" s="1"/>
  <c r="L559" i="28" a="1"/>
  <c r="L559" i="28" s="1"/>
  <c r="K559" i="28" s="1"/>
  <c r="L732" i="28" a="1"/>
  <c r="L732" i="28" s="1"/>
  <c r="K732" i="28" s="1"/>
  <c r="L696" i="28" a="1"/>
  <c r="L696" i="28" s="1"/>
  <c r="K696" i="28" s="1"/>
  <c r="L727" i="28" a="1"/>
  <c r="L727" i="28" s="1"/>
  <c r="K727" i="28" s="1"/>
  <c r="L588" i="28" a="1"/>
  <c r="L588" i="28" s="1"/>
  <c r="K588" i="28" s="1"/>
  <c r="L621" i="28" a="1"/>
  <c r="L621" i="28" s="1"/>
  <c r="K621" i="28" s="1"/>
  <c r="L735" i="28" a="1"/>
  <c r="L735" i="28" s="1"/>
  <c r="K735" i="28" s="1"/>
  <c r="L724" i="28" a="1"/>
  <c r="L724" i="28" s="1"/>
  <c r="K724" i="28" s="1"/>
  <c r="L700" i="28" a="1"/>
  <c r="L700" i="28" s="1"/>
  <c r="K700" i="28" s="1"/>
  <c r="L517" i="28" a="1"/>
  <c r="L517" i="28" s="1"/>
  <c r="K517" i="28" s="1"/>
  <c r="L575" i="28" a="1"/>
  <c r="L575" i="28" s="1"/>
  <c r="K575" i="28" s="1"/>
  <c r="L540" i="28" a="1"/>
  <c r="L540" i="28" s="1"/>
  <c r="K540" i="28" s="1"/>
  <c r="L688" i="28" a="1"/>
  <c r="L688" i="28" s="1"/>
  <c r="K688" i="28" s="1"/>
  <c r="L571" i="28" a="1"/>
  <c r="L571" i="28" s="1"/>
  <c r="K571" i="28" s="1"/>
  <c r="L661" i="28" a="1"/>
  <c r="L661" i="28" s="1"/>
  <c r="K661" i="28" s="1"/>
  <c r="L708" i="28" a="1"/>
  <c r="L708" i="28" s="1"/>
  <c r="K708" i="28" s="1"/>
  <c r="L576" i="28" a="1"/>
  <c r="L576" i="28" s="1"/>
  <c r="K576" i="28" s="1"/>
  <c r="L743" i="28" a="1"/>
  <c r="L743" i="28" s="1"/>
  <c r="K743" i="28" s="1"/>
  <c r="L405" i="28" a="1"/>
  <c r="L405" i="28" s="1"/>
  <c r="K405" i="28" s="1"/>
  <c r="L404" i="28" a="1"/>
  <c r="L404" i="28" s="1"/>
  <c r="K404" i="28" s="1"/>
  <c r="L413" i="28" a="1"/>
  <c r="L413" i="28" s="1"/>
  <c r="K413" i="28" s="1"/>
  <c r="L412" i="28" a="1"/>
  <c r="L412" i="28" s="1"/>
  <c r="K412" i="28" s="1"/>
  <c r="L408" i="28" a="1"/>
  <c r="L408" i="28" s="1"/>
  <c r="K408" i="28" s="1"/>
  <c r="L406" i="28" a="1"/>
  <c r="L406" i="28" s="1"/>
  <c r="K406" i="28" s="1"/>
  <c r="L403" i="28" a="1"/>
  <c r="L403" i="28" s="1"/>
  <c r="K403" i="28" s="1"/>
  <c r="L410" i="28" a="1"/>
  <c r="L410" i="28" s="1"/>
  <c r="K410" i="28" s="1"/>
  <c r="L407" i="28" a="1"/>
  <c r="L407" i="28" s="1"/>
  <c r="K407" i="28" s="1"/>
  <c r="L411" i="28" a="1"/>
  <c r="L411" i="28" s="1"/>
  <c r="K411" i="28" s="1"/>
  <c r="L296" i="28" a="1"/>
  <c r="L296" i="28" s="1"/>
  <c r="K296" i="28" s="1"/>
  <c r="L207" i="28" a="1"/>
  <c r="L207" i="28" s="1"/>
  <c r="K207" i="28" s="1"/>
  <c r="L265" i="28" a="1"/>
  <c r="L265" i="28" s="1"/>
  <c r="K265" i="28" s="1"/>
  <c r="L293" i="28" a="1"/>
  <c r="L293" i="28" s="1"/>
  <c r="K293" i="28" s="1"/>
  <c r="L206" i="28" a="1"/>
  <c r="L206" i="28" s="1"/>
  <c r="K206" i="28" s="1"/>
  <c r="L121" i="28" a="1"/>
  <c r="L121" i="28" s="1"/>
  <c r="K121" i="28" s="1"/>
  <c r="L474" i="28" a="1"/>
  <c r="L474" i="28" s="1"/>
  <c r="K474" i="28" s="1"/>
  <c r="L476" i="28" a="1"/>
  <c r="L476" i="28" s="1"/>
  <c r="K476" i="28" s="1"/>
  <c r="L478" i="28" a="1"/>
  <c r="L478" i="28" s="1"/>
  <c r="K478" i="28" s="1"/>
  <c r="L470" i="28" a="1"/>
  <c r="L470" i="28" s="1"/>
  <c r="K470" i="28" s="1"/>
  <c r="L472" i="28" a="1"/>
  <c r="L472" i="28" s="1"/>
  <c r="K472" i="28" s="1"/>
  <c r="L477" i="28" a="1"/>
  <c r="L477" i="28" s="1"/>
  <c r="K477" i="28" s="1"/>
  <c r="L473" i="28" a="1"/>
  <c r="L473" i="28" s="1"/>
  <c r="K473" i="28" s="1"/>
  <c r="L475" i="28" a="1"/>
  <c r="L475" i="28" s="1"/>
  <c r="K475" i="28" s="1"/>
  <c r="L479" i="28" a="1"/>
  <c r="L479" i="28" s="1"/>
  <c r="K479" i="28" s="1"/>
  <c r="L115" i="28" a="1"/>
  <c r="L115" i="28" s="1"/>
  <c r="K115" i="28" s="1"/>
  <c r="L69" i="28" a="1"/>
  <c r="L69" i="28" s="1"/>
  <c r="K69" i="28" s="1"/>
  <c r="L141" i="28" a="1"/>
  <c r="L141" i="28" s="1"/>
  <c r="K141" i="28" s="1"/>
  <c r="L140" i="28" a="1"/>
  <c r="L140" i="28" s="1"/>
  <c r="K140" i="28" s="1"/>
  <c r="L139" i="28" a="1"/>
  <c r="L139" i="28" s="1"/>
  <c r="K139" i="28" s="1"/>
  <c r="L305" i="28" a="1"/>
  <c r="L305" i="28" s="1"/>
  <c r="K305" i="28" s="1"/>
  <c r="L309" i="28" a="1"/>
  <c r="L309" i="28" s="1"/>
  <c r="K309" i="28" s="1"/>
  <c r="L145" i="28" a="1"/>
  <c r="L145" i="28" s="1"/>
  <c r="K145" i="28" s="1"/>
  <c r="L70" i="28" a="1"/>
  <c r="L70" i="28" s="1"/>
  <c r="K70" i="28" s="1"/>
  <c r="L306" i="28" a="1"/>
  <c r="L306" i="28" s="1"/>
  <c r="K306" i="28" s="1"/>
  <c r="L5" i="28" a="1"/>
  <c r="L5" i="28" s="1"/>
  <c r="K5" i="28" s="1"/>
  <c r="L254" i="28" a="1"/>
  <c r="L254" i="28" s="1"/>
  <c r="K254" i="28" s="1"/>
  <c r="L137" i="28" a="1"/>
  <c r="L137" i="28" s="1"/>
  <c r="K137" i="28" s="1"/>
  <c r="L308" i="28" a="1"/>
  <c r="L308" i="28" s="1"/>
  <c r="K308" i="28" s="1"/>
  <c r="L142" i="28" a="1"/>
  <c r="L142" i="28" s="1"/>
  <c r="K142" i="28" s="1"/>
  <c r="L270" i="28" a="1"/>
  <c r="L270" i="28" s="1"/>
  <c r="K270" i="28" s="1"/>
  <c r="L144" i="28" a="1"/>
  <c r="L144" i="28" s="1"/>
  <c r="K144" i="28" s="1"/>
  <c r="L33" i="28" a="1"/>
  <c r="L33" i="28" s="1"/>
  <c r="K33" i="28" s="1"/>
  <c r="L143" i="28" a="1"/>
  <c r="L143" i="28" s="1"/>
  <c r="K143" i="28" s="1"/>
  <c r="L257" i="28" a="1"/>
  <c r="L257" i="28" s="1"/>
  <c r="K257" i="28" s="1"/>
  <c r="L256" i="28" a="1"/>
  <c r="L256" i="28" s="1"/>
  <c r="K256" i="28" s="1"/>
  <c r="L312" i="28" a="1"/>
  <c r="L312" i="28" s="1"/>
  <c r="K312" i="28" s="1"/>
  <c r="L313" i="28" a="1"/>
  <c r="L313" i="28" s="1"/>
  <c r="K313" i="28" s="1"/>
  <c r="L101" i="28" a="1"/>
  <c r="L101" i="28" s="1"/>
  <c r="K101" i="28" s="1"/>
  <c r="L260" i="28" a="1"/>
  <c r="L260" i="28" s="1"/>
  <c r="K260" i="28" s="1"/>
  <c r="L25" i="28" a="1"/>
  <c r="L25" i="28" s="1"/>
  <c r="K25" i="28" s="1"/>
  <c r="L103" i="28" a="1"/>
  <c r="L103" i="28" s="1"/>
  <c r="K103" i="28" s="1"/>
  <c r="L266" i="28" a="1"/>
  <c r="L266" i="28" s="1"/>
  <c r="K266" i="28" s="1"/>
  <c r="L81" i="28" a="1"/>
  <c r="L81" i="28" s="1"/>
  <c r="K81" i="28" s="1"/>
  <c r="L255" i="28" a="1"/>
  <c r="L255" i="28" s="1"/>
  <c r="K255" i="28" s="1"/>
  <c r="L249" i="28" a="1"/>
  <c r="L249" i="28" s="1"/>
  <c r="K249" i="28" s="1"/>
  <c r="L134" i="28" a="1"/>
  <c r="L134" i="28" s="1"/>
  <c r="K134" i="28" s="1"/>
  <c r="L183" i="28" a="1"/>
  <c r="L183" i="28" s="1"/>
  <c r="K183" i="28" s="1"/>
  <c r="L175" i="28" a="1"/>
  <c r="L175" i="28" s="1"/>
  <c r="K175" i="28" s="1"/>
  <c r="L526" i="28" a="1"/>
  <c r="L526" i="28" s="1"/>
  <c r="K526" i="28" s="1"/>
  <c r="L523" i="28" a="1"/>
  <c r="L523" i="28" s="1"/>
  <c r="K523" i="28" s="1"/>
  <c r="L494" i="28" a="1"/>
  <c r="L494" i="28" s="1"/>
  <c r="K494" i="28" s="1"/>
  <c r="L490" i="28" a="1"/>
  <c r="L490" i="28" s="1"/>
  <c r="K490" i="28" s="1"/>
  <c r="L484" i="28" a="1"/>
  <c r="L484" i="28" s="1"/>
  <c r="K484" i="28" s="1"/>
  <c r="L486" i="28" a="1"/>
  <c r="L486" i="28" s="1"/>
  <c r="K486" i="28" s="1"/>
  <c r="L492" i="28" a="1"/>
  <c r="L492" i="28" s="1"/>
  <c r="K492" i="28" s="1"/>
  <c r="L488" i="28" a="1"/>
  <c r="L488" i="28" s="1"/>
  <c r="K488" i="28" s="1"/>
  <c r="L491" i="28" a="1"/>
  <c r="L491" i="28" s="1"/>
  <c r="K491" i="28" s="1"/>
  <c r="L487" i="28" a="1"/>
  <c r="L487" i="28" s="1"/>
  <c r="K487" i="28" s="1"/>
  <c r="L495" i="28" a="1"/>
  <c r="L495" i="28" s="1"/>
  <c r="K495" i="28" s="1"/>
  <c r="L489" i="28" a="1"/>
  <c r="L489" i="28" s="1"/>
  <c r="K489" i="28" s="1"/>
  <c r="L493" i="28" a="1"/>
  <c r="L493" i="28" s="1"/>
  <c r="K493" i="28" s="1"/>
  <c r="L485" i="28" a="1"/>
  <c r="L485" i="28" s="1"/>
  <c r="K485" i="28" s="1"/>
  <c r="L74" i="28" a="1"/>
  <c r="L74" i="28" s="1"/>
  <c r="K74" i="28" s="1"/>
  <c r="L75" i="28" a="1"/>
  <c r="L75" i="28" s="1"/>
  <c r="K75" i="28" s="1"/>
  <c r="L315" i="28" a="1"/>
  <c r="L315" i="28" s="1"/>
  <c r="K315" i="28" s="1"/>
  <c r="L314" i="28" a="1"/>
  <c r="L314" i="28" s="1"/>
  <c r="K314" i="28" s="1"/>
  <c r="L316" i="28" a="1"/>
  <c r="L316" i="28" s="1"/>
  <c r="K316" i="28" s="1"/>
  <c r="L73" i="28" a="1"/>
  <c r="L73" i="28" s="1"/>
  <c r="K73" i="28" s="1"/>
  <c r="L458" i="28" a="1"/>
  <c r="L458" i="28" s="1"/>
  <c r="K458" i="28" s="1"/>
  <c r="L460" i="28" a="1"/>
  <c r="L460" i="28" s="1"/>
  <c r="K460" i="28" s="1"/>
  <c r="L456" i="28" a="1"/>
  <c r="L456" i="28" s="1"/>
  <c r="K456" i="28" s="1"/>
  <c r="L462" i="28" a="1"/>
  <c r="L462" i="28" s="1"/>
  <c r="K462" i="28" s="1"/>
  <c r="L464" i="28" a="1"/>
  <c r="L464" i="28" s="1"/>
  <c r="K464" i="28" s="1"/>
  <c r="L461" i="28" a="1"/>
  <c r="L461" i="28" s="1"/>
  <c r="K461" i="28" s="1"/>
  <c r="L459" i="28" a="1"/>
  <c r="L459" i="28" s="1"/>
  <c r="K459" i="28" s="1"/>
  <c r="L463" i="28" a="1"/>
  <c r="L463" i="28" s="1"/>
  <c r="K463" i="28" s="1"/>
  <c r="L457" i="28" a="1"/>
  <c r="L457" i="28" s="1"/>
  <c r="K457" i="28" s="1"/>
  <c r="L156" i="28" a="1"/>
  <c r="L156" i="28" s="1"/>
  <c r="K156" i="28" s="1"/>
  <c r="L158" i="28" a="1"/>
  <c r="L158" i="28" s="1"/>
  <c r="K158" i="28" s="1"/>
  <c r="L205" i="28" a="1"/>
  <c r="L205" i="28" s="1"/>
  <c r="K205" i="28" s="1"/>
  <c r="L155" i="28" a="1"/>
  <c r="L155" i="28" s="1"/>
  <c r="K155" i="28" s="1"/>
  <c r="L242" i="28" a="1"/>
  <c r="L242" i="28" s="1"/>
  <c r="K242" i="28" s="1"/>
  <c r="L241" i="28" a="1"/>
  <c r="L241" i="28" s="1"/>
  <c r="K241" i="28" s="1"/>
  <c r="L157" i="28" a="1"/>
  <c r="L157" i="28" s="1"/>
  <c r="K157" i="28" s="1"/>
  <c r="L337" i="28" a="1"/>
  <c r="L337" i="28" s="1"/>
  <c r="K337" i="28" s="1"/>
  <c r="L336" i="28" a="1"/>
  <c r="L336" i="28" s="1"/>
  <c r="K336" i="28" s="1"/>
  <c r="L334" i="28" a="1"/>
  <c r="L334" i="28" s="1"/>
  <c r="K334" i="28" s="1"/>
  <c r="L112" i="28" a="1"/>
  <c r="L112" i="28" s="1"/>
  <c r="K112" i="28" s="1"/>
  <c r="L78" i="28" a="1"/>
  <c r="L78" i="28" s="1"/>
  <c r="K78" i="28" s="1"/>
  <c r="L154" i="28" a="1"/>
  <c r="L154" i="28" s="1"/>
  <c r="K154" i="28" s="1"/>
  <c r="L335" i="28" a="1"/>
  <c r="L335" i="28" s="1"/>
  <c r="K335" i="28" s="1"/>
  <c r="L58" i="28" a="1"/>
  <c r="L58" i="28" s="1"/>
  <c r="K58" i="28" s="1"/>
  <c r="L59" i="28" a="1"/>
  <c r="L59" i="28" s="1"/>
  <c r="K59" i="28" s="1"/>
  <c r="L217" i="28" a="1"/>
  <c r="L217" i="28" s="1"/>
  <c r="K217" i="28" s="1"/>
  <c r="L289" i="28" a="1"/>
  <c r="L289" i="28" s="1"/>
  <c r="K289" i="28" s="1"/>
  <c r="L344" i="28" a="1"/>
  <c r="L344" i="28" s="1"/>
  <c r="K344" i="28" s="1"/>
  <c r="L360" i="28" a="1"/>
  <c r="L360" i="28" s="1"/>
  <c r="K360" i="28" s="1"/>
  <c r="L362" i="28" a="1"/>
  <c r="L362" i="28" s="1"/>
  <c r="K362" i="28" s="1"/>
  <c r="L339" i="28" a="1"/>
  <c r="L339" i="28" s="1"/>
  <c r="K339" i="28" s="1"/>
  <c r="L354" i="28" a="1"/>
  <c r="L354" i="28" s="1"/>
  <c r="K354" i="28" s="1"/>
  <c r="L193" i="28" a="1"/>
  <c r="L193" i="28" s="1"/>
  <c r="K193" i="28" s="1"/>
  <c r="L342" i="28" a="1"/>
  <c r="L342" i="28" s="1"/>
  <c r="K342" i="28" s="1"/>
  <c r="L177" i="28" a="1"/>
  <c r="L177" i="28" s="1"/>
  <c r="K177" i="28" s="1"/>
  <c r="L358" i="28" a="1"/>
  <c r="L358" i="28" s="1"/>
  <c r="K358" i="28" s="1"/>
  <c r="L259" i="28" a="1"/>
  <c r="L259" i="28" s="1"/>
  <c r="K259" i="28" s="1"/>
  <c r="L79" i="28" a="1"/>
  <c r="L79" i="28" s="1"/>
  <c r="K79" i="28" s="1"/>
  <c r="L299" i="28" a="1"/>
  <c r="L299" i="28" s="1"/>
  <c r="K299" i="28" s="1"/>
  <c r="L194" i="28" a="1"/>
  <c r="L194" i="28" s="1"/>
  <c r="K194" i="28" s="1"/>
  <c r="L80" i="28" a="1"/>
  <c r="L80" i="28" s="1"/>
  <c r="K80" i="28" s="1"/>
  <c r="L82" i="28" a="1"/>
  <c r="L82" i="28" s="1"/>
  <c r="K82" i="28" s="1"/>
  <c r="L100" i="28" a="1"/>
  <c r="L100" i="28" s="1"/>
  <c r="K100" i="28" s="1"/>
  <c r="L92" i="28" a="1"/>
  <c r="L92" i="28" s="1"/>
  <c r="K92" i="28" s="1"/>
  <c r="L107" i="28" a="1"/>
  <c r="L107" i="28" s="1"/>
  <c r="K107" i="28" s="1"/>
  <c r="L84" i="28" a="1"/>
  <c r="L84" i="28" s="1"/>
  <c r="K84" i="28" s="1"/>
  <c r="L76" i="28" a="1"/>
  <c r="L76" i="28" s="1"/>
  <c r="K76" i="28" s="1"/>
  <c r="L83" i="28" a="1"/>
  <c r="L83" i="28" s="1"/>
  <c r="K83" i="28" s="1"/>
  <c r="L106" i="28" a="1"/>
  <c r="L106" i="28" s="1"/>
  <c r="K106" i="28" s="1"/>
  <c r="L98" i="28" a="1"/>
  <c r="L98" i="28" s="1"/>
  <c r="K98" i="28" s="1"/>
  <c r="L102" i="28" a="1"/>
  <c r="L102" i="28" s="1"/>
  <c r="K102" i="28" s="1"/>
  <c r="L105" i="28" a="1"/>
  <c r="L105" i="28" s="1"/>
  <c r="K105" i="28" s="1"/>
  <c r="L94" i="28" a="1"/>
  <c r="L94" i="28" s="1"/>
  <c r="K94" i="28" s="1"/>
  <c r="L104" i="28" a="1"/>
  <c r="L104" i="28" s="1"/>
  <c r="K104" i="28" s="1"/>
  <c r="L87" i="28" a="1"/>
  <c r="L87" i="28" s="1"/>
  <c r="K87" i="28" s="1"/>
  <c r="L77" i="28" a="1"/>
  <c r="L77" i="28" s="1"/>
  <c r="K77" i="28" s="1"/>
  <c r="L130" i="28" a="1"/>
  <c r="L130" i="28" s="1"/>
  <c r="K130" i="28" s="1"/>
  <c r="L165" i="28" a="1"/>
  <c r="L165" i="28" s="1"/>
  <c r="K165" i="28" s="1"/>
  <c r="L176" i="28" a="1"/>
  <c r="L176" i="28" s="1"/>
  <c r="K176" i="28" s="1"/>
  <c r="L271" i="28" a="1"/>
  <c r="L271" i="28" s="1"/>
  <c r="K271" i="28" s="1"/>
  <c r="L232" i="28" a="1"/>
  <c r="L232" i="28" s="1"/>
  <c r="K232" i="28" s="1"/>
  <c r="L300" i="28" a="1"/>
  <c r="L300" i="28" s="1"/>
  <c r="K300" i="28" s="1"/>
  <c r="L129" i="28" a="1"/>
  <c r="L129" i="28" s="1"/>
  <c r="K129" i="28" s="1"/>
  <c r="L95" i="28" a="1"/>
  <c r="L95" i="28" s="1"/>
  <c r="K95" i="28" s="1"/>
  <c r="L4" i="28" a="1"/>
  <c r="L4" i="28" s="1"/>
  <c r="K4" i="28" s="1"/>
  <c r="L171" i="28" a="1"/>
  <c r="L171" i="28" s="1"/>
  <c r="K171" i="28" s="1"/>
  <c r="L272" i="28" a="1"/>
  <c r="L272" i="28" s="1"/>
  <c r="K272" i="28" s="1"/>
  <c r="L233" i="28" a="1"/>
  <c r="L233" i="28" s="1"/>
  <c r="K233" i="28" s="1"/>
  <c r="L146" i="28" a="1"/>
  <c r="L146" i="28" s="1"/>
  <c r="K146" i="28" s="1"/>
  <c r="L186" i="28" a="1"/>
  <c r="L186" i="28" s="1"/>
  <c r="K186" i="28" s="1"/>
  <c r="L118" i="28" a="1"/>
  <c r="L118" i="28" s="1"/>
  <c r="K118" i="28" s="1"/>
  <c r="L237" i="28" a="1"/>
  <c r="L237" i="28" s="1"/>
  <c r="K237" i="28" s="1"/>
  <c r="L220" i="28" a="1"/>
  <c r="L220" i="28" s="1"/>
  <c r="K220" i="28" s="1"/>
  <c r="L213" i="28" a="1"/>
  <c r="L213" i="28" s="1"/>
  <c r="K213" i="28" s="1"/>
  <c r="L212" i="28" a="1"/>
  <c r="L212" i="28" s="1"/>
  <c r="K212" i="28" s="1"/>
  <c r="L208" i="28" a="1"/>
  <c r="L208" i="28" s="1"/>
  <c r="K208" i="28" s="1"/>
  <c r="L225" i="28" a="1"/>
  <c r="L225" i="28" s="1"/>
  <c r="K225" i="28" s="1"/>
  <c r="L231" i="28" a="1"/>
  <c r="L231" i="28" s="1"/>
  <c r="K231" i="28" s="1"/>
  <c r="L216" i="28" a="1"/>
  <c r="L216" i="28" s="1"/>
  <c r="K216" i="28" s="1"/>
  <c r="L218" i="28" a="1"/>
  <c r="L218" i="28" s="1"/>
  <c r="K218" i="28" s="1"/>
  <c r="L214" i="28" a="1"/>
  <c r="L214" i="28" s="1"/>
  <c r="K214" i="28" s="1"/>
  <c r="L230" i="28" a="1"/>
  <c r="L230" i="28" s="1"/>
  <c r="K230" i="28" s="1"/>
  <c r="L222" i="28" a="1"/>
  <c r="L222" i="28" s="1"/>
  <c r="K222" i="28" s="1"/>
  <c r="L209" i="28" a="1"/>
  <c r="L209" i="28" s="1"/>
  <c r="K209" i="28" s="1"/>
  <c r="L228" i="28" a="1"/>
  <c r="L228" i="28" s="1"/>
  <c r="K228" i="28" s="1"/>
  <c r="L229" i="28" a="1"/>
  <c r="L229" i="28" s="1"/>
  <c r="K229" i="28" s="1"/>
  <c r="L34" i="28" a="1"/>
  <c r="L34" i="28" s="1"/>
  <c r="K34" i="28" s="1"/>
  <c r="L35" i="28" a="1"/>
  <c r="L35" i="28" s="1"/>
  <c r="K35" i="28" s="1"/>
  <c r="L189" i="28" a="1"/>
  <c r="L189" i="28" s="1"/>
  <c r="K189" i="28" s="1"/>
  <c r="L240" i="28" a="1"/>
  <c r="L240" i="28" s="1"/>
  <c r="K240" i="28" s="1"/>
  <c r="L108" i="28" a="1"/>
  <c r="L108" i="28" s="1"/>
  <c r="K108" i="28" s="1"/>
  <c r="L117" i="28" a="1"/>
  <c r="L117" i="28" s="1"/>
  <c r="K117" i="28" s="1"/>
  <c r="L109" i="28" a="1"/>
  <c r="L109" i="28" s="1"/>
  <c r="K109" i="28" s="1"/>
  <c r="L122" i="28" a="1"/>
  <c r="L122" i="28" s="1"/>
  <c r="K122" i="28" s="1"/>
  <c r="L110" i="28" a="1"/>
  <c r="L110" i="28" s="1"/>
  <c r="K110" i="28" s="1"/>
  <c r="L113" i="28" a="1"/>
  <c r="L113" i="28" s="1"/>
  <c r="K113" i="28" s="1"/>
  <c r="L273" i="28" a="1"/>
  <c r="L273" i="28" s="1"/>
  <c r="K273" i="28" s="1"/>
  <c r="L275" i="28" a="1"/>
  <c r="L275" i="28" s="1"/>
  <c r="K275" i="28" s="1"/>
  <c r="L301" i="28" a="1"/>
  <c r="L301" i="28" s="1"/>
  <c r="K301" i="28" s="1"/>
  <c r="L295" i="28" a="1"/>
  <c r="L295" i="28" s="1"/>
  <c r="K295" i="28" s="1"/>
  <c r="L297" i="28" a="1"/>
  <c r="L297" i="28" s="1"/>
  <c r="K297" i="28" s="1"/>
  <c r="L325" i="28" a="1"/>
  <c r="L325" i="28" s="1"/>
  <c r="K325" i="28" s="1"/>
  <c r="L298" i="28" a="1"/>
  <c r="L298" i="28" s="1"/>
  <c r="K298" i="28" s="1"/>
  <c r="L317" i="28" a="1"/>
  <c r="L317" i="28" s="1"/>
  <c r="K317" i="28" s="1"/>
  <c r="L321" i="28" a="1"/>
  <c r="L321" i="28" s="1"/>
  <c r="K321" i="28" s="1"/>
  <c r="L303" i="28" a="1"/>
  <c r="L303" i="28" s="1"/>
  <c r="K303" i="28" s="1"/>
  <c r="L319" i="28" a="1"/>
  <c r="L319" i="28" s="1"/>
  <c r="K319" i="28" s="1"/>
  <c r="L331" i="28" a="1"/>
  <c r="L331" i="28" s="1"/>
  <c r="K331" i="28" s="1"/>
  <c r="L322" i="28" a="1"/>
  <c r="L322" i="28" s="1"/>
  <c r="K322" i="28" s="1"/>
  <c r="L311" i="28" a="1"/>
  <c r="L311" i="28" s="1"/>
  <c r="K311" i="28" s="1"/>
  <c r="L327" i="28" a="1"/>
  <c r="L327" i="28" s="1"/>
  <c r="K327" i="28" s="1"/>
  <c r="L324" i="28" a="1"/>
  <c r="L324" i="28" s="1"/>
  <c r="K324" i="28" s="1"/>
  <c r="L307" i="28" a="1"/>
  <c r="L307" i="28" s="1"/>
  <c r="K307" i="28" s="1"/>
  <c r="L323" i="28" a="1"/>
  <c r="L323" i="28" s="1"/>
  <c r="K323" i="28" s="1"/>
  <c r="L302" i="28" a="1"/>
  <c r="L302" i="28" s="1"/>
  <c r="K302" i="28" s="1"/>
  <c r="L310" i="28" a="1"/>
  <c r="L310" i="28" s="1"/>
  <c r="K310" i="28" s="1"/>
  <c r="L318" i="28" a="1"/>
  <c r="L318" i="28" s="1"/>
  <c r="K318" i="28" s="1"/>
  <c r="L320" i="28" a="1"/>
  <c r="L320" i="28" s="1"/>
  <c r="K320" i="28" s="1"/>
  <c r="L436" i="28" a="1"/>
  <c r="L436" i="28" s="1"/>
  <c r="K436" i="28" s="1"/>
  <c r="L450" i="28" a="1"/>
  <c r="L450" i="28" s="1"/>
  <c r="K450" i="28" s="1"/>
  <c r="L446" i="28" a="1"/>
  <c r="L446" i="28" s="1"/>
  <c r="K446" i="28" s="1"/>
  <c r="L444" i="28" a="1"/>
  <c r="L444" i="28" s="1"/>
  <c r="K444" i="28" s="1"/>
  <c r="L437" i="28" a="1"/>
  <c r="L437" i="28" s="1"/>
  <c r="K437" i="28" s="1"/>
  <c r="L440" i="28" a="1"/>
  <c r="L440" i="28" s="1"/>
  <c r="K440" i="28" s="1"/>
  <c r="L452" i="28" a="1"/>
  <c r="L452" i="28" s="1"/>
  <c r="K452" i="28" s="1"/>
  <c r="L431" i="28" a="1"/>
  <c r="L431" i="28" s="1"/>
  <c r="K431" i="28" s="1"/>
  <c r="L434" i="28" a="1"/>
  <c r="L434" i="28" s="1"/>
  <c r="K434" i="28" s="1"/>
  <c r="L429" i="28" a="1"/>
  <c r="L429" i="28" s="1"/>
  <c r="K429" i="28" s="1"/>
  <c r="L432" i="28" a="1"/>
  <c r="L432" i="28" s="1"/>
  <c r="K432" i="28" s="1"/>
  <c r="L451" i="28" a="1"/>
  <c r="L451" i="28" s="1"/>
  <c r="K451" i="28" s="1"/>
  <c r="L435" i="28" a="1"/>
  <c r="L435" i="28" s="1"/>
  <c r="K435" i="28" s="1"/>
  <c r="L433" i="28" a="1"/>
  <c r="L433" i="28" s="1"/>
  <c r="K433" i="28" s="1"/>
  <c r="L430" i="28" a="1"/>
  <c r="L430" i="28" s="1"/>
  <c r="K430" i="28" s="1"/>
  <c r="L447" i="28" a="1"/>
  <c r="L447" i="28" s="1"/>
  <c r="K447" i="28" s="1"/>
  <c r="L441" i="28" a="1"/>
  <c r="L441" i="28" s="1"/>
  <c r="K441" i="28" s="1"/>
  <c r="L443" i="28" a="1"/>
  <c r="L443" i="28" s="1"/>
  <c r="K443" i="28" s="1"/>
  <c r="L439" i="28" a="1"/>
  <c r="L439" i="28" s="1"/>
  <c r="K439" i="28" s="1"/>
  <c r="L442" i="28" a="1"/>
  <c r="L442" i="28" s="1"/>
  <c r="K442" i="28" s="1"/>
  <c r="L438" i="28" a="1"/>
  <c r="L438" i="28" s="1"/>
  <c r="K438" i="28" s="1"/>
  <c r="L453" i="28" a="1"/>
  <c r="L453" i="28" s="1"/>
  <c r="K453" i="28" s="1"/>
  <c r="L445" i="28" a="1"/>
  <c r="L445" i="28" s="1"/>
  <c r="K445" i="28" s="1"/>
  <c r="L215" i="28" a="1"/>
  <c r="L215" i="28" s="1"/>
  <c r="K215" i="28" s="1"/>
  <c r="L149" i="28" a="1"/>
  <c r="L149" i="28" s="1"/>
  <c r="K149" i="28" s="1"/>
  <c r="L132" i="28" a="1"/>
  <c r="L132" i="28" s="1"/>
  <c r="K132" i="28" s="1"/>
  <c r="L172" i="28" a="1"/>
  <c r="L172" i="28" s="1"/>
  <c r="K172" i="28" s="1"/>
  <c r="L211" i="28" a="1"/>
  <c r="L211" i="28" s="1"/>
  <c r="K211" i="28" s="1"/>
  <c r="L239" i="28" a="1"/>
  <c r="L239" i="28" s="1"/>
  <c r="K239" i="28" s="1"/>
  <c r="L210" i="28" a="1"/>
  <c r="L210" i="28" s="1"/>
  <c r="K210" i="28" s="1"/>
  <c r="L163" i="28" a="1"/>
  <c r="L163" i="28" s="1"/>
  <c r="K163" i="28" s="1"/>
  <c r="L181" i="28" a="1"/>
  <c r="L181" i="28" s="1"/>
  <c r="K181" i="28" s="1"/>
  <c r="L247" i="28" a="1"/>
  <c r="L247" i="28" s="1"/>
  <c r="K247" i="28" s="1"/>
  <c r="L329" i="28" a="1"/>
  <c r="L329" i="28" s="1"/>
  <c r="K329" i="28" s="1"/>
  <c r="L357" i="28" a="1"/>
  <c r="L357" i="28" s="1"/>
  <c r="K357" i="28" s="1"/>
  <c r="L363" i="28" a="1"/>
  <c r="L363" i="28" s="1"/>
  <c r="K363" i="28" s="1"/>
  <c r="L333" i="28" a="1"/>
  <c r="L333" i="28" s="1"/>
  <c r="K333" i="28" s="1"/>
  <c r="L328" i="28" a="1"/>
  <c r="L328" i="28" s="1"/>
  <c r="K328" i="28" s="1"/>
  <c r="L482" i="28" a="1"/>
  <c r="L482" i="28" s="1"/>
  <c r="K482" i="28" s="1"/>
  <c r="L418" i="28" a="1"/>
  <c r="L418" i="28" s="1"/>
  <c r="K418" i="28" s="1"/>
  <c r="L417" i="28" a="1"/>
  <c r="L417" i="28" s="1"/>
  <c r="K417" i="28" s="1"/>
  <c r="L376" i="28" a="1"/>
  <c r="L376" i="28" s="1"/>
  <c r="K376" i="28" s="1"/>
  <c r="L258" i="28" a="1"/>
  <c r="L258" i="28" s="1"/>
  <c r="K258" i="28" s="1"/>
  <c r="L399" i="28" a="1"/>
  <c r="L399" i="28" s="1"/>
  <c r="K399" i="28" s="1"/>
  <c r="L119" i="28" a="1"/>
  <c r="L119" i="28" s="1"/>
  <c r="K119" i="28" s="1"/>
  <c r="L355" i="28" a="1"/>
  <c r="L355" i="28" s="1"/>
  <c r="K355" i="28" s="1"/>
  <c r="L409" i="28" a="1"/>
  <c r="L409" i="28" s="1"/>
  <c r="K409" i="28" s="1"/>
  <c r="L383" i="28" a="1"/>
  <c r="L383" i="28" s="1"/>
  <c r="K383" i="28" s="1"/>
  <c r="L290" i="28" a="1"/>
  <c r="L290" i="28" s="1"/>
  <c r="K290" i="28" s="1"/>
  <c r="L483" i="28" a="1"/>
  <c r="L483" i="28" s="1"/>
  <c r="K483" i="28" s="1"/>
  <c r="L221" i="28" a="1"/>
  <c r="L221" i="28" s="1"/>
  <c r="K221" i="28" s="1"/>
  <c r="L261" i="28" a="1"/>
  <c r="L261" i="28" s="1"/>
  <c r="K261" i="28" s="1"/>
  <c r="L91" i="28" a="1"/>
  <c r="L91" i="28" s="1"/>
  <c r="K91" i="28" s="1"/>
  <c r="L124" i="28" a="1"/>
  <c r="L124" i="28" s="1"/>
  <c r="K124" i="28" s="1"/>
  <c r="L234" i="28" a="1"/>
  <c r="L234" i="28" s="1"/>
  <c r="K234" i="28" s="1"/>
  <c r="L166" i="28" a="1"/>
  <c r="L166" i="28" s="1"/>
  <c r="K166" i="28" s="1"/>
  <c r="L332" i="28" a="1"/>
  <c r="L332" i="28" s="1"/>
  <c r="K332" i="28" s="1"/>
  <c r="L292" i="28" a="1"/>
  <c r="L292" i="28" s="1"/>
  <c r="K292" i="28" s="1"/>
  <c r="L291" i="28" a="1"/>
  <c r="L291" i="28" s="1"/>
  <c r="K291" i="28" s="1"/>
  <c r="L167" i="28" a="1"/>
  <c r="L167" i="28" s="1"/>
  <c r="K167" i="28" s="1"/>
  <c r="L243" i="28" a="1"/>
  <c r="L243" i="28" s="1"/>
  <c r="K243" i="28" s="1"/>
  <c r="L262" i="28" a="1"/>
  <c r="L262" i="28" s="1"/>
  <c r="K262" i="28" s="1"/>
  <c r="L179" i="28" a="1"/>
  <c r="L179" i="28" s="1"/>
  <c r="K179" i="28" s="1"/>
  <c r="L138" i="28" a="1"/>
  <c r="L138" i="28" s="1"/>
  <c r="K138" i="28" s="1"/>
  <c r="L62" i="28" a="1"/>
  <c r="L62" i="28" s="1"/>
  <c r="K62" i="28" s="1"/>
  <c r="L162" i="28" a="1"/>
  <c r="L162" i="28" s="1"/>
  <c r="K162" i="28" s="1"/>
  <c r="L345" i="28" a="1"/>
  <c r="L345" i="28" s="1"/>
  <c r="K345" i="28" s="1"/>
  <c r="L267" i="28" a="1"/>
  <c r="L267" i="28" s="1"/>
  <c r="K267" i="28" s="1"/>
  <c r="L366" i="28" a="1"/>
  <c r="L366" i="28" s="1"/>
  <c r="K366" i="28" s="1"/>
  <c r="L356" i="28" a="1"/>
  <c r="L356" i="28" s="1"/>
  <c r="K356" i="28" s="1"/>
  <c r="L191" i="28" a="1"/>
  <c r="L191" i="28" s="1"/>
  <c r="K191" i="28" s="1"/>
  <c r="L359" i="28" a="1"/>
  <c r="L359" i="28" s="1"/>
  <c r="K359" i="28" s="1"/>
  <c r="L340" i="28" a="1"/>
  <c r="L340" i="28" s="1"/>
  <c r="K340" i="28" s="1"/>
  <c r="L282" i="28" a="1"/>
  <c r="L282" i="28" s="1"/>
  <c r="K282" i="28" s="1"/>
  <c r="L72" i="28" a="1"/>
  <c r="L72" i="28" s="1"/>
  <c r="K72" i="28" s="1"/>
  <c r="L338" i="28" a="1"/>
  <c r="L338" i="28" s="1"/>
  <c r="K338" i="28" s="1"/>
  <c r="L133" i="28" a="1"/>
  <c r="L133" i="28" s="1"/>
  <c r="K133" i="28" s="1"/>
  <c r="L248" i="28" a="1"/>
  <c r="L248" i="28" s="1"/>
  <c r="K248" i="28" s="1"/>
  <c r="L245" i="28" a="1"/>
  <c r="L245" i="28" s="1"/>
  <c r="K245" i="28" s="1"/>
  <c r="L37" i="28" a="1"/>
  <c r="L37" i="28" s="1"/>
  <c r="K37" i="28" s="1"/>
  <c r="L252" i="28" a="1"/>
  <c r="L252" i="28" s="1"/>
  <c r="K252" i="28" s="1"/>
  <c r="L251" i="28" a="1"/>
  <c r="L251" i="28" s="1"/>
  <c r="K251" i="28" s="1"/>
  <c r="L246" i="28" a="1"/>
  <c r="L246" i="28" s="1"/>
  <c r="K246" i="28" s="1"/>
  <c r="L244" i="28" a="1"/>
  <c r="L244" i="28" s="1"/>
  <c r="K244" i="28" s="1"/>
  <c r="L253" i="28" a="1"/>
  <c r="L253" i="28" s="1"/>
  <c r="K253" i="28" s="1"/>
  <c r="L250" i="28" a="1"/>
  <c r="L250" i="28" s="1"/>
  <c r="K250" i="28" s="1"/>
  <c r="L68" i="28" a="1"/>
  <c r="L68" i="28" s="1"/>
  <c r="K68" i="28" s="1"/>
  <c r="L184" i="28" a="1"/>
  <c r="L184" i="28" s="1"/>
  <c r="K184" i="28" s="1"/>
  <c r="L24" i="28" a="1"/>
  <c r="L24" i="28" s="1"/>
  <c r="K24" i="28" s="1"/>
  <c r="L23" i="28" a="1"/>
  <c r="L23" i="28" s="1"/>
  <c r="K23" i="28" s="1"/>
  <c r="L22" i="28" a="1"/>
  <c r="L22" i="28" s="1"/>
  <c r="K22" i="28" s="1"/>
  <c r="L6" i="28" a="1"/>
  <c r="L6" i="28" s="1"/>
  <c r="K6" i="28" s="1"/>
  <c r="L127" i="28" a="1"/>
  <c r="L127" i="28" s="1"/>
  <c r="K127" i="28" s="1"/>
  <c r="L227" i="28" a="1"/>
  <c r="L227" i="28" s="1"/>
  <c r="K227" i="28" s="1"/>
  <c r="L226" i="28" a="1"/>
  <c r="L226" i="28" s="1"/>
  <c r="K226" i="28" s="1"/>
  <c r="L236" i="28" a="1"/>
  <c r="L236" i="28" s="1"/>
  <c r="K236" i="28" s="1"/>
  <c r="L85" i="28" a="1"/>
  <c r="L85" i="28" s="1"/>
  <c r="K85" i="28" s="1"/>
  <c r="L294" i="28" a="1"/>
  <c r="L294" i="28" s="1"/>
  <c r="K294" i="28" s="1"/>
  <c r="L268" i="28" a="1"/>
  <c r="L268" i="28" s="1"/>
  <c r="K268" i="28" s="1"/>
  <c r="L152" i="28" a="1"/>
  <c r="L152" i="28" s="1"/>
  <c r="K152" i="28" s="1"/>
  <c r="L90" i="28" a="1"/>
  <c r="L90" i="28" s="1"/>
  <c r="K90" i="28" s="1"/>
  <c r="L224" i="28" a="1"/>
  <c r="L224" i="28" s="1"/>
  <c r="K224" i="28" s="1"/>
  <c r="L223" i="28" a="1"/>
  <c r="L223" i="28" s="1"/>
  <c r="K223" i="28" s="1"/>
  <c r="L126" i="28" a="1"/>
  <c r="L126" i="28" s="1"/>
  <c r="K126" i="28" s="1"/>
  <c r="L185" i="28" a="1"/>
  <c r="L185" i="28" s="1"/>
  <c r="K185" i="28" s="1"/>
  <c r="L168" i="28" a="1"/>
  <c r="L168" i="28" s="1"/>
  <c r="K168" i="28" s="1"/>
  <c r="L120" i="28" a="1"/>
  <c r="L120" i="28" s="1"/>
  <c r="K120" i="28" s="1"/>
  <c r="L415" i="28" a="1"/>
  <c r="L415" i="28" s="1"/>
  <c r="K415" i="28" s="1"/>
  <c r="L428" i="28" a="1"/>
  <c r="L428" i="28" s="1"/>
  <c r="K428" i="28" s="1"/>
  <c r="L416" i="28" a="1"/>
  <c r="L416" i="28" s="1"/>
  <c r="K416" i="28" s="1"/>
  <c r="L420" i="28" a="1"/>
  <c r="L420" i="28" s="1"/>
  <c r="K420" i="28" s="1"/>
  <c r="L427" i="28" a="1"/>
  <c r="L427" i="28" s="1"/>
  <c r="K427" i="28" s="1"/>
  <c r="L419" i="28" a="1"/>
  <c r="L419" i="28" s="1"/>
  <c r="K419" i="28" s="1"/>
  <c r="L426" i="28" a="1"/>
  <c r="L426" i="28" s="1"/>
  <c r="K426" i="28" s="1"/>
  <c r="L414" i="28" a="1"/>
  <c r="L414" i="28" s="1"/>
  <c r="K414" i="28" s="1"/>
  <c r="L425" i="28" a="1"/>
  <c r="L425" i="28" s="1"/>
  <c r="K425" i="28" s="1"/>
  <c r="L527" i="28" a="1"/>
  <c r="L527" i="28" s="1"/>
  <c r="K527" i="28" s="1"/>
  <c r="L521" i="28" a="1"/>
  <c r="L521" i="28" s="1"/>
  <c r="K521" i="28" s="1"/>
  <c r="L545" i="28" a="1"/>
  <c r="L545" i="28" s="1"/>
  <c r="K545" i="28" s="1"/>
  <c r="L625" i="28" a="1"/>
  <c r="L625" i="28" s="1"/>
  <c r="K625" i="28" s="1"/>
  <c r="L641" i="28" a="1"/>
  <c r="L641" i="28" s="1"/>
  <c r="K641" i="28" s="1"/>
  <c r="L648" i="28" a="1"/>
  <c r="L648" i="28" s="1"/>
  <c r="K648" i="28" s="1"/>
  <c r="L666" i="28" a="1"/>
  <c r="L666" i="28" s="1"/>
  <c r="K666" i="28" s="1"/>
  <c r="L586" i="28" a="1"/>
  <c r="L586" i="28" s="1"/>
  <c r="K586" i="28" s="1"/>
  <c r="L610" i="28" a="1"/>
  <c r="L610" i="28" s="1"/>
  <c r="K610" i="28" s="1"/>
  <c r="L602" i="28" a="1"/>
  <c r="L602" i="28" s="1"/>
  <c r="K602" i="28" s="1"/>
  <c r="L604" i="28" a="1"/>
  <c r="L604" i="28" s="1"/>
  <c r="K604" i="28" s="1"/>
  <c r="L557" i="28" a="1"/>
  <c r="L557" i="28" s="1"/>
  <c r="K557" i="28" s="1"/>
  <c r="L513" i="28" a="1"/>
  <c r="L513" i="28" s="1"/>
  <c r="K513" i="28" s="1"/>
  <c r="L551" i="28" a="1"/>
  <c r="L551" i="28" s="1"/>
  <c r="K551" i="28" s="1"/>
  <c r="L556" i="28" a="1"/>
  <c r="L556" i="28" s="1"/>
  <c r="K556" i="28" s="1"/>
  <c r="L573" i="28" a="1"/>
  <c r="L573" i="28" s="1"/>
  <c r="K573" i="28" s="1"/>
  <c r="L660" i="28" a="1"/>
  <c r="L660" i="28" s="1"/>
  <c r="K660" i="28" s="1"/>
  <c r="L574" i="28" a="1"/>
  <c r="L574" i="28" s="1"/>
  <c r="K574" i="28" s="1"/>
  <c r="L603" i="28" a="1"/>
  <c r="L603" i="28" s="1"/>
  <c r="K603" i="28" s="1"/>
  <c r="L514" i="28" a="1"/>
  <c r="L514" i="28" s="1"/>
  <c r="K514" i="28" s="1"/>
  <c r="L555" i="28" a="1"/>
  <c r="L555" i="28" s="1"/>
  <c r="K555" i="28" s="1"/>
  <c r="L601" i="28" a="1"/>
  <c r="L601" i="28" s="1"/>
  <c r="K601" i="28" s="1"/>
  <c r="L542" i="28" a="1"/>
  <c r="L542" i="28" s="1"/>
  <c r="K542" i="28" s="1"/>
  <c r="L682" i="28" a="1"/>
  <c r="L682" i="28" s="1"/>
  <c r="K682" i="28" s="1"/>
  <c r="L705" i="28" a="1"/>
  <c r="L705" i="28" s="1"/>
  <c r="K705" i="28" s="1"/>
  <c r="L554" i="28" a="1"/>
  <c r="L554" i="28" s="1"/>
  <c r="K554" i="28" s="1"/>
  <c r="L665" i="28" a="1"/>
  <c r="L665" i="28" s="1"/>
  <c r="K665" i="28" s="1"/>
  <c r="L701" i="28" a="1"/>
  <c r="L701" i="28" s="1"/>
  <c r="K701" i="28" s="1"/>
  <c r="L570" i="28" a="1"/>
  <c r="L570" i="28" s="1"/>
  <c r="K570" i="28" s="1"/>
  <c r="L691" i="28" a="1"/>
  <c r="L691" i="28" s="1"/>
  <c r="K691" i="28" s="1"/>
  <c r="L645" i="28" a="1"/>
  <c r="L645" i="28" s="1"/>
  <c r="K645" i="28" s="1"/>
  <c r="L629" i="28" a="1"/>
  <c r="L629" i="28" s="1"/>
  <c r="K629" i="28" s="1"/>
  <c r="L614" i="28" a="1"/>
  <c r="L614" i="28" s="1"/>
  <c r="K614" i="28" s="1"/>
  <c r="L532" i="28" a="1"/>
  <c r="L532" i="28" s="1"/>
  <c r="K532" i="28" s="1"/>
  <c r="L507" i="28" a="1"/>
  <c r="L507" i="28" s="1"/>
  <c r="K507" i="28" s="1"/>
  <c r="L678" i="28" a="1"/>
  <c r="L678" i="28" s="1"/>
  <c r="K678" i="28" s="1"/>
  <c r="L583" i="28" a="1"/>
  <c r="L583" i="28" s="1"/>
  <c r="K583" i="28" s="1"/>
  <c r="L510" i="28" a="1"/>
  <c r="L510" i="28" s="1"/>
  <c r="K510" i="28" s="1"/>
  <c r="L620" i="28" a="1"/>
  <c r="L620" i="28" s="1"/>
  <c r="K620" i="28" s="1"/>
  <c r="L712" i="28" a="1"/>
  <c r="L712" i="28" s="1"/>
  <c r="K712" i="28" s="1"/>
  <c r="L596" i="28" a="1"/>
  <c r="L596" i="28" s="1"/>
  <c r="K596" i="28" s="1"/>
  <c r="L531" i="28" a="1"/>
  <c r="L531" i="28" s="1"/>
  <c r="K531" i="28" s="1"/>
  <c r="L635" i="28" a="1"/>
  <c r="L635" i="28" s="1"/>
  <c r="K635" i="28" s="1"/>
  <c r="L662" i="28" a="1"/>
  <c r="L662" i="28" s="1"/>
  <c r="K662" i="28" s="1"/>
  <c r="L525" i="28" a="1"/>
  <c r="L525" i="28" s="1"/>
  <c r="K525" i="28" s="1"/>
  <c r="L541" i="28" a="1"/>
  <c r="L541" i="28" s="1"/>
  <c r="K541" i="28" s="1"/>
  <c r="L563" i="28" a="1"/>
  <c r="L563" i="28" s="1"/>
  <c r="K563" i="28" s="1"/>
  <c r="L552" i="28" a="1"/>
  <c r="L552" i="28" s="1"/>
  <c r="K552" i="28" s="1"/>
  <c r="L630" i="28" a="1"/>
  <c r="L630" i="28" s="1"/>
  <c r="K630" i="28" s="1"/>
  <c r="L36" i="28" a="1"/>
  <c r="L36" i="28" s="1"/>
  <c r="K36" i="28" s="1"/>
  <c r="L86" i="28" a="1"/>
  <c r="L86" i="28" s="1"/>
  <c r="K86" i="28" s="1"/>
  <c r="L199" i="28" a="1"/>
  <c r="L199" i="28" s="1"/>
  <c r="K199" i="28" s="1"/>
  <c r="L123" i="28" a="1"/>
  <c r="L123" i="28" s="1"/>
  <c r="K123" i="28" s="1"/>
  <c r="L125" i="28" a="1"/>
  <c r="L125" i="28" s="1"/>
  <c r="K125" i="28" s="1"/>
  <c r="L147" i="28" a="1"/>
  <c r="L147" i="28" s="1"/>
  <c r="K147" i="28" s="1"/>
  <c r="L159" i="28" a="1"/>
  <c r="L159" i="28" s="1"/>
  <c r="K159" i="28" s="1"/>
  <c r="L151" i="28" a="1"/>
  <c r="L151" i="28" s="1"/>
  <c r="K151" i="28" s="1"/>
  <c r="L150" i="28" a="1"/>
  <c r="L150" i="28" s="1"/>
  <c r="K150" i="28" s="1"/>
  <c r="L160" i="28" a="1"/>
  <c r="L160" i="28" s="1"/>
  <c r="K160" i="28" s="1"/>
  <c r="L161" i="28" a="1"/>
  <c r="L161" i="28" s="1"/>
  <c r="K161" i="28" s="1"/>
  <c r="L128" i="28" a="1"/>
  <c r="L128" i="28" s="1"/>
  <c r="K128" i="28" s="1"/>
  <c r="L553" i="28" a="1"/>
  <c r="L553" i="28" s="1"/>
  <c r="K553" i="28" s="1"/>
  <c r="L577" i="28" a="1"/>
  <c r="L577" i="28" s="1"/>
  <c r="K577" i="28" s="1"/>
  <c r="L522" i="28" a="1"/>
  <c r="L522" i="28" s="1"/>
  <c r="K522" i="28" s="1"/>
  <c r="L607" i="28" a="1"/>
  <c r="L607" i="28" s="1"/>
  <c r="K607" i="28" s="1"/>
  <c r="L615" i="28" a="1"/>
  <c r="L615" i="28" s="1"/>
  <c r="K615" i="28" s="1"/>
  <c r="L663" i="28" a="1"/>
  <c r="L663" i="28" s="1"/>
  <c r="K663" i="28" s="1"/>
  <c r="L690" i="28" a="1"/>
  <c r="L690" i="28" s="1"/>
  <c r="K690" i="28" s="1"/>
  <c r="L698" i="28" a="1"/>
  <c r="L698" i="28" s="1"/>
  <c r="K698" i="28" s="1"/>
  <c r="L669" i="28" a="1"/>
  <c r="L669" i="28" s="1"/>
  <c r="K669" i="28" s="1"/>
  <c r="L697" i="28" a="1"/>
  <c r="L697" i="28" s="1"/>
  <c r="K697" i="28" s="1"/>
  <c r="L676" i="28" a="1"/>
  <c r="L676" i="28" s="1"/>
  <c r="K676" i="28" s="1"/>
  <c r="L711" i="28" a="1"/>
  <c r="L711" i="28" s="1"/>
  <c r="K711" i="28" s="1"/>
  <c r="L538" i="28" a="1"/>
  <c r="L538" i="28" s="1"/>
  <c r="K538" i="28" s="1"/>
  <c r="L642" i="28" a="1"/>
  <c r="L642" i="28" s="1"/>
  <c r="K642" i="28" s="1"/>
  <c r="L683" i="28" a="1"/>
  <c r="L683" i="28" s="1"/>
  <c r="K683" i="28" s="1"/>
  <c r="L649" i="28" a="1"/>
  <c r="L649" i="28" s="1"/>
  <c r="K649" i="28" s="1"/>
  <c r="L707" i="28" a="1"/>
  <c r="L707" i="28" s="1"/>
  <c r="K707" i="28" s="1"/>
  <c r="L715" i="28" a="1"/>
  <c r="L715" i="28" s="1"/>
  <c r="K715" i="28" s="1"/>
  <c r="L656" i="28" a="1"/>
  <c r="L656" i="28" s="1"/>
  <c r="K656" i="28" s="1"/>
  <c r="L595" i="28" a="1"/>
  <c r="L595" i="28" s="1"/>
  <c r="K595" i="28" s="1"/>
  <c r="L509" i="28" a="1"/>
  <c r="L509" i="28" s="1"/>
  <c r="K509" i="28" s="1"/>
  <c r="L684" i="28" a="1"/>
  <c r="L684" i="28" s="1"/>
  <c r="K684" i="28" s="1"/>
  <c r="L694" i="28" a="1"/>
  <c r="L694" i="28" s="1"/>
  <c r="K694" i="28" s="1"/>
  <c r="L632" i="28" a="1"/>
  <c r="L632" i="28" s="1"/>
  <c r="K632" i="28" s="1"/>
  <c r="L692" i="28" a="1"/>
  <c r="L692" i="28" s="1"/>
  <c r="K692" i="28" s="1"/>
  <c r="L572" i="28" a="1"/>
  <c r="L572" i="28" s="1"/>
  <c r="K572" i="28" s="1"/>
  <c r="L675" i="28" a="1"/>
  <c r="L675" i="28" s="1"/>
  <c r="K675" i="28" s="1"/>
  <c r="L564" i="28" a="1"/>
  <c r="L564" i="28" s="1"/>
  <c r="K564" i="28" s="1"/>
  <c r="L680" i="28" a="1"/>
  <c r="L680" i="28" s="1"/>
  <c r="K680" i="28" s="1"/>
  <c r="L646" i="28" a="1"/>
  <c r="L646" i="28" s="1"/>
  <c r="K646" i="28" s="1"/>
  <c r="L658" i="28" a="1"/>
  <c r="L658" i="28" s="1"/>
  <c r="K658" i="28" s="1"/>
  <c r="L568" i="28" a="1"/>
  <c r="L568" i="28" s="1"/>
  <c r="K568" i="28" s="1"/>
  <c r="L582" i="28" a="1"/>
  <c r="L582" i="28" s="1"/>
  <c r="K582" i="28" s="1"/>
  <c r="L27" i="28" a="1"/>
  <c r="L27" i="28" s="1"/>
  <c r="K27" i="28" s="1"/>
  <c r="L29" i="28" a="1"/>
  <c r="L29" i="28" s="1"/>
  <c r="K29" i="28" s="1"/>
  <c r="L26" i="28" a="1"/>
  <c r="L26" i="28" s="1"/>
  <c r="K26" i="28" s="1"/>
  <c r="L28" i="28" a="1"/>
  <c r="L28" i="28" s="1"/>
  <c r="K28" i="28" s="1"/>
  <c r="L31" i="28" a="1"/>
  <c r="L31" i="28" s="1"/>
  <c r="K31" i="28" s="1"/>
  <c r="L32" i="28" a="1"/>
  <c r="L32" i="28" s="1"/>
  <c r="K32" i="28" s="1"/>
  <c r="L30" i="28" a="1"/>
  <c r="L30" i="28" s="1"/>
  <c r="K30" i="28" s="1"/>
  <c r="L57" i="28" a="1"/>
  <c r="L57" i="28" s="1"/>
  <c r="K57" i="28" s="1"/>
  <c r="L593" i="28" a="1"/>
  <c r="L593" i="28" s="1"/>
  <c r="K593" i="28" s="1"/>
  <c r="L591" i="28" a="1"/>
  <c r="L591" i="28" s="1"/>
  <c r="K591" i="28" s="1"/>
  <c r="L534" i="28" a="1"/>
  <c r="L534" i="28" s="1"/>
  <c r="K534" i="28" s="1"/>
  <c r="L637" i="28" a="1"/>
  <c r="L637" i="28" s="1"/>
  <c r="K637" i="28" s="1"/>
  <c r="L578" i="28" a="1"/>
  <c r="L578" i="28" s="1"/>
  <c r="K578" i="28" s="1"/>
  <c r="L533" i="28" a="1"/>
  <c r="L533" i="28" s="1"/>
  <c r="K533" i="28" s="1"/>
  <c r="L518" i="28" a="1"/>
  <c r="L518" i="28" s="1"/>
  <c r="K518" i="28" s="1"/>
  <c r="L590" i="28" a="1"/>
  <c r="L590" i="28" s="1"/>
  <c r="K590" i="28" s="1"/>
  <c r="L654" i="28" a="1"/>
  <c r="L654" i="28" s="1"/>
  <c r="K654" i="28" s="1"/>
  <c r="L592" i="28" a="1"/>
  <c r="L592" i="28" s="1"/>
  <c r="K592" i="28" s="1"/>
  <c r="L652" i="28" a="1"/>
  <c r="L652" i="28" s="1"/>
  <c r="K652" i="28" s="1"/>
  <c r="L653" i="28" a="1"/>
  <c r="L653" i="28" s="1"/>
  <c r="K653" i="28" s="1"/>
  <c r="L636" i="28" a="1"/>
  <c r="L636" i="28" s="1"/>
  <c r="K636" i="28" s="1"/>
  <c r="AP591" i="19"/>
  <c r="AP585" i="19"/>
  <c r="AP578" i="19"/>
  <c r="AP572" i="19"/>
  <c r="AP569" i="19"/>
  <c r="AP575" i="19"/>
  <c r="AP586" i="19"/>
  <c r="AP590" i="19"/>
  <c r="AP581" i="19"/>
  <c r="AP587" i="19"/>
  <c r="AP563" i="19"/>
  <c r="AP568" i="19"/>
  <c r="AP589" i="19"/>
  <c r="AP564" i="19"/>
  <c r="AP583" i="19"/>
  <c r="AP577" i="19"/>
  <c r="AP580" i="19"/>
  <c r="AP582" i="19"/>
  <c r="AP565" i="19"/>
  <c r="AP571" i="19"/>
  <c r="AP576" i="19"/>
  <c r="AP567" i="19"/>
  <c r="AP570" i="19"/>
  <c r="AP593" i="19"/>
  <c r="AP574" i="19"/>
  <c r="AP573" i="19"/>
  <c r="AP579" i="19"/>
  <c r="AP566" i="19"/>
  <c r="AP584" i="19"/>
  <c r="AP588" i="19"/>
  <c r="AP592" i="19"/>
  <c r="AO23" i="19" l="1"/>
  <c r="AO26" i="19"/>
  <c r="AO24" i="19"/>
  <c r="AO21" i="19"/>
  <c r="AO22" i="19"/>
  <c r="AO27" i="19"/>
  <c r="AO25" i="19"/>
  <c r="AO18" i="19"/>
  <c r="AO12" i="19"/>
  <c r="AO16" i="19"/>
  <c r="AO20" i="19"/>
  <c r="AO13" i="19"/>
  <c r="AO14" i="19"/>
  <c r="AO11" i="19"/>
  <c r="AO19" i="19"/>
  <c r="AO17" i="19"/>
  <c r="AO15" i="19"/>
  <c r="AO591" i="19"/>
  <c r="AO585" i="19"/>
  <c r="AO578" i="19"/>
  <c r="AO572" i="19"/>
  <c r="AO569" i="19"/>
  <c r="AO566" i="19"/>
  <c r="AO593" i="19"/>
  <c r="L64" i="28" s="1" a="1"/>
  <c r="L64" i="28" s="1"/>
  <c r="K64" i="28" s="1"/>
  <c r="AO576" i="19"/>
  <c r="L99" i="28" s="1" a="1"/>
  <c r="L99" i="28" s="1"/>
  <c r="K99" i="28" s="1"/>
  <c r="AO577" i="19"/>
  <c r="AO589" i="19"/>
  <c r="AO581" i="19"/>
  <c r="AO592" i="19"/>
  <c r="AO579" i="19"/>
  <c r="AO570" i="19"/>
  <c r="AO571" i="19"/>
  <c r="AO583" i="19"/>
  <c r="AO568" i="19"/>
  <c r="AO590" i="19"/>
  <c r="L63" i="28" s="1" a="1"/>
  <c r="L63" i="28" s="1"/>
  <c r="K63" i="28" s="1"/>
  <c r="AO588" i="19"/>
  <c r="AO573" i="19"/>
  <c r="AO567" i="19"/>
  <c r="AO565" i="19"/>
  <c r="AO582" i="19"/>
  <c r="AO564" i="19"/>
  <c r="AO563" i="19"/>
  <c r="AO586" i="19"/>
  <c r="AO584" i="19"/>
  <c r="AO574" i="19"/>
  <c r="AO580" i="19"/>
  <c r="AO587" i="19"/>
  <c r="AO575" i="19"/>
  <c r="L777" i="28" s="1" a="1"/>
  <c r="L777" i="28" s="1"/>
  <c r="K777" i="28" s="1"/>
  <c r="L783" i="28" l="1" a="1"/>
  <c r="L783" i="28" s="1"/>
  <c r="K783" i="28" s="1"/>
  <c r="L759" i="28" a="1"/>
  <c r="L759" i="28" s="1"/>
  <c r="K759" i="28" s="1"/>
  <c r="L784" i="28" a="1"/>
  <c r="L784" i="28" s="1"/>
  <c r="K784" i="28" s="1"/>
  <c r="L758" i="28" a="1"/>
  <c r="L758" i="28" s="1"/>
  <c r="K758" i="28" s="1"/>
  <c r="L779" i="28" a="1"/>
  <c r="L779" i="28" s="1"/>
  <c r="K779" i="28" s="1"/>
  <c r="L773" i="28" a="1"/>
  <c r="L773" i="28" s="1"/>
  <c r="K773" i="28" s="1"/>
  <c r="L782" i="28" a="1"/>
  <c r="L782" i="28" s="1"/>
  <c r="K782" i="28" s="1"/>
  <c r="L775" i="28" a="1"/>
  <c r="L775" i="28" s="1"/>
  <c r="K775" i="28" s="1"/>
  <c r="L761" i="28" a="1"/>
  <c r="L761" i="28" s="1"/>
  <c r="K761" i="28" s="1"/>
  <c r="L785" i="28" a="1"/>
  <c r="L785" i="28" s="1"/>
  <c r="K785" i="28" s="1"/>
  <c r="L43" i="28" a="1"/>
  <c r="L43" i="28" s="1"/>
  <c r="K43" i="28" s="1"/>
  <c r="L42" i="28" a="1"/>
  <c r="L42" i="28" s="1"/>
  <c r="K42" i="28" s="1"/>
  <c r="D1" i="19"/>
  <c r="C1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Dinesh Natarajan Mohan</author>
  </authors>
  <commentList>
    <comment ref="AC3" authorId="0" shapeId="0" xr:uid="{1285A8DD-B7FE-4A5B-8B42-D29F16C64C71}">
      <text>
        <r>
          <rPr>
            <sz val="9"/>
            <color indexed="81"/>
            <rFont val="Tahoma"/>
            <family val="2"/>
          </rPr>
          <t>1 indicates invalid date. 0 indicates valid.</t>
        </r>
      </text>
    </comment>
    <comment ref="AD3" authorId="0" shapeId="0" xr:uid="{A91FDE82-29E5-47FC-B353-A9C87C4E678C}">
      <text>
        <r>
          <rPr>
            <sz val="9"/>
            <color indexed="81"/>
            <rFont val="Tahoma"/>
            <family val="2"/>
          </rPr>
          <t>1 indicates invalid date. 0 indicates valid.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<sst xmlns="http://schemas.openxmlformats.org/spreadsheetml/2006/main" count="12623" uniqueCount="2450">
  <si>
    <t>ETS Power BI Dashboard Template</t>
  </si>
  <si>
    <t>v1.0</t>
  </si>
  <si>
    <t>Power BI Template requires Power BI file and this Excel file.</t>
  </si>
  <si>
    <t>Data is input in this Excel file and reports are viewed in the Power BI File.</t>
  </si>
  <si>
    <t xml:space="preserve">For support, please visit </t>
  </si>
  <si>
    <t>Leave Tracker (Power BI) Support</t>
  </si>
  <si>
    <t>SETTINGS</t>
  </si>
  <si>
    <t>DO NOT CHANGE COLUMN HEADERS OR FIELD NAMES IN ROW 6 BELOW. YOU CAN CHANGE IN ROW 5 AND THEN MODIFY NAMES IN POWER BI. EMAIL SUPPORT@INDZARA.COM FOR ASSISTANCE.</t>
  </si>
  <si>
    <t>EMPLOYEE ATTRIBUTES</t>
  </si>
  <si>
    <t>JOB ATTRIBUTES</t>
  </si>
  <si>
    <t>LEAVE ATTRIBUTES</t>
  </si>
  <si>
    <t>GENDER</t>
  </si>
  <si>
    <t>HIRE SOURCE</t>
  </si>
  <si>
    <t>ETHNICITY</t>
  </si>
  <si>
    <t>LOCATION</t>
  </si>
  <si>
    <t>CITY</t>
  </si>
  <si>
    <t>STATE</t>
  </si>
  <si>
    <t>COUNTRY</t>
  </si>
  <si>
    <t>DEPARTMENT</t>
  </si>
  <si>
    <t>JOB TYPE</t>
  </si>
  <si>
    <t>JOB CATEGORY</t>
  </si>
  <si>
    <t>JOB LEVEL</t>
  </si>
  <si>
    <t>JOB TITLE</t>
  </si>
  <si>
    <t>WEEKDAY</t>
  </si>
  <si>
    <t>WEEKEND</t>
  </si>
  <si>
    <t>LEAVE TYPE</t>
  </si>
  <si>
    <t>SYMBOL</t>
  </si>
  <si>
    <t>Male</t>
  </si>
  <si>
    <t>INDEED</t>
  </si>
  <si>
    <t>African American</t>
  </si>
  <si>
    <t>Bangalore</t>
  </si>
  <si>
    <t>KR</t>
  </si>
  <si>
    <t>INDIA</t>
  </si>
  <si>
    <t>Product</t>
  </si>
  <si>
    <t>Part-Time</t>
  </si>
  <si>
    <t>People Manager</t>
  </si>
  <si>
    <t>E1</t>
  </si>
  <si>
    <t>Sunday</t>
  </si>
  <si>
    <t>Vacation</t>
  </si>
  <si>
    <t>V</t>
  </si>
  <si>
    <t>Female</t>
  </si>
  <si>
    <t>LINKEDIN</t>
  </si>
  <si>
    <t>American Indian</t>
  </si>
  <si>
    <t>Hyderabad</t>
  </si>
  <si>
    <t>TS</t>
  </si>
  <si>
    <t>IT</t>
  </si>
  <si>
    <t>Full-Time</t>
  </si>
  <si>
    <t>Technical Manager</t>
  </si>
  <si>
    <t>E2</t>
  </si>
  <si>
    <t>Monday</t>
  </si>
  <si>
    <t>Sick</t>
  </si>
  <si>
    <t>S</t>
  </si>
  <si>
    <t>Other</t>
  </si>
  <si>
    <t>AGENCY</t>
  </si>
  <si>
    <t>Asian</t>
  </si>
  <si>
    <t>Chennai</t>
  </si>
  <si>
    <t>CH</t>
  </si>
  <si>
    <t>Sales</t>
  </si>
  <si>
    <t>Part-Time Internship</t>
  </si>
  <si>
    <t>Program Manager</t>
  </si>
  <si>
    <t>E3</t>
  </si>
  <si>
    <t>Tuesday</t>
  </si>
  <si>
    <t>Maternity</t>
  </si>
  <si>
    <t>M</t>
  </si>
  <si>
    <t>WEBSITE</t>
  </si>
  <si>
    <t>Hispanic</t>
  </si>
  <si>
    <t>Vizag</t>
  </si>
  <si>
    <t>AP</t>
  </si>
  <si>
    <t>Marketing</t>
  </si>
  <si>
    <t>Full-Time Internship</t>
  </si>
  <si>
    <t>Senior Project Manager</t>
  </si>
  <si>
    <t>E4</t>
  </si>
  <si>
    <t>Wednesday</t>
  </si>
  <si>
    <t>Paternity</t>
  </si>
  <si>
    <t>P</t>
  </si>
  <si>
    <t>DIRECT</t>
  </si>
  <si>
    <t>Native Hawaian or Other Pacific Islander</t>
  </si>
  <si>
    <t>Pune</t>
  </si>
  <si>
    <t>MH</t>
  </si>
  <si>
    <t>Accounting</t>
  </si>
  <si>
    <t>Contract/Temporary</t>
  </si>
  <si>
    <t>Senior Technical Lead</t>
  </si>
  <si>
    <t>E5</t>
  </si>
  <si>
    <t>Thursday</t>
  </si>
  <si>
    <t>Bereavement</t>
  </si>
  <si>
    <t>B</t>
  </si>
  <si>
    <t>White</t>
  </si>
  <si>
    <t>Human Resources</t>
  </si>
  <si>
    <t>Freelance</t>
  </si>
  <si>
    <t>Senior Software Test Engineer</t>
  </si>
  <si>
    <t>E6</t>
  </si>
  <si>
    <t>Friday</t>
  </si>
  <si>
    <t>Privilege</t>
  </si>
  <si>
    <t>PR</t>
  </si>
  <si>
    <t>Customer Service</t>
  </si>
  <si>
    <t>Senior Manager</t>
  </si>
  <si>
    <t>E7</t>
  </si>
  <si>
    <t>Saturday</t>
  </si>
  <si>
    <t xml:space="preserve">Casual / Sick </t>
  </si>
  <si>
    <t>C</t>
  </si>
  <si>
    <t>Operations</t>
  </si>
  <si>
    <t>Project Manager</t>
  </si>
  <si>
    <t>E8</t>
  </si>
  <si>
    <t>LOP</t>
  </si>
  <si>
    <t>Finance</t>
  </si>
  <si>
    <t>Senior Solution Architect</t>
  </si>
  <si>
    <t>E9</t>
  </si>
  <si>
    <t>DATE</t>
  </si>
  <si>
    <t>HOLIDAY NAME</t>
  </si>
  <si>
    <t>Holiday type</t>
  </si>
  <si>
    <t>QA</t>
  </si>
  <si>
    <t>Technical Lead</t>
  </si>
  <si>
    <t>E10</t>
  </si>
  <si>
    <t>Holiday Type</t>
  </si>
  <si>
    <t>Core</t>
  </si>
  <si>
    <t>Vice President</t>
  </si>
  <si>
    <t>E11</t>
  </si>
  <si>
    <t>New Year's Day</t>
  </si>
  <si>
    <t>Cognos</t>
  </si>
  <si>
    <t>Senior Test Lead</t>
  </si>
  <si>
    <t>Makara Sankranthi</t>
  </si>
  <si>
    <t>Informatica</t>
  </si>
  <si>
    <t>Program Director</t>
  </si>
  <si>
    <t>Republic Day</t>
  </si>
  <si>
    <t>EDMS</t>
  </si>
  <si>
    <t>Test Lead</t>
  </si>
  <si>
    <t>Holi</t>
  </si>
  <si>
    <t>Letters</t>
  </si>
  <si>
    <t>Senior Software Engineer</t>
  </si>
  <si>
    <t>Ugadi</t>
  </si>
  <si>
    <t>Infra</t>
  </si>
  <si>
    <t>Senior Business Analyst</t>
  </si>
  <si>
    <t>May Day</t>
  </si>
  <si>
    <t>Production Support</t>
  </si>
  <si>
    <t>Senior Technical Manager</t>
  </si>
  <si>
    <t>Independence Day</t>
  </si>
  <si>
    <t>Senior Lead Business Analyst</t>
  </si>
  <si>
    <t>Raksha Bandhan</t>
  </si>
  <si>
    <t>Assistant Vice President</t>
  </si>
  <si>
    <t>Gandhi Jayanthi</t>
  </si>
  <si>
    <t>Senior Project Lead</t>
  </si>
  <si>
    <t>Kannada Rajyostava</t>
  </si>
  <si>
    <t>Senior Technical Writer</t>
  </si>
  <si>
    <t>Assistant Manager</t>
  </si>
  <si>
    <t>Senior Technical Architect</t>
  </si>
  <si>
    <t>Project Lead</t>
  </si>
  <si>
    <t>Senior Lead System Administrator</t>
  </si>
  <si>
    <t>Manager</t>
  </si>
  <si>
    <t>Software Test Engineer</t>
  </si>
  <si>
    <t>Technical Support Specialist</t>
  </si>
  <si>
    <t>Senior Executive</t>
  </si>
  <si>
    <t>Associate Software Engineer</t>
  </si>
  <si>
    <t>Senior Support Engineer</t>
  </si>
  <si>
    <t>Senior Lead System Engineer</t>
  </si>
  <si>
    <t>Lead Business Analyst</t>
  </si>
  <si>
    <t>Lead System Engineer</t>
  </si>
  <si>
    <t>Associate Support Engineer</t>
  </si>
  <si>
    <t>Senior System Administrator</t>
  </si>
  <si>
    <t>Executive</t>
  </si>
  <si>
    <t>Support Engineer</t>
  </si>
  <si>
    <t>Software Engineer</t>
  </si>
  <si>
    <t>Senior Test Analyst</t>
  </si>
  <si>
    <t>Senior Database administrator</t>
  </si>
  <si>
    <t>Database Administrator</t>
  </si>
  <si>
    <t>IT Analyst</t>
  </si>
  <si>
    <t>Associate Software Test Engineer</t>
  </si>
  <si>
    <t>EMPLOYEES</t>
  </si>
  <si>
    <t>Unique. Required</t>
  </si>
  <si>
    <t>Required</t>
  </si>
  <si>
    <t>Optional</t>
  </si>
  <si>
    <t>EMPLOYEE FIRST NAME</t>
  </si>
  <si>
    <t>EMPLOYEE LAST NAME</t>
  </si>
  <si>
    <t>EMPLOYEE NUMBER</t>
  </si>
  <si>
    <t>EMAIL</t>
  </si>
  <si>
    <t>DATE OF BIRTH</t>
  </si>
  <si>
    <t>START DATE</t>
  </si>
  <si>
    <t>EXIT DATE</t>
  </si>
  <si>
    <t>MANAGER</t>
  </si>
  <si>
    <t>Prior EXPERIENCE1</t>
  </si>
  <si>
    <t>EMP_CTC1</t>
  </si>
  <si>
    <t>M_Salary</t>
  </si>
  <si>
    <t>Prev_CTC2</t>
  </si>
  <si>
    <t>State</t>
  </si>
  <si>
    <t>Project Working</t>
  </si>
  <si>
    <t>EMPLOYEE LABEL</t>
  </si>
  <si>
    <t>Last_Bonus</t>
  </si>
  <si>
    <t>Hike_Percentage</t>
  </si>
  <si>
    <t>EMPLOYEE SYS ID</t>
  </si>
  <si>
    <t>EMPLOYEE NUM ERROR</t>
  </si>
  <si>
    <t>DOB DV</t>
  </si>
  <si>
    <t>START DATE DV</t>
  </si>
  <si>
    <t>GENDER SYS ID</t>
  </si>
  <si>
    <t>HIRE SOURCE SYS ID</t>
  </si>
  <si>
    <t>ETHNICITY SYS ID</t>
  </si>
  <si>
    <t>LOCATION SYS ID</t>
  </si>
  <si>
    <t>DEPARTMENT SYS ID</t>
  </si>
  <si>
    <t>JOB TYPE SYS ID</t>
  </si>
  <si>
    <t>JOB CATEGORY SYS ID</t>
  </si>
  <si>
    <t>JOB LEVEL SYS ID</t>
  </si>
  <si>
    <t>JOB TITLE SYS ID</t>
  </si>
  <si>
    <t>MANAGER EMP SYS ID</t>
  </si>
  <si>
    <t>ERROR IND</t>
  </si>
  <si>
    <t>ERROR</t>
  </si>
  <si>
    <t>Anand</t>
  </si>
  <si>
    <t>Kumar Potdar</t>
  </si>
  <si>
    <t>anandp@infinite.com</t>
  </si>
  <si>
    <t>Dipakbhai Motibhai Tandel (1027230)</t>
  </si>
  <si>
    <t>NH</t>
  </si>
  <si>
    <t>Niranjan</t>
  </si>
  <si>
    <t>Reddy G</t>
  </si>
  <si>
    <t>Niranjan.Reddy3@infinite.com</t>
  </si>
  <si>
    <t>Nagarajan K (1019672)</t>
  </si>
  <si>
    <t>Joel</t>
  </si>
  <si>
    <t>Clifton Dsouza</t>
  </si>
  <si>
    <t>Joel.Dsouza@infinite.com</t>
  </si>
  <si>
    <t>Radhakanta  Samantara (1010164)</t>
  </si>
  <si>
    <t>Jitendar Reddy</t>
  </si>
  <si>
    <t>Jitendar.Reddy@infinite.com</t>
  </si>
  <si>
    <t>Siddharth Kumar (1027551)</t>
  </si>
  <si>
    <t>Shingnapurkar</t>
  </si>
  <si>
    <t>Prasad P</t>
  </si>
  <si>
    <t>Prasad.Shingnapurkar@infinite.com</t>
  </si>
  <si>
    <t>Sreekanth  Pulumati (1022868)</t>
  </si>
  <si>
    <t>Dipakbhai</t>
  </si>
  <si>
    <t>Motibhai Tandel</t>
  </si>
  <si>
    <t>Dipakbhai.Tandel@infinite.com</t>
  </si>
  <si>
    <t>K</t>
  </si>
  <si>
    <t>Murari Bhat</t>
  </si>
  <si>
    <t>Murari.Bhat@infinite.com</t>
  </si>
  <si>
    <t>Srinivas</t>
  </si>
  <si>
    <t>Rao Vemana</t>
  </si>
  <si>
    <t>Srinivasrao.Vemana@infinite.com</t>
  </si>
  <si>
    <t>Purushotham Ayachetula (1022573)</t>
  </si>
  <si>
    <t>Unnikrishnan</t>
  </si>
  <si>
    <t>Chellappan C</t>
  </si>
  <si>
    <t>Unnikrishnan.Chellappanpillai@infinite.com</t>
  </si>
  <si>
    <t>Syed Atif Ali Syed Arshad Taher Subzwari (1024996)</t>
  </si>
  <si>
    <t>Prashanth</t>
  </si>
  <si>
    <t>Kumar Mangipudi</t>
  </si>
  <si>
    <t>Prashanth.Mangipudi@infinite.com</t>
  </si>
  <si>
    <t>Sharat</t>
  </si>
  <si>
    <t>Kumar Ravi Sandapola</t>
  </si>
  <si>
    <t>Sharatkumar.Sandapola@infinite.com</t>
  </si>
  <si>
    <t>Siva</t>
  </si>
  <si>
    <t>Kumar  Shada</t>
  </si>
  <si>
    <t>sivakumars@infinite.com</t>
  </si>
  <si>
    <t>Talluri  Mangarao (1004641)</t>
  </si>
  <si>
    <t>Radhakanta</t>
  </si>
  <si>
    <t xml:space="preserve"> Samantara</t>
  </si>
  <si>
    <t>Radhakanta.Samantara@infinite.com</t>
  </si>
  <si>
    <t>Bharat</t>
  </si>
  <si>
    <t>Digambar Lande</t>
  </si>
  <si>
    <t>Bharat.Lande@infinite.com</t>
  </si>
  <si>
    <t>Nageswara</t>
  </si>
  <si>
    <t>Rao Ambati</t>
  </si>
  <si>
    <t>NageswaraRao.Ambati@infinite.com</t>
  </si>
  <si>
    <t>Senthilalagan</t>
  </si>
  <si>
    <t xml:space="preserve"> N</t>
  </si>
  <si>
    <t>Senthilalagan.Natarajan@infinite.com</t>
  </si>
  <si>
    <t>J S S  Vardhan (1020135)</t>
  </si>
  <si>
    <t>Avdhut</t>
  </si>
  <si>
    <t>Sunil Kavdikar</t>
  </si>
  <si>
    <t>Avdhut.Kavdikar@infinite.com</t>
  </si>
  <si>
    <t>Sudip</t>
  </si>
  <si>
    <t>Karmakar</t>
  </si>
  <si>
    <t>Sudip.Karmakar@infinite.com</t>
  </si>
  <si>
    <t>Purushotham</t>
  </si>
  <si>
    <t>Ayachetula</t>
  </si>
  <si>
    <t>Purushotham.Ayachetula@infinite.com</t>
  </si>
  <si>
    <t>Chandrasekar</t>
  </si>
  <si>
    <t xml:space="preserve"> Nagarajan</t>
  </si>
  <si>
    <t>Chandrasekar.Nagarajan@infinite.com</t>
  </si>
  <si>
    <t>Santhosh B K (1025129)</t>
  </si>
  <si>
    <t>Kamuju</t>
  </si>
  <si>
    <t>Srikanth</t>
  </si>
  <si>
    <t>Srikanth.Kamuju@infinite.com</t>
  </si>
  <si>
    <t>Srinivas Rao Vemana (1028538)</t>
  </si>
  <si>
    <t>Deepa</t>
  </si>
  <si>
    <t xml:space="preserve"> Balachandra</t>
  </si>
  <si>
    <t>Deepa.Balachandra@infinite.com</t>
  </si>
  <si>
    <t>Vijaykrishnan  Ragavan (1013703)</t>
  </si>
  <si>
    <t>Jallipalli</t>
  </si>
  <si>
    <t xml:space="preserve"> Nagaraju</t>
  </si>
  <si>
    <t>Nagaraju.Jallipalli@infinite.com</t>
  </si>
  <si>
    <t>D N Rajesh (1028375)</t>
  </si>
  <si>
    <t>Sreekanth</t>
  </si>
  <si>
    <t>V Pillai</t>
  </si>
  <si>
    <t>Sreekanth.Pillai@infinite.com</t>
  </si>
  <si>
    <t>Prabhakar Janardhanam (1031867)</t>
  </si>
  <si>
    <t>Mohammed</t>
  </si>
  <si>
    <t>Vaniyambadi Ahmed Rafeeq</t>
  </si>
  <si>
    <t>Mohammed.Rafeeq@infinite.com</t>
  </si>
  <si>
    <t>Vinit</t>
  </si>
  <si>
    <t>Kumar</t>
  </si>
  <si>
    <t>vinit.kumar@infinite.com</t>
  </si>
  <si>
    <t>Gangadhar</t>
  </si>
  <si>
    <t>Chiluka</t>
  </si>
  <si>
    <t>Gangadhar.Chiluka@infinite.com</t>
  </si>
  <si>
    <t>Umakanta</t>
  </si>
  <si>
    <t xml:space="preserve"> Rath</t>
  </si>
  <si>
    <t>umakantar@infinite.com</t>
  </si>
  <si>
    <t>Madhavi</t>
  </si>
  <si>
    <t>Latha Jamjanam</t>
  </si>
  <si>
    <t>Madhavi.Latha@infinite.com</t>
  </si>
  <si>
    <t>Gangadhar Chiluka (1022458)</t>
  </si>
  <si>
    <t>Rama</t>
  </si>
  <si>
    <t>Krishna Chakka</t>
  </si>
  <si>
    <t>cramakrishna@infinite.com</t>
  </si>
  <si>
    <t>Sudhakar</t>
  </si>
  <si>
    <t xml:space="preserve"> Channegowda</t>
  </si>
  <si>
    <t>Sudhakar.Channegowda@infinite.com</t>
  </si>
  <si>
    <t>Niranjan Reddy G (1032824)</t>
  </si>
  <si>
    <t>Khushal</t>
  </si>
  <si>
    <t>Shankarrao Bodhale</t>
  </si>
  <si>
    <t>Khushal.Bodhale@infinite.com</t>
  </si>
  <si>
    <t>Richa Sharma (1031870)</t>
  </si>
  <si>
    <t>Khaja Shaik</t>
  </si>
  <si>
    <t>Khaja.Shaik@infinite.com</t>
  </si>
  <si>
    <t>Elango</t>
  </si>
  <si>
    <t>Krishnamoorthy</t>
  </si>
  <si>
    <t>Elango.Krishnamoorthy@infinite.com</t>
  </si>
  <si>
    <t>Joel Clifton Dsouza (1012233)</t>
  </si>
  <si>
    <t>Suparno</t>
  </si>
  <si>
    <t>Chowdhury</t>
  </si>
  <si>
    <t>Suparno.Chowdhury@infinite.com</t>
  </si>
  <si>
    <t>Abdul Azeem</t>
  </si>
  <si>
    <t>Abdul.Azeem@infinite.com</t>
  </si>
  <si>
    <t>Macherla</t>
  </si>
  <si>
    <t>Sandhya  Rani</t>
  </si>
  <si>
    <t>Sandhya.Rani@infinite.com</t>
  </si>
  <si>
    <t>Anupam</t>
  </si>
  <si>
    <t>Lal</t>
  </si>
  <si>
    <t>Anupam.Lal@infinite.com</t>
  </si>
  <si>
    <t>Avdhut Sunil Kavdikar (1032836)</t>
  </si>
  <si>
    <t>Kalyana</t>
  </si>
  <si>
    <t>Raju C S</t>
  </si>
  <si>
    <t>kalyanarajuc@infinite.com</t>
  </si>
  <si>
    <t>K  Saikumar (1026864)</t>
  </si>
  <si>
    <t>Ravi</t>
  </si>
  <si>
    <t>Kumar Muppana</t>
  </si>
  <si>
    <t>Ravi.Muppana@infinite.com</t>
  </si>
  <si>
    <t>Kalyan</t>
  </si>
  <si>
    <t>Krishna Kora</t>
  </si>
  <si>
    <t>Kalyan.Krishna@infinite.com</t>
  </si>
  <si>
    <t>Siva Kumar  Shada (1000177)</t>
  </si>
  <si>
    <t>Manjunath</t>
  </si>
  <si>
    <t>U M</t>
  </si>
  <si>
    <t>Manjunath.Ulhas@infinite.com</t>
  </si>
  <si>
    <t>Siddharth</t>
  </si>
  <si>
    <t>Siddharthkumar.Subol@infinite.com</t>
  </si>
  <si>
    <t>Jithender</t>
  </si>
  <si>
    <t xml:space="preserve"> M</t>
  </si>
  <si>
    <t>Jithender.Matla@infinite.com</t>
  </si>
  <si>
    <t>Peernayakgari Irfan Basha (1017291)</t>
  </si>
  <si>
    <t>Sathish</t>
  </si>
  <si>
    <t>Kappaganti</t>
  </si>
  <si>
    <t>Sathish.Kappaganti@infinite.com</t>
  </si>
  <si>
    <t>Mahesh</t>
  </si>
  <si>
    <t>M Mogali</t>
  </si>
  <si>
    <t>maheshm@infinite.com</t>
  </si>
  <si>
    <t>Senthilkumar</t>
  </si>
  <si>
    <t>T</t>
  </si>
  <si>
    <t>Senthilkumar.Moorthy@infinite.com</t>
  </si>
  <si>
    <t xml:space="preserve"> Saikumar</t>
  </si>
  <si>
    <t>Saikumar.Kantimahanthi@infinite.com</t>
  </si>
  <si>
    <t>Nagarajan</t>
  </si>
  <si>
    <t>Nagarajan.Kochunni@infinite.com</t>
  </si>
  <si>
    <t>Sunduru</t>
  </si>
  <si>
    <t>Arun  Jayant</t>
  </si>
  <si>
    <t>Arun.Jayant@infinite.com</t>
  </si>
  <si>
    <t>Rajinikanth</t>
  </si>
  <si>
    <t>.</t>
  </si>
  <si>
    <t>Rajinikanth.Srinivasan@infinite.com</t>
  </si>
  <si>
    <t>Unnikrishnan Chellappan C (1025919)</t>
  </si>
  <si>
    <t>Prabhakar</t>
  </si>
  <si>
    <t>Janardhanam</t>
  </si>
  <si>
    <t>Prabhakar.Janardhanam@infinite.com</t>
  </si>
  <si>
    <t>Srisha N (1031856)</t>
  </si>
  <si>
    <t>Nafisa</t>
  </si>
  <si>
    <t>Parveen</t>
  </si>
  <si>
    <t>Nafisa.Parveen@infinite.com</t>
  </si>
  <si>
    <t>Praveen</t>
  </si>
  <si>
    <t>Kumar  Narayana</t>
  </si>
  <si>
    <t>Praveen.Narayana@infinite.com</t>
  </si>
  <si>
    <t>Rajnish</t>
  </si>
  <si>
    <t>Rajnish.Kumar@infinite.com</t>
  </si>
  <si>
    <t>Kishore</t>
  </si>
  <si>
    <t>Kumar N</t>
  </si>
  <si>
    <t>Kishore.Nagarajan@infinite.com</t>
  </si>
  <si>
    <t>Anil</t>
  </si>
  <si>
    <t>Kumar Khamari</t>
  </si>
  <si>
    <t>kanil@infinite.com</t>
  </si>
  <si>
    <t>Korivolla</t>
  </si>
  <si>
    <t>Umamahesh</t>
  </si>
  <si>
    <t>Umamahesh.Korivolla@infinite.com</t>
  </si>
  <si>
    <t>Arnav</t>
  </si>
  <si>
    <t xml:space="preserve"> Chattopadhyay</t>
  </si>
  <si>
    <t>Arnav.Chattopadhyay@infinite.com</t>
  </si>
  <si>
    <t>Syed</t>
  </si>
  <si>
    <t>Atif Ali Syed Arshad Taher Subzwari</t>
  </si>
  <si>
    <t>Atif.Subzwari@infinite.com</t>
  </si>
  <si>
    <t>Ashish</t>
  </si>
  <si>
    <t>Kumar Sharma</t>
  </si>
  <si>
    <t>Ashish.Sharma@infinite.com</t>
  </si>
  <si>
    <t>Santhosh</t>
  </si>
  <si>
    <t>B K</t>
  </si>
  <si>
    <t>Santhosh.Krishnegowda@infinite.com</t>
  </si>
  <si>
    <t xml:space="preserve"> S</t>
  </si>
  <si>
    <t>Elango.Selvaraj@infinite.com</t>
  </si>
  <si>
    <t>Srisha</t>
  </si>
  <si>
    <t>N</t>
  </si>
  <si>
    <t>Srisha.Nagaraja@infinite.com</t>
  </si>
  <si>
    <t>Soumyakeshava</t>
  </si>
  <si>
    <t>Soumyakeshava.Channakeshava@infinite.com</t>
  </si>
  <si>
    <t>Shashirekha</t>
  </si>
  <si>
    <t>Shashirekha.Murugan@infinite.com</t>
  </si>
  <si>
    <t>Sowjanya</t>
  </si>
  <si>
    <t>Sowjanya.Suryadevara@infinite.com</t>
  </si>
  <si>
    <t>Someshwara Prabhu Nanje Gowda (1021418)</t>
  </si>
  <si>
    <t>Talluri</t>
  </si>
  <si>
    <t xml:space="preserve"> Mangarao</t>
  </si>
  <si>
    <t>mangaraot@infinite.com</t>
  </si>
  <si>
    <t xml:space="preserve"> Pulumati</t>
  </si>
  <si>
    <t>Sreekanth.Pulumati@infinite.com</t>
  </si>
  <si>
    <t>P LakshmiNarayana</t>
  </si>
  <si>
    <t>Lakshmi.Narayan@infinite.com</t>
  </si>
  <si>
    <t>Mahammed Shamshuddin</t>
  </si>
  <si>
    <t>Syed.Mahammed@infinite.com</t>
  </si>
  <si>
    <t>Tabasum</t>
  </si>
  <si>
    <t>Ara Begum</t>
  </si>
  <si>
    <t>Tabasum.Begum@infinite.com</t>
  </si>
  <si>
    <t>T  Muthukumar (1022795)</t>
  </si>
  <si>
    <t>NH Projects</t>
  </si>
  <si>
    <t>Ashwin</t>
  </si>
  <si>
    <t xml:space="preserve"> Bhaskaran</t>
  </si>
  <si>
    <t>Ashwin.Bhaskaran@infinite.com</t>
  </si>
  <si>
    <t>Bharani</t>
  </si>
  <si>
    <t xml:space="preserve"> Kanthan K</t>
  </si>
  <si>
    <t>Bharani.Kanthan@infinite.com</t>
  </si>
  <si>
    <t>Jantikar</t>
  </si>
  <si>
    <t>Ganesh</t>
  </si>
  <si>
    <t>Jantikar.Ganesh@infinite.com</t>
  </si>
  <si>
    <t>Sunitha</t>
  </si>
  <si>
    <t>Panguluri</t>
  </si>
  <si>
    <t>Sunitha.Panguluri@infinite.com</t>
  </si>
  <si>
    <t>Anumita</t>
  </si>
  <si>
    <t>Deb</t>
  </si>
  <si>
    <t>Anumita.Deb@infinite.com</t>
  </si>
  <si>
    <t>Numan Sharieff (1031852)</t>
  </si>
  <si>
    <t>Veena</t>
  </si>
  <si>
    <t>C M</t>
  </si>
  <si>
    <t>Veena.Mangotekar@infinite.com</t>
  </si>
  <si>
    <t>Ramya</t>
  </si>
  <si>
    <t xml:space="preserve"> Kande</t>
  </si>
  <si>
    <t>Ramya.Kande@infinite.com</t>
  </si>
  <si>
    <t>Vishal</t>
  </si>
  <si>
    <t>Ravindra Sabnis</t>
  </si>
  <si>
    <t>Vishal.Sabnis@infinite.com</t>
  </si>
  <si>
    <t>Somnath</t>
  </si>
  <si>
    <t>Somnath.Kalirajan@infinite.com</t>
  </si>
  <si>
    <t>V N Pavankrishnamantada</t>
  </si>
  <si>
    <t>Pavan.Mantada@infinite.com</t>
  </si>
  <si>
    <t>Numan</t>
  </si>
  <si>
    <t>Sharieff</t>
  </si>
  <si>
    <t>Numan.Sharieff@infinite.com</t>
  </si>
  <si>
    <t>Archana</t>
  </si>
  <si>
    <t xml:space="preserve"> R P</t>
  </si>
  <si>
    <t>Archana.Ponraj@infinite.com</t>
  </si>
  <si>
    <t>Kishore Kumar N (1019765)</t>
  </si>
  <si>
    <t>Karthigaselvi</t>
  </si>
  <si>
    <t xml:space="preserve"> Sivanantham</t>
  </si>
  <si>
    <t>Karthigaselvi.Sivanantham@infinite.com</t>
  </si>
  <si>
    <t>Vijaykrishnan</t>
  </si>
  <si>
    <t xml:space="preserve"> Ragavan</t>
  </si>
  <si>
    <t>vijaykrishnan@infinite.com</t>
  </si>
  <si>
    <t xml:space="preserve"> Muthukumar</t>
  </si>
  <si>
    <t>Muthukumar.Thangamuthu@infinite.com</t>
  </si>
  <si>
    <t>Saravanakumar</t>
  </si>
  <si>
    <t>Saravanakumar.Kuzhanthaivel@infinite.com</t>
  </si>
  <si>
    <t xml:space="preserve"> Sudi</t>
  </si>
  <si>
    <t>Sunitha.Kalakappa@infinite.com</t>
  </si>
  <si>
    <t>Nidhish</t>
  </si>
  <si>
    <t>Kumar Verma R</t>
  </si>
  <si>
    <t>Nidhishkumar.Racharla@infinite.com</t>
  </si>
  <si>
    <t>J</t>
  </si>
  <si>
    <t>S S  Vardhan</t>
  </si>
  <si>
    <t>Vardhan.Jandhyala@infinite.com</t>
  </si>
  <si>
    <t>Kiran</t>
  </si>
  <si>
    <t>Kumar Uppara</t>
  </si>
  <si>
    <t>Kiran.Uppara@infinite.com</t>
  </si>
  <si>
    <t>Madhu</t>
  </si>
  <si>
    <t>Yedida</t>
  </si>
  <si>
    <t>Madhu.Yedida@infinite.com</t>
  </si>
  <si>
    <t>Prabhu G B</t>
  </si>
  <si>
    <t>Praveen.Prabhu@infinite.com</t>
  </si>
  <si>
    <t>S Archana</t>
  </si>
  <si>
    <t>Archana.Shivaraj@infinite.com</t>
  </si>
  <si>
    <t>D</t>
  </si>
  <si>
    <t>N Rajesh</t>
  </si>
  <si>
    <t>Rajesh.Narayana@infinite.com</t>
  </si>
  <si>
    <t>Neha</t>
  </si>
  <si>
    <t>Abhijeet Mehta</t>
  </si>
  <si>
    <t>Neha.Mehta@infinite.com</t>
  </si>
  <si>
    <t>Mohammed Shamsheer Ali</t>
  </si>
  <si>
    <t>Mohammed.Shamsher@infinite.com</t>
  </si>
  <si>
    <t>Anil Kumar Khamari (1013201)</t>
  </si>
  <si>
    <t>Nagarjun</t>
  </si>
  <si>
    <t>Naidu Mannem</t>
  </si>
  <si>
    <t>Nagarjun.Mannem@infinite.com</t>
  </si>
  <si>
    <t>Nagadurga</t>
  </si>
  <si>
    <t>Kaladhar Raju Cholaraju</t>
  </si>
  <si>
    <t>Nagadurga.Kaladhar@infinite.com</t>
  </si>
  <si>
    <t>Kalyana Raju C S (1003859)</t>
  </si>
  <si>
    <t>Katakam</t>
  </si>
  <si>
    <t>Vijaykumar</t>
  </si>
  <si>
    <t>Katakam.Vijaykumar@infinite.com</t>
  </si>
  <si>
    <t>Debajyoti</t>
  </si>
  <si>
    <t>Panda</t>
  </si>
  <si>
    <t>Debajyoti.Panda@infinite.com</t>
  </si>
  <si>
    <t>Ravi.Varadarajan@infinite.com</t>
  </si>
  <si>
    <t>Sudhansu</t>
  </si>
  <si>
    <t>Sekhar Sahu</t>
  </si>
  <si>
    <t>Sudhansu.Sahu@infinite.com</t>
  </si>
  <si>
    <t>Ravi V (1027169)</t>
  </si>
  <si>
    <t>Vinoth  Kumar</t>
  </si>
  <si>
    <t>Vinothkumar.Prabakaran@infinite.com</t>
  </si>
  <si>
    <t>Sekhar</t>
  </si>
  <si>
    <t>Sekhar.Sandhi@infinite.com</t>
  </si>
  <si>
    <t>Rashmi</t>
  </si>
  <si>
    <t xml:space="preserve"> Manchanda</t>
  </si>
  <si>
    <t>Rashmi.Manchanda@infinite.com</t>
  </si>
  <si>
    <t>Santosh</t>
  </si>
  <si>
    <t>Kumar B</t>
  </si>
  <si>
    <t>Santosh.Kumar8@infinite.com</t>
  </si>
  <si>
    <t>Kumar Sadanapu</t>
  </si>
  <si>
    <t>Praveen.Sadanapu@infinite.com</t>
  </si>
  <si>
    <t>Vishwanath</t>
  </si>
  <si>
    <t>Vishwanath.Pulipati@infinite.com</t>
  </si>
  <si>
    <t>Shivakumar</t>
  </si>
  <si>
    <t>Hunagundi</t>
  </si>
  <si>
    <t>Shivakumar.Hunagundi@infinite.com</t>
  </si>
  <si>
    <t>Sreelatha</t>
  </si>
  <si>
    <t>Akkireddy</t>
  </si>
  <si>
    <t>Sreelatha.Akkireddy@infinite.com</t>
  </si>
  <si>
    <t>Amit</t>
  </si>
  <si>
    <t>Pandey</t>
  </si>
  <si>
    <t>Amit.Pandey@infinite.com</t>
  </si>
  <si>
    <t xml:space="preserve"> Vigneshwaran</t>
  </si>
  <si>
    <t>Vigneshwaran.Senthilnathan@infinite.com</t>
  </si>
  <si>
    <t>Sunduru Arun  Jayant (1031825)</t>
  </si>
  <si>
    <t>Abhishek</t>
  </si>
  <si>
    <t xml:space="preserve"> K</t>
  </si>
  <si>
    <t>Abhishek.Konka@infinite.com</t>
  </si>
  <si>
    <t>Pulagala</t>
  </si>
  <si>
    <t xml:space="preserve">Sandhya </t>
  </si>
  <si>
    <t>Sandhya.Pulagala@infinite.com</t>
  </si>
  <si>
    <t>Atla</t>
  </si>
  <si>
    <t>Tirupati Reddy</t>
  </si>
  <si>
    <t>Tirupati.Reddy@infinite.com</t>
  </si>
  <si>
    <t>Korivolla Umamahesh (1032896)</t>
  </si>
  <si>
    <t>Pradeepta</t>
  </si>
  <si>
    <t>Kumar Pattnayak</t>
  </si>
  <si>
    <t>Pradeepta.Pattnayak@infinite.com</t>
  </si>
  <si>
    <t>SANJIT</t>
  </si>
  <si>
    <t>KUMAR</t>
  </si>
  <si>
    <t>Sanjit.Kumar@infinite.com</t>
  </si>
  <si>
    <t>Someshwara</t>
  </si>
  <si>
    <t>Prabhu Nanje Gowda</t>
  </si>
  <si>
    <t>Someshwara.Prabhu@infinite.com</t>
  </si>
  <si>
    <t>Karthika</t>
  </si>
  <si>
    <t xml:space="preserve"> R</t>
  </si>
  <si>
    <t>Karthika.Ramamoorthy@infinite.com</t>
  </si>
  <si>
    <t xml:space="preserve"> Sudhakar</t>
  </si>
  <si>
    <t>Sudhakar.Vugrarapu@infinite.com</t>
  </si>
  <si>
    <t>Rashmi  Manchanda (1023573)</t>
  </si>
  <si>
    <t>Soumyashree</t>
  </si>
  <si>
    <t>Banjee</t>
  </si>
  <si>
    <t>Soumyashree.Banjee@infinite.com</t>
  </si>
  <si>
    <t>Sunitha Panguluri (1031865)</t>
  </si>
  <si>
    <t>Shambhavi</t>
  </si>
  <si>
    <t>Priya</t>
  </si>
  <si>
    <t>Shambhavi.Priya@infinite.com</t>
  </si>
  <si>
    <t>Chereddy</t>
  </si>
  <si>
    <t>Laxmi kumari</t>
  </si>
  <si>
    <t>Laxmikumari.Chereddy@infinite.com</t>
  </si>
  <si>
    <t>Vinaykumar</t>
  </si>
  <si>
    <t xml:space="preserve"> Proddutoori</t>
  </si>
  <si>
    <t>Vinaykumar.Proddutoori@infinite.com</t>
  </si>
  <si>
    <t>Veluguleti</t>
  </si>
  <si>
    <t>Sreekanth.Veluguleti@infinite.com</t>
  </si>
  <si>
    <t>Swikruti</t>
  </si>
  <si>
    <t xml:space="preserve"> Mahapatra</t>
  </si>
  <si>
    <t>Swikruti.Mahapatra@infinite.com</t>
  </si>
  <si>
    <t>Teenu</t>
  </si>
  <si>
    <t>Sharma</t>
  </si>
  <si>
    <t>Teenu.Sharma@infinite.com</t>
  </si>
  <si>
    <t>Vinayak</t>
  </si>
  <si>
    <t xml:space="preserve"> Tatuskar</t>
  </si>
  <si>
    <t>Vinayak.Tatuskar@infinite.com</t>
  </si>
  <si>
    <t>Sony</t>
  </si>
  <si>
    <t>Xavier</t>
  </si>
  <si>
    <t>Sony.Xavier@infinite.com</t>
  </si>
  <si>
    <t>Sunny</t>
  </si>
  <si>
    <t>Bhattacharjee</t>
  </si>
  <si>
    <t>Sunny.Bhattacharjee@infinite.com</t>
  </si>
  <si>
    <t>Sandhya</t>
  </si>
  <si>
    <t>Abbadasuri</t>
  </si>
  <si>
    <t>Sandhya.Abbadasuri@infinite.com</t>
  </si>
  <si>
    <t>P Vinoth  Kumar (1023066)</t>
  </si>
  <si>
    <t>Pallapu</t>
  </si>
  <si>
    <t xml:space="preserve"> Malyadri</t>
  </si>
  <si>
    <t>Pallapu.Malyadri@infinite.com</t>
  </si>
  <si>
    <t>Siddi</t>
  </si>
  <si>
    <t xml:space="preserve">Narasimhareddy </t>
  </si>
  <si>
    <t>Narasimhareddy.Siddi@infinite.com</t>
  </si>
  <si>
    <t>Poothi</t>
  </si>
  <si>
    <t xml:space="preserve">Reddy Niranjan Reddy </t>
  </si>
  <si>
    <t>Niranjan.Reddy2@infinite.com</t>
  </si>
  <si>
    <t>Peernayakgari</t>
  </si>
  <si>
    <t>Irfan Basha</t>
  </si>
  <si>
    <t>Peernayakgari.Basha@infinite.com</t>
  </si>
  <si>
    <t>v</t>
  </si>
  <si>
    <t>Sravani</t>
  </si>
  <si>
    <t xml:space="preserve"> R N</t>
  </si>
  <si>
    <t>Sravani.Ramapuram@infinite.com</t>
  </si>
  <si>
    <t>Basappa</t>
  </si>
  <si>
    <t>S Bellanki</t>
  </si>
  <si>
    <t>Basappa.Bellanki@infinite.com</t>
  </si>
  <si>
    <t>Movva</t>
  </si>
  <si>
    <t xml:space="preserve">Sridevi </t>
  </si>
  <si>
    <t>Sridevi.Movva@infinite.com</t>
  </si>
  <si>
    <t>Naga</t>
  </si>
  <si>
    <t>Murali Krishna Valluru</t>
  </si>
  <si>
    <t>Muralikrishna.Valluru@infinite.com</t>
  </si>
  <si>
    <t>Sandu</t>
  </si>
  <si>
    <t>Ashish.Sandu@infinite.com</t>
  </si>
  <si>
    <t>Jahangir</t>
  </si>
  <si>
    <t>Pasha Shaik</t>
  </si>
  <si>
    <t>Jahangir.Shaik@infinite.com</t>
  </si>
  <si>
    <t>Shaik</t>
  </si>
  <si>
    <t>Jabeer Basha</t>
  </si>
  <si>
    <t>Jabeer.Basha@infinite.com</t>
  </si>
  <si>
    <t>Kavita</t>
  </si>
  <si>
    <t>Doraisamy</t>
  </si>
  <si>
    <t>Kavita.Doraisamy@infinite.com</t>
  </si>
  <si>
    <t xml:space="preserve"> Venkatesh</t>
  </si>
  <si>
    <t>Abhishek.Venkatesh@infinite.com</t>
  </si>
  <si>
    <t>R</t>
  </si>
  <si>
    <t>Sathishkumar  Ramasamy</t>
  </si>
  <si>
    <t>Sathishkumar.Ramasamy@infinite.com</t>
  </si>
  <si>
    <t>Vuppuluri</t>
  </si>
  <si>
    <t>Raghu Rami Reddy</t>
  </si>
  <si>
    <t>Raghu.Reddy@infinite.com</t>
  </si>
  <si>
    <t>K Murari Bhat (1008532)</t>
  </si>
  <si>
    <t>Waseem</t>
  </si>
  <si>
    <t>Waseem.Mohammed@infinite.com</t>
  </si>
  <si>
    <t>Tembhurne</t>
  </si>
  <si>
    <t>Ashwin Nutandas</t>
  </si>
  <si>
    <t>Ashwin.Tembhurne@infinite.com</t>
  </si>
  <si>
    <t>Mudiam</t>
  </si>
  <si>
    <t>Sreenivasa Reddy</t>
  </si>
  <si>
    <t>Sreenivasa.Mudiam@infinite.com</t>
  </si>
  <si>
    <t>Leo</t>
  </si>
  <si>
    <t>Leo.Jeyabal@infinite.com</t>
  </si>
  <si>
    <t>Maibubsab</t>
  </si>
  <si>
    <t xml:space="preserve"> Attar</t>
  </si>
  <si>
    <t>Attar.Maibubsab@infinite.com</t>
  </si>
  <si>
    <t>Katta</t>
  </si>
  <si>
    <t xml:space="preserve"> Kavitha</t>
  </si>
  <si>
    <t>Kavitha.Katta@infinite.com</t>
  </si>
  <si>
    <t>Gunda</t>
  </si>
  <si>
    <t>Spandana</t>
  </si>
  <si>
    <t>Gunda.Spandana@infinite.com</t>
  </si>
  <si>
    <t>Kambham</t>
  </si>
  <si>
    <t xml:space="preserve"> Anusha</t>
  </si>
  <si>
    <t>Kambham.Anusha@infinite.com</t>
  </si>
  <si>
    <t>Rahul</t>
  </si>
  <si>
    <t>Diwakar Perkiwar</t>
  </si>
  <si>
    <t>Rahul.Perkiwar@infinite.com</t>
  </si>
  <si>
    <t>Vignesh Kannan</t>
  </si>
  <si>
    <t>Vignesh.Kannan@infinite.com</t>
  </si>
  <si>
    <t>Nirosha</t>
  </si>
  <si>
    <t xml:space="preserve"> V</t>
  </si>
  <si>
    <t>Nirosha.Vijayaraghavan@infinite.com</t>
  </si>
  <si>
    <t>Neha  Rajput (1020112)</t>
  </si>
  <si>
    <t>Bhuvaneshwari</t>
  </si>
  <si>
    <t>Bhuvaneshwari.Danappa@infinite.com</t>
  </si>
  <si>
    <t>Nidhin</t>
  </si>
  <si>
    <t>C N</t>
  </si>
  <si>
    <t>Nidhin.C@infinite.com</t>
  </si>
  <si>
    <t>Vadde</t>
  </si>
  <si>
    <t>Vijay Kumar</t>
  </si>
  <si>
    <t>Vijaykumar.Vadde@infinite.com</t>
  </si>
  <si>
    <t>Surya</t>
  </si>
  <si>
    <t>Prasad Gupta</t>
  </si>
  <si>
    <t>Suryaprasad.Gupta@infinite.com</t>
  </si>
  <si>
    <t>Irfana</t>
  </si>
  <si>
    <t>Anjum</t>
  </si>
  <si>
    <t>Irfana.Anjum@infinite.com</t>
  </si>
  <si>
    <t>Ashwitha</t>
  </si>
  <si>
    <t>Kumari H</t>
  </si>
  <si>
    <t>Ashwitha.Kumari@infinite.com</t>
  </si>
  <si>
    <t>Mastan</t>
  </si>
  <si>
    <t>Shaik.Mastan@infinite.com</t>
  </si>
  <si>
    <t>Shashi</t>
  </si>
  <si>
    <t>Kumar D</t>
  </si>
  <si>
    <t>Shashi.Kumar@infinite.com</t>
  </si>
  <si>
    <t>Parameshwar</t>
  </si>
  <si>
    <t>Parameshwar.Hede@infinite.com</t>
  </si>
  <si>
    <t>Balabadruni</t>
  </si>
  <si>
    <t xml:space="preserve"> Asrita</t>
  </si>
  <si>
    <t>Asrita.Balabadruni@infinite.com</t>
  </si>
  <si>
    <t>Samaleti</t>
  </si>
  <si>
    <t xml:space="preserve"> Srikanth</t>
  </si>
  <si>
    <t>Srikanth.Samaleti@infinite.com</t>
  </si>
  <si>
    <t>A</t>
  </si>
  <si>
    <t>Gopal Reddy</t>
  </si>
  <si>
    <t>Gopal.Reddy@infinite.com</t>
  </si>
  <si>
    <t>LakshmiVasavi</t>
  </si>
  <si>
    <t>Bezavada</t>
  </si>
  <si>
    <t>Lakshmivasavi.Bezavada@infinite.com</t>
  </si>
  <si>
    <t>Sachin</t>
  </si>
  <si>
    <t>S Joshi</t>
  </si>
  <si>
    <t>Sachin.Joshi@infinite.com</t>
  </si>
  <si>
    <t xml:space="preserve"> Swathi</t>
  </si>
  <si>
    <t>Swathi.Talluri@infinite.com</t>
  </si>
  <si>
    <t>Arnav  Chattopadhyay (1025126)</t>
  </si>
  <si>
    <t>Vempuluru</t>
  </si>
  <si>
    <t xml:space="preserve"> Chandrasekhar</t>
  </si>
  <si>
    <t>Vempuluru.Chandrasekhar@infinite.com</t>
  </si>
  <si>
    <t>Appalla</t>
  </si>
  <si>
    <t>Sasanka</t>
  </si>
  <si>
    <t>Sasanka.Appalla@infinite.com</t>
  </si>
  <si>
    <t>Vikas</t>
  </si>
  <si>
    <t>Kokanay</t>
  </si>
  <si>
    <t>Vikas.Kokanay@infinite.com</t>
  </si>
  <si>
    <t>SK</t>
  </si>
  <si>
    <t>Nasim</t>
  </si>
  <si>
    <t>Nasim.Sekh@infinite.com</t>
  </si>
  <si>
    <t>Richa</t>
  </si>
  <si>
    <t>Richa.Sharma@infinite.com</t>
  </si>
  <si>
    <t>Vattam</t>
  </si>
  <si>
    <t xml:space="preserve">Saikrishna </t>
  </si>
  <si>
    <t>Saikrishna.Vattam@infinite.com</t>
  </si>
  <si>
    <t>Swati</t>
  </si>
  <si>
    <t>Swati.Sharma@infinite.com</t>
  </si>
  <si>
    <t>Rengaraj</t>
  </si>
  <si>
    <t>Rengaraj.Kulasekara@infinite.com</t>
  </si>
  <si>
    <t>Chilakala</t>
  </si>
  <si>
    <t xml:space="preserve"> Srikanth Reddy</t>
  </si>
  <si>
    <t>Srikanth.Chilakala@infinite.com</t>
  </si>
  <si>
    <t>Sirikonda</t>
  </si>
  <si>
    <t>Venkata Rupesh Siddartha</t>
  </si>
  <si>
    <t>Rupesh.Sirikonda@infinite.com</t>
  </si>
  <si>
    <t>Sayli</t>
  </si>
  <si>
    <t>Susmit Pisal</t>
  </si>
  <si>
    <t>Sayli.Pisal@infinite.com</t>
  </si>
  <si>
    <t>Avnendra</t>
  </si>
  <si>
    <t xml:space="preserve"> Bhadauria</t>
  </si>
  <si>
    <t>Avnendra.Bhadauria@infinite.com</t>
  </si>
  <si>
    <t>YEDLAPALLI</t>
  </si>
  <si>
    <t>RAJASEKHAR</t>
  </si>
  <si>
    <t>Rajasekhar.Yedlapalli@infinite.com</t>
  </si>
  <si>
    <t xml:space="preserve"> Kumar</t>
  </si>
  <si>
    <t>Abhishek.Kumar5@infinite.com</t>
  </si>
  <si>
    <t>Manikandan</t>
  </si>
  <si>
    <t>Manikandan.R@infinite.com</t>
  </si>
  <si>
    <t>Sreenidhi</t>
  </si>
  <si>
    <t>Sreenidhi.Krishna@infinite.com</t>
  </si>
  <si>
    <t>Banuka  Hari Prasad (1026788)</t>
  </si>
  <si>
    <t>Mudigolam</t>
  </si>
  <si>
    <t xml:space="preserve"> Silpa</t>
  </si>
  <si>
    <t>Silpa.Mudigolam@infinite.com</t>
  </si>
  <si>
    <t>Vikash</t>
  </si>
  <si>
    <t>Vikash.Kumar2@infinite.com</t>
  </si>
  <si>
    <t>Pasunoori</t>
  </si>
  <si>
    <t xml:space="preserve"> Vijaykumar</t>
  </si>
  <si>
    <t>Vijaykumar.Pasunoori@infinite.com</t>
  </si>
  <si>
    <t>Maddipati Mohan Chowdary (1025070)</t>
  </si>
  <si>
    <t>Koppala</t>
  </si>
  <si>
    <t>Bayapu Reddy</t>
  </si>
  <si>
    <t>Bayapu.Reddy@infinite.com</t>
  </si>
  <si>
    <t>Jayasudha</t>
  </si>
  <si>
    <t xml:space="preserve"> T</t>
  </si>
  <si>
    <t>Jayasudha.Thirusangu@infinite.com</t>
  </si>
  <si>
    <t>Shahensha</t>
  </si>
  <si>
    <t>Shaik Mahaboob</t>
  </si>
  <si>
    <t>Shahensha.Shaikmahaboob@infinite.com</t>
  </si>
  <si>
    <t>Hajgude</t>
  </si>
  <si>
    <t>Rajkumar Shankar</t>
  </si>
  <si>
    <t>Rajkumar.Shankar@infinite.com</t>
  </si>
  <si>
    <t>Maddipati</t>
  </si>
  <si>
    <t>Mohan Chowdary</t>
  </si>
  <si>
    <t>Mohan.Chowdary@infinite.com</t>
  </si>
  <si>
    <t>Bindu</t>
  </si>
  <si>
    <t xml:space="preserve"> P</t>
  </si>
  <si>
    <t>Bindu.Peddakotla@infinite.com</t>
  </si>
  <si>
    <t>Vadanakal Jagannathachar</t>
  </si>
  <si>
    <t>Mahesh.Jagannathachar@infinite.com</t>
  </si>
  <si>
    <t>Suneetha</t>
  </si>
  <si>
    <t>Suneetha.Sambolu@infinite.com</t>
  </si>
  <si>
    <t>Muddapati</t>
  </si>
  <si>
    <t>Koteswara  Rao</t>
  </si>
  <si>
    <t>Koteswararao.Muddapati@infinite.com</t>
  </si>
  <si>
    <t>Sudhakar  Channegowda (1031110)</t>
  </si>
  <si>
    <t>Sujata</t>
  </si>
  <si>
    <t>Gupta</t>
  </si>
  <si>
    <t>Sujata.Gupta@infinite.com</t>
  </si>
  <si>
    <t>U P</t>
  </si>
  <si>
    <t>Deepa.Paradkar@infinite.com</t>
  </si>
  <si>
    <t>Raviprasad</t>
  </si>
  <si>
    <t>Jhuriprasad Gupta</t>
  </si>
  <si>
    <t>Raviprasad.Gupta2@infinite.com</t>
  </si>
  <si>
    <t>Mattam</t>
  </si>
  <si>
    <t xml:space="preserve"> Satish</t>
  </si>
  <si>
    <t>Mattam.Satish@infinite.com</t>
  </si>
  <si>
    <t>Anumula</t>
  </si>
  <si>
    <t xml:space="preserve"> Soujanya</t>
  </si>
  <si>
    <t>Soujanya.Anumula@infinite.com</t>
  </si>
  <si>
    <t>Mogarala</t>
  </si>
  <si>
    <t>Ganapathi</t>
  </si>
  <si>
    <t>Ganapathi.Mogarala@infinite.com</t>
  </si>
  <si>
    <t>Kartik</t>
  </si>
  <si>
    <t>Shivappa Ganiger</t>
  </si>
  <si>
    <t>Kartik.Ganiger@infinite.com</t>
  </si>
  <si>
    <t>Golla</t>
  </si>
  <si>
    <t>Venugopal</t>
  </si>
  <si>
    <t>Venugopal.Golla@infinite.com</t>
  </si>
  <si>
    <t>SumantaKumar</t>
  </si>
  <si>
    <t>Swain</t>
  </si>
  <si>
    <t>Sumanta.Kumar@infinite.com</t>
  </si>
  <si>
    <t>Soujanya</t>
  </si>
  <si>
    <t>Soujanya.Suresh@infinite.com</t>
  </si>
  <si>
    <t>Tripti</t>
  </si>
  <si>
    <t>Tripti.Gupta@infinite.com</t>
  </si>
  <si>
    <t>Malar Vizhi</t>
  </si>
  <si>
    <t>Malarvizhi.Dillibupathi@infinite.com</t>
  </si>
  <si>
    <t>Katyayani</t>
  </si>
  <si>
    <t>Adda</t>
  </si>
  <si>
    <t>Katyayani.Adda@infinite.com</t>
  </si>
  <si>
    <t>G</t>
  </si>
  <si>
    <t>Mallikarjuna  Gooty</t>
  </si>
  <si>
    <t>Mallikarjuna.Gooty@infinite.com</t>
  </si>
  <si>
    <t>Mohammad</t>
  </si>
  <si>
    <t>Rashad</t>
  </si>
  <si>
    <t>Mohammad.Rashad@infinite.com</t>
  </si>
  <si>
    <t>Sowjanya.Shekhar@infinite.com</t>
  </si>
  <si>
    <t>Abinash</t>
  </si>
  <si>
    <t>Abinash.Panda@infinite.com</t>
  </si>
  <si>
    <t>Sonu</t>
  </si>
  <si>
    <t>Sonu.Kumar3@infinite.com</t>
  </si>
  <si>
    <t>Archana  Jaiswal (1024503)</t>
  </si>
  <si>
    <t>Ganapathi.Manoharan@infinite.com</t>
  </si>
  <si>
    <t>Boilla</t>
  </si>
  <si>
    <t xml:space="preserve"> ChanduPriya</t>
  </si>
  <si>
    <t>Chandupriya.Boilla@infinite.com</t>
  </si>
  <si>
    <t>Jagannathgowd</t>
  </si>
  <si>
    <t>Jagannathgowd.Neelagowni@infinite.com</t>
  </si>
  <si>
    <t>Lakku</t>
  </si>
  <si>
    <t>Hari Krishna Manikanta</t>
  </si>
  <si>
    <t>Harikrishna.Manikanta@infinite.com</t>
  </si>
  <si>
    <t>Vinayak  Tatuskar (1023387)</t>
  </si>
  <si>
    <t xml:space="preserve"> Venigalla</t>
  </si>
  <si>
    <t>Sreekanth.Venigalla@infinite.com</t>
  </si>
  <si>
    <t>Banuka</t>
  </si>
  <si>
    <t xml:space="preserve"> Hari Prasad</t>
  </si>
  <si>
    <t>Hariprasad.Banuka@infinite.com</t>
  </si>
  <si>
    <t>Pinnenty</t>
  </si>
  <si>
    <t>Shyamsundar</t>
  </si>
  <si>
    <t>Shyamsundar.Pinnenty@infinite.com</t>
  </si>
  <si>
    <t>Arpit</t>
  </si>
  <si>
    <t>Mathur</t>
  </si>
  <si>
    <t>Arpit.Mathur@infinite.com</t>
  </si>
  <si>
    <t>Sarikonda</t>
  </si>
  <si>
    <t>Chandra Sekhar Raju</t>
  </si>
  <si>
    <t>Chandra.Sekhar@infinite.com</t>
  </si>
  <si>
    <t xml:space="preserve"> Santhanapriyalakshmi</t>
  </si>
  <si>
    <t>Santhanapriyalakshmi.Selvaraj@infinite.com</t>
  </si>
  <si>
    <t>Guduru</t>
  </si>
  <si>
    <t>Suneel Kumar</t>
  </si>
  <si>
    <t>Suneel.Kumar@infinite.com</t>
  </si>
  <si>
    <t xml:space="preserve"> Rajput</t>
  </si>
  <si>
    <t>Neha.Rajput@infinite.com</t>
  </si>
  <si>
    <t>Dasika</t>
  </si>
  <si>
    <t>Tejaswi</t>
  </si>
  <si>
    <t>Tejaswi.Dasika@infinite.com</t>
  </si>
  <si>
    <t>Harish</t>
  </si>
  <si>
    <t>Kommanaveni</t>
  </si>
  <si>
    <t>Harish.K@infinite.com</t>
  </si>
  <si>
    <t>Dinesh</t>
  </si>
  <si>
    <t>Dinesh.Kumar3@infinite.com</t>
  </si>
  <si>
    <t>Mohd</t>
  </si>
  <si>
    <t>Nizamuddin Siddiqi</t>
  </si>
  <si>
    <t>Nizamuddin.Siddiqi@infinite.com</t>
  </si>
  <si>
    <t>Prajwal</t>
  </si>
  <si>
    <t xml:space="preserve"> Nayak</t>
  </si>
  <si>
    <t>Prajwal.Nayak@infinite.com</t>
  </si>
  <si>
    <t>Vasam</t>
  </si>
  <si>
    <t>Ranjith Raj</t>
  </si>
  <si>
    <t>Ranjithraj.Vasam@infinite.com</t>
  </si>
  <si>
    <t>Murali</t>
  </si>
  <si>
    <t>Murali.Venkatapathy@infinite.com</t>
  </si>
  <si>
    <t>Vulasala</t>
  </si>
  <si>
    <t>Sravya</t>
  </si>
  <si>
    <t>Sravya.Vulasala@infinite.com</t>
  </si>
  <si>
    <t>Vinod Kumar</t>
  </si>
  <si>
    <t>Vinod.Kumar6@infinite.com</t>
  </si>
  <si>
    <t>Santosh Kumar B (1033071)</t>
  </si>
  <si>
    <t>Nazeer</t>
  </si>
  <si>
    <t>Nazeer.Shaik@infinite.com</t>
  </si>
  <si>
    <t>Mohammed Abdul Azeem (1030739)</t>
  </si>
  <si>
    <t>Siddanna</t>
  </si>
  <si>
    <t>Siddanna.Mallappa@infinite.com</t>
  </si>
  <si>
    <t>Kotla</t>
  </si>
  <si>
    <t>Mariyababu</t>
  </si>
  <si>
    <t>Mariyababu.Kotla@infinite.com</t>
  </si>
  <si>
    <t>Sarvesh</t>
  </si>
  <si>
    <t>Duragannavar</t>
  </si>
  <si>
    <t>Sarvesh.Duragannavar@infinite.com</t>
  </si>
  <si>
    <t>Sourav</t>
  </si>
  <si>
    <t>Roy</t>
  </si>
  <si>
    <t>Sourav.Roy@infinite.com</t>
  </si>
  <si>
    <t>Yuvaraj</t>
  </si>
  <si>
    <t>Yuvaraj.Shankar@infinite.com</t>
  </si>
  <si>
    <t>Mujtaba Farooqui</t>
  </si>
  <si>
    <t>Mujtaba.Farooqui@infinite.com</t>
  </si>
  <si>
    <t>Anusha</t>
  </si>
  <si>
    <t>Boda</t>
  </si>
  <si>
    <t>Anusha.Boda@infinite.com</t>
  </si>
  <si>
    <t>Shankar</t>
  </si>
  <si>
    <t>Kalyanrao Deshpande</t>
  </si>
  <si>
    <t>Shankar.Deshpande@infinite.com</t>
  </si>
  <si>
    <t>Kalesha Vali</t>
  </si>
  <si>
    <t>Kalesha.Shaik@infinite.com</t>
  </si>
  <si>
    <t>Akshay</t>
  </si>
  <si>
    <t>Sharad Patil</t>
  </si>
  <si>
    <t>Akshay.Patil@infinite.com</t>
  </si>
  <si>
    <t>Sunny Bhattacharjee (1025863)</t>
  </si>
  <si>
    <t>Roshan</t>
  </si>
  <si>
    <t xml:space="preserve"> Lomga</t>
  </si>
  <si>
    <t>Roshan.Lomga@infinite.com</t>
  </si>
  <si>
    <t>Deepiga</t>
  </si>
  <si>
    <t xml:space="preserve"> Senthivel</t>
  </si>
  <si>
    <t>Deepiga.Senthivel@infinite.com</t>
  </si>
  <si>
    <t>Rajasekar</t>
  </si>
  <si>
    <t>Rajasekar.Siva@infinite.com</t>
  </si>
  <si>
    <t>Siddhartha</t>
  </si>
  <si>
    <t xml:space="preserve"> Mishra</t>
  </si>
  <si>
    <t>Siddhartha.Mishra@infinite.com</t>
  </si>
  <si>
    <t>Tadicherla</t>
  </si>
  <si>
    <t xml:space="preserve">Madhu </t>
  </si>
  <si>
    <t>Tadicherla.Madhu2@infinite.com</t>
  </si>
  <si>
    <t>Ramesha</t>
  </si>
  <si>
    <t>N P Puttaramaiah</t>
  </si>
  <si>
    <t>Ramesha.Ningappa@infinite.com</t>
  </si>
  <si>
    <t>Kudupudi</t>
  </si>
  <si>
    <t xml:space="preserve">Harika </t>
  </si>
  <si>
    <t>Harika.Kudupudi@infinite.com</t>
  </si>
  <si>
    <t>Kandula</t>
  </si>
  <si>
    <t>Maheshreddy</t>
  </si>
  <si>
    <t>Maheshreddy.Kandula@infinite.com</t>
  </si>
  <si>
    <t>Swaleha</t>
  </si>
  <si>
    <t xml:space="preserve"> Baig</t>
  </si>
  <si>
    <t>Swaleha.Baig@infinite.com</t>
  </si>
  <si>
    <t>Mettu</t>
  </si>
  <si>
    <t xml:space="preserve"> Teja</t>
  </si>
  <si>
    <t>Mettu.Teja@infinite.com</t>
  </si>
  <si>
    <t>Parvathy</t>
  </si>
  <si>
    <t>S Nair</t>
  </si>
  <si>
    <t>Parvathy.Nair@infinite.com</t>
  </si>
  <si>
    <t>Shambhavi Priya (1015227)</t>
  </si>
  <si>
    <t>Sagar</t>
  </si>
  <si>
    <t>Shivanand Ghante</t>
  </si>
  <si>
    <t>Sagar.Ghante@infinite.com</t>
  </si>
  <si>
    <t>Sweta</t>
  </si>
  <si>
    <t>Korwar</t>
  </si>
  <si>
    <t>Sweta.Korwar@infinite.com</t>
  </si>
  <si>
    <t>Priyanga</t>
  </si>
  <si>
    <t>Priyanga.Rajendran@infinite.com</t>
  </si>
  <si>
    <t>Shermila</t>
  </si>
  <si>
    <t>Devi</t>
  </si>
  <si>
    <t>Shermila.Devi@infinite.com</t>
  </si>
  <si>
    <t>Pallerla</t>
  </si>
  <si>
    <t>Saikrishna Reddy</t>
  </si>
  <si>
    <t>Saikrishna.Reddy@infinite.com</t>
  </si>
  <si>
    <t>Kiran Kumar Uppara (1020047)</t>
  </si>
  <si>
    <t>Subhasmita</t>
  </si>
  <si>
    <t>Bal</t>
  </si>
  <si>
    <t>Subhasmita.Bal@infinite.com</t>
  </si>
  <si>
    <t>Shrihari</t>
  </si>
  <si>
    <t>S Butti</t>
  </si>
  <si>
    <t>Shrihari.Butti@infinite.com</t>
  </si>
  <si>
    <t xml:space="preserve"> Jaiswal</t>
  </si>
  <si>
    <t>Archana.Jaiswal@infinite.com</t>
  </si>
  <si>
    <t>Usha</t>
  </si>
  <si>
    <t>B R</t>
  </si>
  <si>
    <t>Usha.Rajgopal@infinite.com</t>
  </si>
  <si>
    <t>Chinthaparthi</t>
  </si>
  <si>
    <t>Supriya</t>
  </si>
  <si>
    <t>Chinthaparthi.Supriya@infinite.com</t>
  </si>
  <si>
    <t>Kella</t>
  </si>
  <si>
    <t>Prudhvi Naidu</t>
  </si>
  <si>
    <t>Prudhvi.Kella@infinite.com</t>
  </si>
  <si>
    <t>Prajwal.Muthanahithilu@infinite.com</t>
  </si>
  <si>
    <t>Nallagorla</t>
  </si>
  <si>
    <t>Phanisri</t>
  </si>
  <si>
    <t>Nallagorla.Phanisri@infinite.com</t>
  </si>
  <si>
    <t>Gattamaneni</t>
  </si>
  <si>
    <t xml:space="preserve"> Kusumakar</t>
  </si>
  <si>
    <t>Kusumakar.Gattamaneni@infinite.com</t>
  </si>
  <si>
    <t>Swathi</t>
  </si>
  <si>
    <t>S S</t>
  </si>
  <si>
    <t>Swathi.Shanmukhappa@infinite.com</t>
  </si>
  <si>
    <t>S  Mounika</t>
  </si>
  <si>
    <t>Mounika.Velkur@infinite.com</t>
  </si>
  <si>
    <t>Pakalapati</t>
  </si>
  <si>
    <t>S S Prashanth Varma</t>
  </si>
  <si>
    <t>Prashanth.Varma@infinite.com</t>
  </si>
  <si>
    <t>Vidya</t>
  </si>
  <si>
    <t>H B</t>
  </si>
  <si>
    <t>Vidya.H@infinite.com</t>
  </si>
  <si>
    <t>Prem Sagar</t>
  </si>
  <si>
    <t>Prem.Sagar2@infinite.com</t>
  </si>
  <si>
    <t>Chaithra</t>
  </si>
  <si>
    <t>Chaithra.Ramalingaigh@infinite.com</t>
  </si>
  <si>
    <t>Kapilraj</t>
  </si>
  <si>
    <t>Kapilraj.Nagarajan@infinite.com</t>
  </si>
  <si>
    <t>Sudharani</t>
  </si>
  <si>
    <t>Sudharani.Navadgi@infinite.com</t>
  </si>
  <si>
    <t>Mikku</t>
  </si>
  <si>
    <t xml:space="preserve"> Agarwal</t>
  </si>
  <si>
    <t>Mikku.Agarwal@infinite.com</t>
  </si>
  <si>
    <t>Subodh</t>
  </si>
  <si>
    <t>Sunil Raut</t>
  </si>
  <si>
    <t>Subodh.Raut@infinite.com</t>
  </si>
  <si>
    <t>Dharani Kumar</t>
  </si>
  <si>
    <t>Dharani.Kumar@infinite.com</t>
  </si>
  <si>
    <t>Rutuja</t>
  </si>
  <si>
    <t>Sanjay Harne</t>
  </si>
  <si>
    <t>Rutuja.Harne@infinite.com</t>
  </si>
  <si>
    <t>Nikhil</t>
  </si>
  <si>
    <t>Balaji Agwane</t>
  </si>
  <si>
    <t>Nikhil.Agwane@infinite.com</t>
  </si>
  <si>
    <t>Sanjith</t>
  </si>
  <si>
    <t>Mohan</t>
  </si>
  <si>
    <t>Sanjith.Mohan@infinite.com</t>
  </si>
  <si>
    <t>YOGITA</t>
  </si>
  <si>
    <t>RAJENDRA BHOSALE</t>
  </si>
  <si>
    <t>Yogita.Bhosale@infinite.com</t>
  </si>
  <si>
    <t>Nitin</t>
  </si>
  <si>
    <t>Sumant Hubli</t>
  </si>
  <si>
    <t>Nitin.Hubli@infinite.com</t>
  </si>
  <si>
    <t>Venkatesh</t>
  </si>
  <si>
    <t>Venkatesh.Ramamoorthy@infinite.com</t>
  </si>
  <si>
    <t>Rangaraj</t>
  </si>
  <si>
    <t>Rangaraj.Murugan@infinite.com</t>
  </si>
  <si>
    <t>Gangeneni</t>
  </si>
  <si>
    <t>Venkatamanoj Kumar</t>
  </si>
  <si>
    <t>Manojkumar.Gangeneni@infinite.com</t>
  </si>
  <si>
    <t>Kothakota</t>
  </si>
  <si>
    <t>Leelavathi</t>
  </si>
  <si>
    <t>Leelavathi.Kothakota@infinite.com</t>
  </si>
  <si>
    <t>Rajesh</t>
  </si>
  <si>
    <t>Nayak</t>
  </si>
  <si>
    <t>Rajesh.Nayak@infinite.com</t>
  </si>
  <si>
    <t>ND</t>
  </si>
  <si>
    <t>Sanna</t>
  </si>
  <si>
    <t>Swetha</t>
  </si>
  <si>
    <t>Swetha.Sanna@infinite.com</t>
  </si>
  <si>
    <t>Bhagyashree</t>
  </si>
  <si>
    <t>Pal</t>
  </si>
  <si>
    <t>Bhagyashree.Pal@infinite.com</t>
  </si>
  <si>
    <t>Yogesh</t>
  </si>
  <si>
    <t>Kailas Lagad</t>
  </si>
  <si>
    <t>Yogesh.Lagad@infinite.com</t>
  </si>
  <si>
    <t>Kadiyala</t>
  </si>
  <si>
    <t xml:space="preserve"> prasanthi</t>
  </si>
  <si>
    <t>Kadiyala.Prasanthi@infinite.com</t>
  </si>
  <si>
    <t>Naik</t>
  </si>
  <si>
    <t>Anusha.Naik@infinite.com</t>
  </si>
  <si>
    <t>Veera</t>
  </si>
  <si>
    <t>Hema Chekkera</t>
  </si>
  <si>
    <t>Veera.Chekkera@infinite.com</t>
  </si>
  <si>
    <t>Aditya</t>
  </si>
  <si>
    <t>Pachori</t>
  </si>
  <si>
    <t>Aditya.Pachori@infinite.com</t>
  </si>
  <si>
    <t>Cijo</t>
  </si>
  <si>
    <t>Cijo.Mohan@infinite.com</t>
  </si>
  <si>
    <t>Asha</t>
  </si>
  <si>
    <t xml:space="preserve"> Nadendla</t>
  </si>
  <si>
    <t>Asha.Nadendla@infinite.com</t>
  </si>
  <si>
    <t>B U</t>
  </si>
  <si>
    <t>Priya.Bu@infinite.com</t>
  </si>
  <si>
    <t>Chetan</t>
  </si>
  <si>
    <t>Dattatray Chavan</t>
  </si>
  <si>
    <t>Chetan.Chavan@infinite.com</t>
  </si>
  <si>
    <t>Seerla</t>
  </si>
  <si>
    <t>Pujitha</t>
  </si>
  <si>
    <t>Pujitha.Seerla@infinite.com</t>
  </si>
  <si>
    <t>Kuntapalli</t>
  </si>
  <si>
    <t>Kuntapalli.Kavitha@infinite.com</t>
  </si>
  <si>
    <t>Kunduru</t>
  </si>
  <si>
    <t>Rajanikanth Reddy</t>
  </si>
  <si>
    <t>Rajanikanth.Reddy@infinite.com</t>
  </si>
  <si>
    <t>Priyanka</t>
  </si>
  <si>
    <t>Bajj</t>
  </si>
  <si>
    <t>Priyanka.Bajj@infinite.com</t>
  </si>
  <si>
    <t>Madhusmita</t>
  </si>
  <si>
    <t>Das</t>
  </si>
  <si>
    <t>Madhusmita.Das@infinite.com</t>
  </si>
  <si>
    <t>Arab</t>
  </si>
  <si>
    <t>Mohammed Iftekhar</t>
  </si>
  <si>
    <t>Iftekhar.Arab@infinite.com</t>
  </si>
  <si>
    <t>Khadheer Basha</t>
  </si>
  <si>
    <t>Khadheer.Basha@infinite.com</t>
  </si>
  <si>
    <t>Chandan</t>
  </si>
  <si>
    <t>Chandan.Kumar@infinite.com</t>
  </si>
  <si>
    <t>Divya</t>
  </si>
  <si>
    <t xml:space="preserve"> Shalini</t>
  </si>
  <si>
    <t>Divya.Shalini@infinite.com</t>
  </si>
  <si>
    <t>Dhinesh Kumar</t>
  </si>
  <si>
    <t>Dhinesh.Kumar@infinite.com</t>
  </si>
  <si>
    <t xml:space="preserve">Clement   </t>
  </si>
  <si>
    <t>Clement.Govindaraj@infinite.com</t>
  </si>
  <si>
    <t>Gundapaneni</t>
  </si>
  <si>
    <t>Madhu Kiran</t>
  </si>
  <si>
    <t>Madhukiran.Gundapaneni@infinite.com</t>
  </si>
  <si>
    <t>Afzal</t>
  </si>
  <si>
    <t>Khan</t>
  </si>
  <si>
    <t>Afzal.Khan2@infinite.com</t>
  </si>
  <si>
    <t>Supreetha</t>
  </si>
  <si>
    <t>Supreetha.Shivanna@infinite.com</t>
  </si>
  <si>
    <t>Ganesha</t>
  </si>
  <si>
    <t>M D</t>
  </si>
  <si>
    <t>Ganesha.Dharmegowda@infinite.com</t>
  </si>
  <si>
    <t>Ashish Sandu (1033922)</t>
  </si>
  <si>
    <t>Thulluri</t>
  </si>
  <si>
    <t>Sai Kumar  Thulluri</t>
  </si>
  <si>
    <t>Saikumar.Thulluri@infinite.com</t>
  </si>
  <si>
    <t>Akash</t>
  </si>
  <si>
    <t>Vasant Kadam</t>
  </si>
  <si>
    <t>Akash.Vasant@infinite.com</t>
  </si>
  <si>
    <t>Androthu</t>
  </si>
  <si>
    <t xml:space="preserve"> Saibabu</t>
  </si>
  <si>
    <t>Saibabu.Androthu@infinite.com</t>
  </si>
  <si>
    <t>Bodapati</t>
  </si>
  <si>
    <t xml:space="preserve"> Maruthi</t>
  </si>
  <si>
    <t>Bodapati.Maruthi@infinite.com</t>
  </si>
  <si>
    <t>Amol</t>
  </si>
  <si>
    <t>Ramesh Devkate</t>
  </si>
  <si>
    <t>Amol.Devkate@infinite.com</t>
  </si>
  <si>
    <t>Balam</t>
  </si>
  <si>
    <t>Jyothi</t>
  </si>
  <si>
    <t>Balam.Jyothi@infinite.com</t>
  </si>
  <si>
    <t>Peddiboyina</t>
  </si>
  <si>
    <t xml:space="preserve"> Naga Lakshmi</t>
  </si>
  <si>
    <t>Nagalakshmi.Peddiboyina@infinite.com</t>
  </si>
  <si>
    <t>Anil Sawant</t>
  </si>
  <si>
    <t>Kumar.Sawant@infinite.com</t>
  </si>
  <si>
    <t>Pasam</t>
  </si>
  <si>
    <t>Pradeep</t>
  </si>
  <si>
    <t>Pradeep.Pasam@infinite.com</t>
  </si>
  <si>
    <t>Preeti</t>
  </si>
  <si>
    <t>Basappa Hugar</t>
  </si>
  <si>
    <t>Preeti.Hugar@infinite.com</t>
  </si>
  <si>
    <t>Sushmitha</t>
  </si>
  <si>
    <t>Sushmitha.Marathi@infinite.com</t>
  </si>
  <si>
    <t>Anant</t>
  </si>
  <si>
    <t>Shrikrushna Badhe</t>
  </si>
  <si>
    <t>Anant.Badhe@infinite.com</t>
  </si>
  <si>
    <t>Karthik</t>
  </si>
  <si>
    <t>Kumar  R</t>
  </si>
  <si>
    <t>Karthik.Kumar@infinite.com</t>
  </si>
  <si>
    <t>Katam</t>
  </si>
  <si>
    <t>Nagaraju.Katam@infinite.com</t>
  </si>
  <si>
    <t>Aavesh</t>
  </si>
  <si>
    <t>Rauf Attar</t>
  </si>
  <si>
    <t>Aavesh.Attar@infinite.com</t>
  </si>
  <si>
    <t>Sharath</t>
  </si>
  <si>
    <t>U</t>
  </si>
  <si>
    <t>Sharath.U@infinite.com</t>
  </si>
  <si>
    <t>Tushar</t>
  </si>
  <si>
    <t>Kailas Gavale</t>
  </si>
  <si>
    <t>Tushar.Gavale@infinite.com</t>
  </si>
  <si>
    <t>Abhishek.Chinchure@infinite.com</t>
  </si>
  <si>
    <t>G Mallikarjuna  Gooty (1030389)</t>
  </si>
  <si>
    <t>Nethravathi</t>
  </si>
  <si>
    <t>Nethravathi.Kotipi@infinite.com</t>
  </si>
  <si>
    <t>Prakash</t>
  </si>
  <si>
    <t>Prakash.Anandaraj@infinite.com</t>
  </si>
  <si>
    <t>Sandeep</t>
  </si>
  <si>
    <t>Kumar Patra</t>
  </si>
  <si>
    <t>Sandeepkumar.Patra@infinite.com</t>
  </si>
  <si>
    <t>Jadhav</t>
  </si>
  <si>
    <t>Suraj Sambhaji</t>
  </si>
  <si>
    <t>Suraj.Jadhav@infinite.com</t>
  </si>
  <si>
    <t>Vulisi</t>
  </si>
  <si>
    <t xml:space="preserve"> Sai Vamsi</t>
  </si>
  <si>
    <t>Sai.Vamsi@infinite.com</t>
  </si>
  <si>
    <t>Vinay  Kumar</t>
  </si>
  <si>
    <t>Vinaykumar.Anand@infinite.com</t>
  </si>
  <si>
    <t xml:space="preserve"> Sen</t>
  </si>
  <si>
    <t>Sandeep.Sen@infinite.com</t>
  </si>
  <si>
    <t>Shantanu</t>
  </si>
  <si>
    <t>Shantanu.Kumar2@infinite.com</t>
  </si>
  <si>
    <t>Ankit</t>
  </si>
  <si>
    <t>Radheshyam Patil</t>
  </si>
  <si>
    <t>Ankit.Patil@infinite.com</t>
  </si>
  <si>
    <t>Rushikesh</t>
  </si>
  <si>
    <t>Ganeshrao Pawar</t>
  </si>
  <si>
    <t>Rushikesh.Pawar@infinite.com</t>
  </si>
  <si>
    <t>Mitesh</t>
  </si>
  <si>
    <t>Malviya</t>
  </si>
  <si>
    <t>Mitesh.Malviya@infinite.com</t>
  </si>
  <si>
    <t>Meghana</t>
  </si>
  <si>
    <t xml:space="preserve"> M T</t>
  </si>
  <si>
    <t>Meghana.Thammegowda@infinite.com</t>
  </si>
  <si>
    <t>Deepak</t>
  </si>
  <si>
    <t>Singh</t>
  </si>
  <si>
    <t>Deepak.Singh2@infinite.com</t>
  </si>
  <si>
    <t>Putta</t>
  </si>
  <si>
    <t xml:space="preserve"> Harish</t>
  </si>
  <si>
    <t>Harish.Putta@infinite.com</t>
  </si>
  <si>
    <t>Manish</t>
  </si>
  <si>
    <t>Hudli</t>
  </si>
  <si>
    <t>Manish.Hudli@infinite.com</t>
  </si>
  <si>
    <t>Dev</t>
  </si>
  <si>
    <t>Rahul.Dev@infinite.com</t>
  </si>
  <si>
    <t>Akaram Arage</t>
  </si>
  <si>
    <t>Akshay.Akaram@infinite.com</t>
  </si>
  <si>
    <t>Priyanka.Kumaraswamy@infinite.com</t>
  </si>
  <si>
    <t>Shrihari S Butti (1029760)</t>
  </si>
  <si>
    <t>Akshaykumar</t>
  </si>
  <si>
    <t>Laxman Patil</t>
  </si>
  <si>
    <t>Akshaykumar.Patil@infinite.com</t>
  </si>
  <si>
    <t>Pravin</t>
  </si>
  <si>
    <t xml:space="preserve"> Rajamanickam</t>
  </si>
  <si>
    <t>Pravin.Rajamanickam@infinite.com</t>
  </si>
  <si>
    <t>AK</t>
  </si>
  <si>
    <t>Ojasvi</t>
  </si>
  <si>
    <t>Gulabrao Hedau</t>
  </si>
  <si>
    <t>Ojasvi.Hedau@infinite.com</t>
  </si>
  <si>
    <t>Neeraj</t>
  </si>
  <si>
    <t>Singh Rawat</t>
  </si>
  <si>
    <t>Neeraj.Singh@infinite.com</t>
  </si>
  <si>
    <t>Kesavan</t>
  </si>
  <si>
    <t>Kesavan.Palanisamy@infinite.com</t>
  </si>
  <si>
    <t>Talada</t>
  </si>
  <si>
    <t>Sumanth</t>
  </si>
  <si>
    <t>Talada.Sumanth@infinite.com</t>
  </si>
  <si>
    <t>Yadav</t>
  </si>
  <si>
    <t>Priyanka.Yadav@infinite.com</t>
  </si>
  <si>
    <t>Ananya</t>
  </si>
  <si>
    <t xml:space="preserve"> Nidhi</t>
  </si>
  <si>
    <t>Ananya.Nidhi@infinite.com</t>
  </si>
  <si>
    <t>Lalithkishore</t>
  </si>
  <si>
    <t>Lalithkishore.Sidharthan@infinite.com</t>
  </si>
  <si>
    <t>Roshni</t>
  </si>
  <si>
    <t>Roshni.Mishra@infinite.com</t>
  </si>
  <si>
    <t>Sunil</t>
  </si>
  <si>
    <t>Kumar Kallepalli</t>
  </si>
  <si>
    <t>Sunil.Kallepalli@infinite.com</t>
  </si>
  <si>
    <t>Naveen</t>
  </si>
  <si>
    <t>G N</t>
  </si>
  <si>
    <t>Naveen.Gubbi@infinite.com</t>
  </si>
  <si>
    <t>Menta</t>
  </si>
  <si>
    <t>Venkata Naga Sai Saran</t>
  </si>
  <si>
    <t>Sai.Saran@infinite.com</t>
  </si>
  <si>
    <t>K P</t>
  </si>
  <si>
    <t>Swathi.Poojappa@infinite.com</t>
  </si>
  <si>
    <t>Sharon</t>
  </si>
  <si>
    <t xml:space="preserve"> J</t>
  </si>
  <si>
    <t>Sharon.John@infinite.com</t>
  </si>
  <si>
    <t>Aishwarya</t>
  </si>
  <si>
    <t xml:space="preserve"> Ds</t>
  </si>
  <si>
    <t>Aishwarya.Subbaiah@infinite.com</t>
  </si>
  <si>
    <t>Gayathri</t>
  </si>
  <si>
    <t xml:space="preserve"> Mariyappan</t>
  </si>
  <si>
    <t>Gayathri.Mariyappan@infinite.com</t>
  </si>
  <si>
    <t>Balu Chaudhar</t>
  </si>
  <si>
    <t>Rushikesh.Chaudhar@infinite.com</t>
  </si>
  <si>
    <t>Lingampally</t>
  </si>
  <si>
    <t>Ramesh</t>
  </si>
  <si>
    <t>Ramesh.Lingampally@infinite.com</t>
  </si>
  <si>
    <t>Shreedevi</t>
  </si>
  <si>
    <t>Shreedevi.Kudipudi@infinite.com</t>
  </si>
  <si>
    <t>Gore</t>
  </si>
  <si>
    <t>Hussain Valli</t>
  </si>
  <si>
    <t>Hussain.Valli@infinite.com</t>
  </si>
  <si>
    <t>Abhishek.Venkatesh2@infinite.com</t>
  </si>
  <si>
    <t>Nikhil.Shankar@infinite.com</t>
  </si>
  <si>
    <t>Saurabh</t>
  </si>
  <si>
    <t>Rajendra Kadam</t>
  </si>
  <si>
    <t>Saurabh.Kadam@infinite.com</t>
  </si>
  <si>
    <t>Mukkella</t>
  </si>
  <si>
    <t xml:space="preserve"> Sai Lokesh</t>
  </si>
  <si>
    <t>Sai.Lokesh@infinite.com</t>
  </si>
  <si>
    <t>Santhiya</t>
  </si>
  <si>
    <t xml:space="preserve"> Krishnamoorthy</t>
  </si>
  <si>
    <t>Santhiya.Krishnamoorthy@infinite.com</t>
  </si>
  <si>
    <t>Suchismita</t>
  </si>
  <si>
    <t xml:space="preserve"> Mohanty</t>
  </si>
  <si>
    <t>Suchismita.Mohanty@infinite.com</t>
  </si>
  <si>
    <t>Raveendra</t>
  </si>
  <si>
    <t>Kumar Patnala</t>
  </si>
  <si>
    <t>Raveendra.Patnala@infinite.com</t>
  </si>
  <si>
    <t>Madala</t>
  </si>
  <si>
    <t>Sai Keerthana</t>
  </si>
  <si>
    <t>Sai.Keerthana@infinite.com</t>
  </si>
  <si>
    <t>Yatham</t>
  </si>
  <si>
    <t>Srinath Reddy</t>
  </si>
  <si>
    <t>Srinath.Reddy2@infinite.com</t>
  </si>
  <si>
    <t>Shaik Jabeer Basha (1027017)</t>
  </si>
  <si>
    <t>Srishti</t>
  </si>
  <si>
    <t xml:space="preserve"> Gupta</t>
  </si>
  <si>
    <t>Srishti.Gupta@infinite.com</t>
  </si>
  <si>
    <t>Siddhesh</t>
  </si>
  <si>
    <t>suresh patil</t>
  </si>
  <si>
    <t>Siddhesh.Patil@infinite.com</t>
  </si>
  <si>
    <t>Abhijit</t>
  </si>
  <si>
    <t xml:space="preserve"> Mohapatra</t>
  </si>
  <si>
    <t>Abhijit.Mohapatra@infinite.com</t>
  </si>
  <si>
    <t>Ravi Indi</t>
  </si>
  <si>
    <t>Sagar.Indi@infinite.com</t>
  </si>
  <si>
    <t>Deepika</t>
  </si>
  <si>
    <t>Deepika.Nagendra@infinite.com</t>
  </si>
  <si>
    <t>Vidya.Karthigairasu@infinite.com</t>
  </si>
  <si>
    <t>Amrutha</t>
  </si>
  <si>
    <t>Amrutha.Kancham@infinite.com</t>
  </si>
  <si>
    <t xml:space="preserve"> Ramya</t>
  </si>
  <si>
    <t>Ramya.Dharmaraj@infinite.com</t>
  </si>
  <si>
    <t>Riddhi</t>
  </si>
  <si>
    <t>kishor Choudhari</t>
  </si>
  <si>
    <t>Riddhi.Choudhari@infinite.com</t>
  </si>
  <si>
    <t>Sanjayrao Itankar</t>
  </si>
  <si>
    <t>Ankit.Itankar@infinite.com</t>
  </si>
  <si>
    <t>Suvarnaganti</t>
  </si>
  <si>
    <t>Mahendra</t>
  </si>
  <si>
    <t>Mahendra.Suvarnaganti@infinite.com</t>
  </si>
  <si>
    <t>Nanubala</t>
  </si>
  <si>
    <t>Komal Raja</t>
  </si>
  <si>
    <t>Komal.Raja@infinite.com</t>
  </si>
  <si>
    <t>R Halaswamy</t>
  </si>
  <si>
    <t>Halaswamy.Rudrappa@infinite.com</t>
  </si>
  <si>
    <t>Sindhu H B</t>
  </si>
  <si>
    <t>Amrutha.Sindhu@infinite.com</t>
  </si>
  <si>
    <t>Meghashyam</t>
  </si>
  <si>
    <t xml:space="preserve"> Vutukuri</t>
  </si>
  <si>
    <t>Meghashyam.Vutukuri@infinite.com</t>
  </si>
  <si>
    <t>Apoorvaditya</t>
  </si>
  <si>
    <t>Apoorvaditya.Singh@infinite.com</t>
  </si>
  <si>
    <t>Vidya.Kalluru@infinite.com</t>
  </si>
  <si>
    <t>Ambika</t>
  </si>
  <si>
    <t>G Prabhu</t>
  </si>
  <si>
    <t>Ambika.Prabhu@infinite.com</t>
  </si>
  <si>
    <t>Sujay</t>
  </si>
  <si>
    <t>Anant Zope</t>
  </si>
  <si>
    <t>Sujay.Zope@infinite.com</t>
  </si>
  <si>
    <t>Varshitha</t>
  </si>
  <si>
    <t>B V</t>
  </si>
  <si>
    <t>Varshitha.Vinayakamurthy@infinite.com</t>
  </si>
  <si>
    <t>Sabbani</t>
  </si>
  <si>
    <t xml:space="preserve"> Ashwin</t>
  </si>
  <si>
    <t>Ashwin.Sabbani@infinite.com</t>
  </si>
  <si>
    <t>Sanket</t>
  </si>
  <si>
    <t>Gajanan Velhal</t>
  </si>
  <si>
    <t>Sanket.Velhal@infinite.com</t>
  </si>
  <si>
    <t>Yokesh</t>
  </si>
  <si>
    <t>Nagaraj</t>
  </si>
  <si>
    <t>Yokesh.Nagaraj@infinite.com</t>
  </si>
  <si>
    <t>Prachi</t>
  </si>
  <si>
    <t>Sinha</t>
  </si>
  <si>
    <t>Prachi.Sinha@infinite.com</t>
  </si>
  <si>
    <t>Cheekoti</t>
  </si>
  <si>
    <t>Koushik Kumar</t>
  </si>
  <si>
    <t>Koushik.Kumar@infinite.com</t>
  </si>
  <si>
    <t>Sanjana</t>
  </si>
  <si>
    <t>Honnappa Nayak</t>
  </si>
  <si>
    <t>Sanjana.Nayak@infinite.com</t>
  </si>
  <si>
    <t>Sumit</t>
  </si>
  <si>
    <t>Sumit.Kumar3@infinite.com</t>
  </si>
  <si>
    <t>Arjun</t>
  </si>
  <si>
    <t>Janardan Mulagoukar</t>
  </si>
  <si>
    <t>Arjun.Mulagoukar@infinite.com</t>
  </si>
  <si>
    <t>Darshini</t>
  </si>
  <si>
    <t>A K</t>
  </si>
  <si>
    <t>Darshini.Kariappa@infinite.com</t>
  </si>
  <si>
    <t>Mannepula</t>
  </si>
  <si>
    <t>Kavya</t>
  </si>
  <si>
    <t>Mannepula.Kavya@infinite.com</t>
  </si>
  <si>
    <t>Aman</t>
  </si>
  <si>
    <t>Aman.Singh2@infinite.com</t>
  </si>
  <si>
    <t>Ismayeel</t>
  </si>
  <si>
    <t>Ismayeel.Saira@infinite.com</t>
  </si>
  <si>
    <t xml:space="preserve"> Pavan</t>
  </si>
  <si>
    <t>Pavan.Talla@infinite.com</t>
  </si>
  <si>
    <t>Ibrahim</t>
  </si>
  <si>
    <t>Zahik</t>
  </si>
  <si>
    <t>Ibrahim.Zahik@infinite.com</t>
  </si>
  <si>
    <t>R Madhupreethaa</t>
  </si>
  <si>
    <t>Madhupreethaa.Rajkumar@infinite.com</t>
  </si>
  <si>
    <t>Mohamed</t>
  </si>
  <si>
    <t>Wasim</t>
  </si>
  <si>
    <t>Mohamed.Wasim@infinite.com</t>
  </si>
  <si>
    <t>Sahu</t>
  </si>
  <si>
    <t>Aishwarya.Sahu@infinite.com</t>
  </si>
  <si>
    <t>Balchandan</t>
  </si>
  <si>
    <t>T V</t>
  </si>
  <si>
    <t>Balchandan.Vijay@infinite.com</t>
  </si>
  <si>
    <t>Thimmappa Mestha</t>
  </si>
  <si>
    <t>Karthik.Mestha@infinite.com</t>
  </si>
  <si>
    <t>Divyani</t>
  </si>
  <si>
    <t>Deepak Solanke</t>
  </si>
  <si>
    <t>Divyani.Solanke@infinite.com</t>
  </si>
  <si>
    <t>Dhanyashree</t>
  </si>
  <si>
    <t>R Prasad</t>
  </si>
  <si>
    <t>Dhanyashree.Prasad2@infinite.com</t>
  </si>
  <si>
    <t>Saurabh.Sharma@infinite.com</t>
  </si>
  <si>
    <t>Kumar Gupta</t>
  </si>
  <si>
    <t>Sunil.Gupta@infinite.com</t>
  </si>
  <si>
    <t>Sai Surya Manikanta</t>
  </si>
  <si>
    <t>Saisurya.Putta@infinite.com</t>
  </si>
  <si>
    <t>Muralikrishna</t>
  </si>
  <si>
    <t>Srinivas Putta</t>
  </si>
  <si>
    <t>Muralikrishna.Putta@infinite.com</t>
  </si>
  <si>
    <t>Sarthak</t>
  </si>
  <si>
    <t>Chandu Lautawar</t>
  </si>
  <si>
    <t>Sarthak.Lautawar@infinite.com</t>
  </si>
  <si>
    <t>Baratam</t>
  </si>
  <si>
    <t xml:space="preserve"> Ashish</t>
  </si>
  <si>
    <t>Ashish.Baratam@infinite.com</t>
  </si>
  <si>
    <t>Vasantham.Santhosh@infinite.com</t>
  </si>
  <si>
    <t>Preetam</t>
  </si>
  <si>
    <t xml:space="preserve"> Patel</t>
  </si>
  <si>
    <t>Preetam.Patel@infinite.com</t>
  </si>
  <si>
    <t>Prithvi</t>
  </si>
  <si>
    <t>Raj C S</t>
  </si>
  <si>
    <t>Prithviraj.Chandra@infinite.com</t>
  </si>
  <si>
    <t>Chitturi</t>
  </si>
  <si>
    <t>Sriramya</t>
  </si>
  <si>
    <t>Chitturi.Sriramya@infinite.com</t>
  </si>
  <si>
    <t>Bishal</t>
  </si>
  <si>
    <t xml:space="preserve"> Kalita</t>
  </si>
  <si>
    <t>Bishal.Kalita@infinite.com</t>
  </si>
  <si>
    <t>Pooja</t>
  </si>
  <si>
    <t xml:space="preserve"> Krishan</t>
  </si>
  <si>
    <t>Pooja.Krishan@infinite.com</t>
  </si>
  <si>
    <t>Raj</t>
  </si>
  <si>
    <t>Abhishek.Raj@infinite.com</t>
  </si>
  <si>
    <t>Palemkota</t>
  </si>
  <si>
    <t>Naveen.Palemkota@infinite.com</t>
  </si>
  <si>
    <t>Nakkanabone</t>
  </si>
  <si>
    <t xml:space="preserve">Sunil </t>
  </si>
  <si>
    <t>Sunil.Nakkanabone@infinite.com</t>
  </si>
  <si>
    <t>John</t>
  </si>
  <si>
    <t>Alsten Tauro</t>
  </si>
  <si>
    <t>John.Tauro@infinite.com</t>
  </si>
  <si>
    <t>Soundarya</t>
  </si>
  <si>
    <t>Ramachandr Kamble</t>
  </si>
  <si>
    <t>Soundarya.Kamble@infinite.com</t>
  </si>
  <si>
    <t>Kummari</t>
  </si>
  <si>
    <t>Yeshwanth</t>
  </si>
  <si>
    <t>Kummari.Yeshwanth@infinite.com</t>
  </si>
  <si>
    <t>Kakara</t>
  </si>
  <si>
    <t xml:space="preserve"> Deepthi</t>
  </si>
  <si>
    <t>Kakara.Deepthi@infinite.com</t>
  </si>
  <si>
    <t>Dansena</t>
  </si>
  <si>
    <t>Abhishek.Dansena@infinite.com</t>
  </si>
  <si>
    <t>Gaurav</t>
  </si>
  <si>
    <t>Jha</t>
  </si>
  <si>
    <t>Gaurav.Jha@infinite.com</t>
  </si>
  <si>
    <t>Ranju</t>
  </si>
  <si>
    <t>Hansda</t>
  </si>
  <si>
    <t>Ranju.Hansda@infinite.com</t>
  </si>
  <si>
    <t>Lohit</t>
  </si>
  <si>
    <t>Narayan Bhasme</t>
  </si>
  <si>
    <t>Lohit.Bhasme@infinite.com</t>
  </si>
  <si>
    <t>Sai</t>
  </si>
  <si>
    <t>Praveen Ippili</t>
  </si>
  <si>
    <t>Ippili.Praveen@infinite.com</t>
  </si>
  <si>
    <t>Makrand</t>
  </si>
  <si>
    <t>Eknath Gangurde</t>
  </si>
  <si>
    <t>Makrand.Gangurde@infinite.com</t>
  </si>
  <si>
    <t>Naragani</t>
  </si>
  <si>
    <t>Lakshmi Durga Sravani</t>
  </si>
  <si>
    <t>Sravani.Naragani@infinite.com</t>
  </si>
  <si>
    <t>Deeti</t>
  </si>
  <si>
    <t xml:space="preserve">Chandu </t>
  </si>
  <si>
    <t>Chandu.Deeti@infinite.com</t>
  </si>
  <si>
    <t>Darshan</t>
  </si>
  <si>
    <t>Balu Gade</t>
  </si>
  <si>
    <t>Darshan.Gade@infinite.com</t>
  </si>
  <si>
    <t>Shahida</t>
  </si>
  <si>
    <t>Shaik.Shahida@infinite.com</t>
  </si>
  <si>
    <t>Tata</t>
  </si>
  <si>
    <t>Nara Sai Mukesh</t>
  </si>
  <si>
    <t>Tatanara.Mukesh@infinite.com</t>
  </si>
  <si>
    <t>Batchu</t>
  </si>
  <si>
    <t xml:space="preserve">Sri Sai Priya </t>
  </si>
  <si>
    <t>Srisaipriya.Batchu@infinite.com</t>
  </si>
  <si>
    <t>Yogesh.Prakash@infinite.com</t>
  </si>
  <si>
    <t>Kaushik</t>
  </si>
  <si>
    <t>Sarkar</t>
  </si>
  <si>
    <t>Kaushik.Sarkar@infinite.com</t>
  </si>
  <si>
    <t>Shrushti</t>
  </si>
  <si>
    <t>Manisekar</t>
  </si>
  <si>
    <t>Shrushti.Manisekar@infinite.com</t>
  </si>
  <si>
    <t>S Tonse</t>
  </si>
  <si>
    <t>Akash.Tonse@infinite.com</t>
  </si>
  <si>
    <t>Thulasi</t>
  </si>
  <si>
    <t>Polavaram.Thulasi@infinite.com</t>
  </si>
  <si>
    <t>Kavuri</t>
  </si>
  <si>
    <t>Pavani</t>
  </si>
  <si>
    <t>Kavuri.Pavani@infinite.com</t>
  </si>
  <si>
    <t>Sreenath</t>
  </si>
  <si>
    <t xml:space="preserve"> M S</t>
  </si>
  <si>
    <t>Sreenath.Sivadasan@infinite.com</t>
  </si>
  <si>
    <t>Akanksha</t>
  </si>
  <si>
    <t>Verma</t>
  </si>
  <si>
    <t>Akanksha.Verma@infinite.com</t>
  </si>
  <si>
    <t>Konnagula</t>
  </si>
  <si>
    <t>Srikanth.Konnagula@infinite.com</t>
  </si>
  <si>
    <t>Anupam Lal (1033431)</t>
  </si>
  <si>
    <t>Shrish</t>
  </si>
  <si>
    <t>Ram Bale</t>
  </si>
  <si>
    <t>Shrish.Bale@infinite.com</t>
  </si>
  <si>
    <t>Moodu</t>
  </si>
  <si>
    <t xml:space="preserve">Pavan Kumar </t>
  </si>
  <si>
    <t>Pavankumar.Moodu@infinite.com</t>
  </si>
  <si>
    <t>Kolimi</t>
  </si>
  <si>
    <t xml:space="preserve">Thohid Azhar Basha </t>
  </si>
  <si>
    <t>Thohidazhar.Basha@infinite.com</t>
  </si>
  <si>
    <t>Yukesh</t>
  </si>
  <si>
    <t>Yukesh.Shanmugam@infinite.com</t>
  </si>
  <si>
    <t>Bathula</t>
  </si>
  <si>
    <t>Sahithi</t>
  </si>
  <si>
    <t>Bathula.Sahithi@infinite.com</t>
  </si>
  <si>
    <t>Doppa</t>
  </si>
  <si>
    <t>Sunitha.Doppa@infinite.com</t>
  </si>
  <si>
    <t>Raghavendra</t>
  </si>
  <si>
    <t>Tripathi</t>
  </si>
  <si>
    <t>Raghavendra.Tripathi@infinite.com</t>
  </si>
  <si>
    <t>Chandramalla</t>
  </si>
  <si>
    <t>Chandramalla.Venkatesh@infinite.com</t>
  </si>
  <si>
    <t>Bonam</t>
  </si>
  <si>
    <t>Gowtham</t>
  </si>
  <si>
    <t>Gowtham.Bonam@infinite.com</t>
  </si>
  <si>
    <t>Nadipalli</t>
  </si>
  <si>
    <t>Sireesha</t>
  </si>
  <si>
    <t>Sireesha.Nadipalli@infinite.com</t>
  </si>
  <si>
    <t>Enjam</t>
  </si>
  <si>
    <t xml:space="preserve"> Hari Krishna</t>
  </si>
  <si>
    <t>Harikrishna.Enjam@infinite.com</t>
  </si>
  <si>
    <t xml:space="preserve"> Pandey</t>
  </si>
  <si>
    <t>Sachin.Pandey@infinite.com</t>
  </si>
  <si>
    <t>Shailendra</t>
  </si>
  <si>
    <t>Kumar Bharti</t>
  </si>
  <si>
    <t>Shailendrakumar.Bharti@infinite.com</t>
  </si>
  <si>
    <t>Gorle</t>
  </si>
  <si>
    <t>Lakshmi Venkata Sravani</t>
  </si>
  <si>
    <t>Sravani.Gorle@infinite.com</t>
  </si>
  <si>
    <t>ABHISEK</t>
  </si>
  <si>
    <t xml:space="preserve"> SARANGI</t>
  </si>
  <si>
    <t>Abhisek.Sarangi@infinite.com</t>
  </si>
  <si>
    <t>Kumar M S</t>
  </si>
  <si>
    <t>Santhosh.Kumar3@infinite.com</t>
  </si>
  <si>
    <t>Chilukuri</t>
  </si>
  <si>
    <t>Praneetha</t>
  </si>
  <si>
    <t>Chilukuri.Praneetha@infinite.com</t>
  </si>
  <si>
    <t>Nare</t>
  </si>
  <si>
    <t>Suneel Kumar Reddy</t>
  </si>
  <si>
    <t>Nare.Suneel@infinite.com</t>
  </si>
  <si>
    <t>Mandlavari</t>
  </si>
  <si>
    <t>Mandlavari.Divya@infinite.com</t>
  </si>
  <si>
    <t>Ariz</t>
  </si>
  <si>
    <t>khan</t>
  </si>
  <si>
    <t>Ariz.Khan@infinite.com</t>
  </si>
  <si>
    <t>Maddi</t>
  </si>
  <si>
    <t>Vamsi</t>
  </si>
  <si>
    <t>Vamsi.Maddi@infinite.com</t>
  </si>
  <si>
    <t>Atluri</t>
  </si>
  <si>
    <t>Atluri.Priyanka@infinite.com</t>
  </si>
  <si>
    <t>Lavanya</t>
  </si>
  <si>
    <t>Sidharthan.Lavanya@infinite.com</t>
  </si>
  <si>
    <t>Gudla</t>
  </si>
  <si>
    <t>Sirisha</t>
  </si>
  <si>
    <t>Gudla.Sirisha@infinite.com</t>
  </si>
  <si>
    <t>Obuli</t>
  </si>
  <si>
    <t xml:space="preserve"> Sundar</t>
  </si>
  <si>
    <t>Obuli.Sundar@infinite.com</t>
  </si>
  <si>
    <t xml:space="preserve"> Yashik</t>
  </si>
  <si>
    <t>Yashik.Kumar@infinite.com</t>
  </si>
  <si>
    <t>Patil</t>
  </si>
  <si>
    <t>Bhagyashree.Patil@infinite.com</t>
  </si>
  <si>
    <t>Poola</t>
  </si>
  <si>
    <t>Partha Saradhi</t>
  </si>
  <si>
    <t>Parthasaradhi.Poola@infinite.com</t>
  </si>
  <si>
    <t xml:space="preserve"> Sasumana</t>
  </si>
  <si>
    <t>Rahul.Sasumana@infinite.com</t>
  </si>
  <si>
    <t>Shivangi</t>
  </si>
  <si>
    <t>Bharti</t>
  </si>
  <si>
    <t>Shivangi.Bharti@infinite.com</t>
  </si>
  <si>
    <t>Harshit</t>
  </si>
  <si>
    <t>Tiwari</t>
  </si>
  <si>
    <t>Harshit.Tiwari@infinite.com</t>
  </si>
  <si>
    <t>Arti</t>
  </si>
  <si>
    <t>Balkrushna Yadav</t>
  </si>
  <si>
    <t>Arti.Yadav@infinite.com</t>
  </si>
  <si>
    <t>Karri</t>
  </si>
  <si>
    <t>Bhargavi</t>
  </si>
  <si>
    <t>Bhargavi.Karri@infinite.com</t>
  </si>
  <si>
    <t>Abhishek.Kumar14@infinite.com</t>
  </si>
  <si>
    <t>Kamesh</t>
  </si>
  <si>
    <t>Ravichandran</t>
  </si>
  <si>
    <t>Kamesh.Ravichandran@infinite.com</t>
  </si>
  <si>
    <t>Anumandla</t>
  </si>
  <si>
    <t>Madhu Kumar</t>
  </si>
  <si>
    <t>Anumandla.Madhukumar@infinite.com</t>
  </si>
  <si>
    <t>Mukkawar</t>
  </si>
  <si>
    <t>Sagar.Mukkawar@infinite.com</t>
  </si>
  <si>
    <t>Satya Kishore Swamy Allaka</t>
  </si>
  <si>
    <t>Kishore.Swamy@infinite.com</t>
  </si>
  <si>
    <t>Ayush</t>
  </si>
  <si>
    <t>Samanta</t>
  </si>
  <si>
    <t>Ayush.Samanta@infinite.com</t>
  </si>
  <si>
    <t>Kusuma</t>
  </si>
  <si>
    <t>M G</t>
  </si>
  <si>
    <t>Kusuma.Giriraja@infinite.com</t>
  </si>
  <si>
    <t>Komirisetty</t>
  </si>
  <si>
    <t>Jyotirmayi</t>
  </si>
  <si>
    <t>Jyotirmayi.Komirisetty@infinite.com</t>
  </si>
  <si>
    <t>Jaison</t>
  </si>
  <si>
    <t>Jaideep Lobo</t>
  </si>
  <si>
    <t>Jaison.Lobo@infinite.com</t>
  </si>
  <si>
    <t>S Thimmaiah</t>
  </si>
  <si>
    <t>Thimmaiah.Suraj@infinite.com</t>
  </si>
  <si>
    <t>Kedarisetty</t>
  </si>
  <si>
    <t>Sruthi</t>
  </si>
  <si>
    <t>Sruthi.Kedarisetty@infinite.com</t>
  </si>
  <si>
    <t>Vijay</t>
  </si>
  <si>
    <t>Kumar S</t>
  </si>
  <si>
    <t>VijayKumar.Subramanyam@infinite.com</t>
  </si>
  <si>
    <t>Gaurav.Sharma3@infinite.com</t>
  </si>
  <si>
    <t>Arjun T</t>
  </si>
  <si>
    <t>Dinesh.Arjun@infinite.com</t>
  </si>
  <si>
    <t>Harsh</t>
  </si>
  <si>
    <t>Harsh.kumar@infinite.com</t>
  </si>
  <si>
    <t>Kodithyala</t>
  </si>
  <si>
    <t>Sumanth Chandra</t>
  </si>
  <si>
    <t>Sumanth.Kodithyala@infinite.com</t>
  </si>
  <si>
    <t>Yengali</t>
  </si>
  <si>
    <t>Vaishnavi</t>
  </si>
  <si>
    <t>Vaishnavi.Yengali@infinite.com</t>
  </si>
  <si>
    <t>Thota</t>
  </si>
  <si>
    <t>Sai Kiran</t>
  </si>
  <si>
    <t>Saikiran.Thota@infinite.com</t>
  </si>
  <si>
    <t>Rallapalli</t>
  </si>
  <si>
    <t xml:space="preserve"> Lashareef</t>
  </si>
  <si>
    <t>Lashareef.Rallapalli@infinite.com</t>
  </si>
  <si>
    <t>Vootla</t>
  </si>
  <si>
    <t>Bhanuchander</t>
  </si>
  <si>
    <t>Bhanuchander.vootla@infinite.com</t>
  </si>
  <si>
    <t>Sahoo</t>
  </si>
  <si>
    <t>Sourav.Sahoo@infinite.com</t>
  </si>
  <si>
    <t xml:space="preserve"> Gowtham</t>
  </si>
  <si>
    <t>Gowtham.Sekar@infinite.com</t>
  </si>
  <si>
    <t>Basina</t>
  </si>
  <si>
    <t>Rohit Kumar</t>
  </si>
  <si>
    <t>Basin.Kumar@infinite.com</t>
  </si>
  <si>
    <t>Sarath</t>
  </si>
  <si>
    <t>Madugula</t>
  </si>
  <si>
    <t>Madugula.Sarath@infinite.com</t>
  </si>
  <si>
    <t>Lata</t>
  </si>
  <si>
    <t>Lata.Sharma@infinite.com</t>
  </si>
  <si>
    <t>Aiatharappa</t>
  </si>
  <si>
    <t>Gari Sindhu</t>
  </si>
  <si>
    <t>Alatharappa.Sindhu@infinite.com</t>
  </si>
  <si>
    <t>Pramita</t>
  </si>
  <si>
    <t>Dash</t>
  </si>
  <si>
    <t>Pramita.Dash@infinite.com</t>
  </si>
  <si>
    <t>Gowri Shankar</t>
  </si>
  <si>
    <t>Gowri.Shankar@infinite.com</t>
  </si>
  <si>
    <t>Devara</t>
  </si>
  <si>
    <t>Sireesha.Devara@infinite.com</t>
  </si>
  <si>
    <t>Ansal</t>
  </si>
  <si>
    <t>Prajnadeepta</t>
  </si>
  <si>
    <t>Ansal.Prajnadeepta@infinite.com</t>
  </si>
  <si>
    <t>Routray</t>
  </si>
  <si>
    <t>Ananya.Routray@infinite.com</t>
  </si>
  <si>
    <t>Gumma</t>
  </si>
  <si>
    <t>Gumma.Bhargavi@infinite.com</t>
  </si>
  <si>
    <t>Shirisha</t>
  </si>
  <si>
    <t>Paloju</t>
  </si>
  <si>
    <t>Shirisha.Paloju@infinite.com</t>
  </si>
  <si>
    <t>Kumar M</t>
  </si>
  <si>
    <t>Rajesh.Mohan@infinite.com</t>
  </si>
  <si>
    <t>Kunche</t>
  </si>
  <si>
    <t>sai kamala</t>
  </si>
  <si>
    <t>Sai.Kunche@infinite.com</t>
  </si>
  <si>
    <t>Gandham</t>
  </si>
  <si>
    <t>Madhu.Gandham@infinite.com</t>
  </si>
  <si>
    <t>Gorrela</t>
  </si>
  <si>
    <t>Madhenu</t>
  </si>
  <si>
    <t>Gorrela.Madhenu@infinite.com</t>
  </si>
  <si>
    <t>Unmesha</t>
  </si>
  <si>
    <t>Jena</t>
  </si>
  <si>
    <t>Unmesha.Jena@infinite.com</t>
  </si>
  <si>
    <t>Rajan</t>
  </si>
  <si>
    <t>Kumar Tiwari</t>
  </si>
  <si>
    <t>Rajankumar.Tiwari@infinite.com</t>
  </si>
  <si>
    <t>Mareedu</t>
  </si>
  <si>
    <t>Swetha Priya</t>
  </si>
  <si>
    <t>Swethapriya.Mareedu@infinite.com</t>
  </si>
  <si>
    <t>Kunal</t>
  </si>
  <si>
    <t>Kosala</t>
  </si>
  <si>
    <t>Kunal.Kosala@infinite.com</t>
  </si>
  <si>
    <t>Chandra</t>
  </si>
  <si>
    <t>Sekhar Bethanapalli</t>
  </si>
  <si>
    <t>Bethanapalli.Sekhar@infinite.com</t>
  </si>
  <si>
    <t>Thaga A</t>
  </si>
  <si>
    <t>Mohamed.Thaga@infinite.com</t>
  </si>
  <si>
    <t>Gunji</t>
  </si>
  <si>
    <t>Usha Sri</t>
  </si>
  <si>
    <t>Gunji.Ushasri@infinite.com</t>
  </si>
  <si>
    <t>Himanshu</t>
  </si>
  <si>
    <t>Kumar Ray</t>
  </si>
  <si>
    <t>Himanshu.Ray@infinite.com</t>
  </si>
  <si>
    <t>Rangabhatla</t>
  </si>
  <si>
    <t>Sai Harish</t>
  </si>
  <si>
    <t>Sai.Harish@infinite.com</t>
  </si>
  <si>
    <t>Yanamadala</t>
  </si>
  <si>
    <t>Likhitha Sree</t>
  </si>
  <si>
    <t>Yanamadala.Likhithasree@infinite.com</t>
  </si>
  <si>
    <t>Vemula</t>
  </si>
  <si>
    <t>Sanjay Kumar</t>
  </si>
  <si>
    <t>Sanjaykumar.Vemula@infinite.com</t>
  </si>
  <si>
    <t>Sonali</t>
  </si>
  <si>
    <t>Sonali.Sahu@infinite.com</t>
  </si>
  <si>
    <t>Jadala</t>
  </si>
  <si>
    <t>Naveen Kumar</t>
  </si>
  <si>
    <t>Naveenkumar.Jadala@infinite.com</t>
  </si>
  <si>
    <t>Khafia</t>
  </si>
  <si>
    <t>Ayyub</t>
  </si>
  <si>
    <t>Khafia.Ayyub@infinite.com</t>
  </si>
  <si>
    <t>Javed</t>
  </si>
  <si>
    <t>Javed.Khan@infinite.com</t>
  </si>
  <si>
    <t>Sai Basantara</t>
  </si>
  <si>
    <t>AmitSai.Basantara@infinite.com</t>
  </si>
  <si>
    <t>Mothi</t>
  </si>
  <si>
    <t>Tejaswini</t>
  </si>
  <si>
    <t>Tejaswini.Mothi@infinite.com</t>
  </si>
  <si>
    <t>Rohan</t>
  </si>
  <si>
    <t>Kumar Sahoo</t>
  </si>
  <si>
    <t>RohanKumar.Sahoo@infinite.com</t>
  </si>
  <si>
    <t>Tanya</t>
  </si>
  <si>
    <t>Arora</t>
  </si>
  <si>
    <t>Tanya.Arora@infinite.com</t>
  </si>
  <si>
    <t>Mirda</t>
  </si>
  <si>
    <t>Ganesh.mirda@infinite.com</t>
  </si>
  <si>
    <t>Linga</t>
  </si>
  <si>
    <t>Avinash</t>
  </si>
  <si>
    <t>Avinash.linga@infinite.com</t>
  </si>
  <si>
    <t>Pedditi</t>
  </si>
  <si>
    <t>Nithin Reddy</t>
  </si>
  <si>
    <t>Nithinreddy.Pedditi@infinite.com</t>
  </si>
  <si>
    <t>Jitendra</t>
  </si>
  <si>
    <t>Jitendra.Sahoo@infinite.com</t>
  </si>
  <si>
    <t>Adhithya</t>
  </si>
  <si>
    <t>Adhithya.Katta@infinite.com</t>
  </si>
  <si>
    <t>Pasham</t>
  </si>
  <si>
    <t>Sai Kishore Reddy</t>
  </si>
  <si>
    <t>SaiKishore.Reddy2@infinite.com</t>
  </si>
  <si>
    <t>Mekala</t>
  </si>
  <si>
    <t>Archutha</t>
  </si>
  <si>
    <t>Archutha.Mekala@infinite.com</t>
  </si>
  <si>
    <t>Abhishek.Kumar15@infinite.com</t>
  </si>
  <si>
    <t>Murupoju</t>
  </si>
  <si>
    <t>Rajesh.Murupoju@infinite.com</t>
  </si>
  <si>
    <t>Raman Dash</t>
  </si>
  <si>
    <t>Rahul.Raman@infinite.com</t>
  </si>
  <si>
    <t>Nitish</t>
  </si>
  <si>
    <t>Kumar Nayak</t>
  </si>
  <si>
    <t>Nitish.Nayak@infinite.com</t>
  </si>
  <si>
    <t>Kotha</t>
  </si>
  <si>
    <t>Manosree</t>
  </si>
  <si>
    <t>Manosree.Kotha@infinite.com</t>
  </si>
  <si>
    <t>Anirudh</t>
  </si>
  <si>
    <t>Mehta</t>
  </si>
  <si>
    <t>Anirudh.Mehta@infinite.com</t>
  </si>
  <si>
    <t>Subhraprakash</t>
  </si>
  <si>
    <t>Subudhi</t>
  </si>
  <si>
    <t>Subhraprakash.Subudhi@infinite.com</t>
  </si>
  <si>
    <t>Morla</t>
  </si>
  <si>
    <t>Brundavani</t>
  </si>
  <si>
    <t>Brundavani.Morla@infinite.com</t>
  </si>
  <si>
    <t>Satya</t>
  </si>
  <si>
    <t>Prakash sharma</t>
  </si>
  <si>
    <t>Satyaprakash.sharma@infinite.com</t>
  </si>
  <si>
    <t>Bhavani</t>
  </si>
  <si>
    <t>Bhavani.Annam@infinite.com</t>
  </si>
  <si>
    <t>Konda</t>
  </si>
  <si>
    <t>Sai Keerthi</t>
  </si>
  <si>
    <t>saikeerthi.Konda@infinite.com</t>
  </si>
  <si>
    <t>Yennam</t>
  </si>
  <si>
    <t>Sowmya</t>
  </si>
  <si>
    <t>Sowmya.Yennam@infinite.com</t>
  </si>
  <si>
    <t>Ramasani</t>
  </si>
  <si>
    <t>Dheeraj Reddy</t>
  </si>
  <si>
    <t>Dheeraj.Ramasani@infinite.com</t>
  </si>
  <si>
    <t>Thammi</t>
  </si>
  <si>
    <t>Soumya</t>
  </si>
  <si>
    <t>Soumya.Thammi@infinite.com</t>
  </si>
  <si>
    <t>Sriram</t>
  </si>
  <si>
    <t>Krishnakumar</t>
  </si>
  <si>
    <t>Sriram.Krishnakumar@infinite.com</t>
  </si>
  <si>
    <t>Chittaboina</t>
  </si>
  <si>
    <t>Uday Sai Yadav</t>
  </si>
  <si>
    <t>Udaysai.Yadav@infinite.com</t>
  </si>
  <si>
    <t>Bhosle</t>
  </si>
  <si>
    <t>Rohith</t>
  </si>
  <si>
    <t>Rohith.Bhosle@infinite.com</t>
  </si>
  <si>
    <t>Abhilash</t>
  </si>
  <si>
    <t>Abhilash.Chiluka@infinite.com</t>
  </si>
  <si>
    <t>Varun Sai</t>
  </si>
  <si>
    <t>Varunsai.Gunda@infinite.com</t>
  </si>
  <si>
    <t>Smruti</t>
  </si>
  <si>
    <t>Prangya Rath</t>
  </si>
  <si>
    <t>Smruti.Prangya@infinite.com</t>
  </si>
  <si>
    <t>Donthula</t>
  </si>
  <si>
    <t>Madhan</t>
  </si>
  <si>
    <t>Madhan.Donthula@infinite.com</t>
  </si>
  <si>
    <t>Kommunuri</t>
  </si>
  <si>
    <t>Arun Raju</t>
  </si>
  <si>
    <t>Arunraju.Kommunuri@infinite.com</t>
  </si>
  <si>
    <t>Piyush</t>
  </si>
  <si>
    <t>Piyush.Raj@infinite.com</t>
  </si>
  <si>
    <t>Skill Name</t>
  </si>
  <si>
    <t>Skill Type</t>
  </si>
  <si>
    <t>Skill Level</t>
  </si>
  <si>
    <t>Skill Category</t>
  </si>
  <si>
    <t>IsActive</t>
  </si>
  <si>
    <t>Assigned Date</t>
  </si>
  <si>
    <t>Python</t>
  </si>
  <si>
    <t>Primary</t>
  </si>
  <si>
    <t>Advanced</t>
  </si>
  <si>
    <t>Technical</t>
  </si>
  <si>
    <t>Yes</t>
  </si>
  <si>
    <t>SQL</t>
  </si>
  <si>
    <t>Secondary</t>
  </si>
  <si>
    <t>Intermediate</t>
  </si>
  <si>
    <t>Java</t>
  </si>
  <si>
    <t>SCM</t>
  </si>
  <si>
    <t>Git</t>
  </si>
  <si>
    <t>Jenkins</t>
  </si>
  <si>
    <t>Kubernetes</t>
  </si>
  <si>
    <t>Docker</t>
  </si>
  <si>
    <t>React</t>
  </si>
  <si>
    <t>Node JS</t>
  </si>
  <si>
    <t>Angular</t>
  </si>
  <si>
    <t>MangoDB</t>
  </si>
  <si>
    <t>how to decide Emp sys id no for empoyee???</t>
  </si>
  <si>
    <t>u need to take it from empyee page by checking particular employee.</t>
  </si>
  <si>
    <t>Year</t>
  </si>
  <si>
    <t>Base_Salary</t>
  </si>
  <si>
    <t>Bonus</t>
  </si>
  <si>
    <t>Perks</t>
  </si>
  <si>
    <t>Other_Comp</t>
  </si>
  <si>
    <t>Is_Promotion</t>
  </si>
  <si>
    <t>Prom_Eve_Date</t>
  </si>
  <si>
    <t>Total_CTC</t>
  </si>
  <si>
    <t>Hike</t>
  </si>
  <si>
    <t>PROMOTION_ID</t>
  </si>
  <si>
    <t>EVENT_DATE</t>
  </si>
  <si>
    <t>END DATE</t>
  </si>
  <si>
    <t>EVENT_TYPE</t>
  </si>
  <si>
    <t>DAY VALUE</t>
  </si>
  <si>
    <t>NEW_CTC</t>
  </si>
  <si>
    <t>PREVIOUS_CTC</t>
  </si>
  <si>
    <t>HIKE_PERCENTAGE</t>
  </si>
  <si>
    <t>REASON_FOR_EVENT</t>
  </si>
  <si>
    <t>EVENT_TYPE SYS ID</t>
  </si>
  <si>
    <t>EVENT_TYPE_SYMBOL</t>
  </si>
  <si>
    <t>EMPLOYEE_SYS_ID</t>
  </si>
  <si>
    <t>JOB_LEVEL</t>
  </si>
  <si>
    <t>PREV_CTC</t>
  </si>
  <si>
    <t>EVENT_TYPE_SYS_ID</t>
  </si>
  <si>
    <t>ERROR_IND</t>
  </si>
  <si>
    <t>Event Metadata:</t>
  </si>
  <si>
    <t>: System identifier for the event type.</t>
  </si>
  <si>
    <t>: Symbol or code representing the event type.</t>
  </si>
  <si>
    <t>: Indicator for any errors in the data.</t>
  </si>
  <si>
    <t>: Description of the error, if any</t>
  </si>
  <si>
    <t>: Date of the appraisal or promotion.</t>
  </si>
  <si>
    <t>END_DATE</t>
  </si>
  <si>
    <t>: End date of the event, if applicable.</t>
  </si>
  <si>
    <t>: Type of event (e.g., Promotion, Appraisal).</t>
  </si>
  <si>
    <t>: Reason for the event (e.g., Performance, Tenure).​</t>
  </si>
  <si>
    <t>Emp no</t>
  </si>
  <si>
    <t>Department</t>
  </si>
  <si>
    <t>Skill</t>
  </si>
  <si>
    <t>LEAVE</t>
  </si>
  <si>
    <t>EMPLOYEE</t>
  </si>
  <si>
    <t>MY LEAVE COLUMN 1</t>
  </si>
  <si>
    <t>MY LEAVE COLUMN 2</t>
  </si>
  <si>
    <t>LEAVE TYPE SYS ID</t>
  </si>
  <si>
    <t>LEAVE TYPE SYMBOL</t>
  </si>
  <si>
    <t>Veera Satya Kishore Swamy Allaka (1029895)</t>
  </si>
  <si>
    <t>Tuesday, 16 January 2024</t>
  </si>
  <si>
    <t>Friday, 19 January 2024</t>
  </si>
  <si>
    <t>D Malar Vizhi (1021304)</t>
  </si>
  <si>
    <t>Atluri Priyanka (1030243)</t>
  </si>
  <si>
    <t>Wednesday, 17 January 2024</t>
  </si>
  <si>
    <t>ABHISEK  SARANGI (1029782)</t>
  </si>
  <si>
    <t>Thursday, 14 December 2023</t>
  </si>
  <si>
    <t>Friday, 15 December 2023</t>
  </si>
  <si>
    <t>Wednesday, 29 November 2023</t>
  </si>
  <si>
    <t>Friday, 06 October 2023</t>
  </si>
  <si>
    <t>Yanamadala Likhitha Sree (1029868)</t>
  </si>
  <si>
    <t>Monday, 08 January 2024</t>
  </si>
  <si>
    <t>Nagarjun Naidu Mannem (1019816)</t>
  </si>
  <si>
    <t>Thursday, 28 December 2023</t>
  </si>
  <si>
    <t>Friday, 22 December 2023</t>
  </si>
  <si>
    <t>Thursday, 02 November 2023</t>
  </si>
  <si>
    <t>Monday, 06 November 2023</t>
  </si>
  <si>
    <t>Friday, 13 October 2023</t>
  </si>
  <si>
    <t>Monday, 16 October 2023</t>
  </si>
  <si>
    <t>Monday, 25 September 2023</t>
  </si>
  <si>
    <t>Monday, 31 July 2023</t>
  </si>
  <si>
    <t>Wednesday, 24 May 2023</t>
  </si>
  <si>
    <t>Thursday, 25 May 2023</t>
  </si>
  <si>
    <t>Tuesday, 09 May 2023</t>
  </si>
  <si>
    <t>Friday, 14 April 2023</t>
  </si>
  <si>
    <t>Monday, 16 January 2023</t>
  </si>
  <si>
    <t>Tuesday, 28 March 2023</t>
  </si>
  <si>
    <t>Friday, 29 December 2023</t>
  </si>
  <si>
    <t>Monday, 15 May 2023</t>
  </si>
  <si>
    <t>Rangabhatla Sai Harish (1029533)</t>
  </si>
  <si>
    <t>Rahul Dev (1028364)</t>
  </si>
  <si>
    <t>Thursday, 30 November 2023</t>
  </si>
  <si>
    <t>Tuesday, 31 October 2023</t>
  </si>
  <si>
    <t>Monday, 10 July 2023</t>
  </si>
  <si>
    <t>Wednesday, 12 July 2023</t>
  </si>
  <si>
    <t>Monday, 22 May 2023</t>
  </si>
  <si>
    <t>Monday, 24 April 2023</t>
  </si>
  <si>
    <t>Tuesday, 21 March 2023</t>
  </si>
  <si>
    <t>Monday, 13 February 2023</t>
  </si>
  <si>
    <t>Thursday, 21 December 2023</t>
  </si>
  <si>
    <t>Varshitha B V (1030691)</t>
  </si>
  <si>
    <t>Wednesday, 13 December 2023</t>
  </si>
  <si>
    <t>Akash Vasant Kadam (1031064)</t>
  </si>
  <si>
    <t>Nikhil Balaji Agwane (1031086)</t>
  </si>
  <si>
    <t>Tuesday, 19 December 2023</t>
  </si>
  <si>
    <t>Thursday, 10 August 2023</t>
  </si>
  <si>
    <t>Friday, 24 February 2023</t>
  </si>
  <si>
    <t>Monday, 19 December 2022</t>
  </si>
  <si>
    <t>Thursday, 15 December 2022</t>
  </si>
  <si>
    <t>Friday, 16 December 2022</t>
  </si>
  <si>
    <t>Kommunuri Arun Raju (1033251)</t>
  </si>
  <si>
    <t>Tuesday, 26 December 2023</t>
  </si>
  <si>
    <t>Wednesday, 27 December 2023</t>
  </si>
  <si>
    <t>Tuesday, 12 December 2023</t>
  </si>
  <si>
    <t>Maddi Vamsi (1029528)</t>
  </si>
  <si>
    <t>Friday, 10 November 2023</t>
  </si>
  <si>
    <t>Wednesday, 06 September 2023</t>
  </si>
  <si>
    <t>Monday, 14 August 2023</t>
  </si>
  <si>
    <t>Monday, 19 June 2023</t>
  </si>
  <si>
    <t>Monday, 29 May 2023</t>
  </si>
  <si>
    <t>Tuesday, 02 May 2023</t>
  </si>
  <si>
    <t>Wednesday, 03 May 2023</t>
  </si>
  <si>
    <t>Thursday, 23 February 2023</t>
  </si>
  <si>
    <t>Monday, 05 December 2022</t>
  </si>
  <si>
    <t>Gaurav Jha (1030908)</t>
  </si>
  <si>
    <t>Thursday, 01 December 2022</t>
  </si>
  <si>
    <t>Friday, 02 December 2022</t>
  </si>
  <si>
    <t>Wednesday, 30 November 2022</t>
  </si>
  <si>
    <t>Monday, 28 November 2022</t>
  </si>
  <si>
    <t>Shashi Kumar D (1028007)</t>
  </si>
  <si>
    <t>Kummari Yeshwanth (1029885)</t>
  </si>
  <si>
    <t>Ankit Radheshyam Patil (1031039)</t>
  </si>
  <si>
    <t>Smruti Prangya Rath (1033217)</t>
  </si>
  <si>
    <t>Piyush Raj (1033218)</t>
  </si>
  <si>
    <t>Talada Sumanth (1029520)</t>
  </si>
  <si>
    <t>Mitesh Malviya (1031067)</t>
  </si>
  <si>
    <t>Wednesday, 20 December 2023</t>
  </si>
  <si>
    <t>Monday, 18 December 2023</t>
  </si>
  <si>
    <t>Monday, 04 December 2023</t>
  </si>
  <si>
    <t>Poola Partha Saradhi (1030911)</t>
  </si>
  <si>
    <t>Rajesh Kumar M (1027422)</t>
  </si>
  <si>
    <t>Kamesh Ravichandran (1029302)</t>
  </si>
  <si>
    <t>Wednesday, 22 November 2023</t>
  </si>
  <si>
    <t>Friday, 24 November 2023</t>
  </si>
  <si>
    <t>Wednesday, 30 August 2023</t>
  </si>
  <si>
    <t>Wednesday, 28 June 2023</t>
  </si>
  <si>
    <t>Ananya  Nidhi (1023748)</t>
  </si>
  <si>
    <t>Wednesday, 06 December 2023</t>
  </si>
  <si>
    <t>Ambika G Prabhu (1027414)</t>
  </si>
  <si>
    <t>Monday, 11 December 2023</t>
  </si>
  <si>
    <t>Friday, 01 December 2023</t>
  </si>
  <si>
    <t>Friday, 08 December 2023</t>
  </si>
  <si>
    <t>Tuesday, 28 November 2023</t>
  </si>
  <si>
    <t>Madhu Gandham (1029876)</t>
  </si>
  <si>
    <t>Thursday, 07 December 2023</t>
  </si>
  <si>
    <t>Wednesday, 15 November 2023</t>
  </si>
  <si>
    <t>Darshan Balu Gade (1031095)</t>
  </si>
  <si>
    <t>Ankit Sanjayrao Itankar (1031068)</t>
  </si>
  <si>
    <t>Saurabh Rajendra Kadam (1031040)</t>
  </si>
  <si>
    <t>Thursday, 07 September 2023</t>
  </si>
  <si>
    <t>Wednesday, 23 August 2023</t>
  </si>
  <si>
    <t>Bhagyashree Patil (1030253)</t>
  </si>
  <si>
    <t>Anirudh Mehta (1033230)</t>
  </si>
  <si>
    <t>Tuesday, 05 December 2023</t>
  </si>
  <si>
    <t>Thursday, 15 June 2023</t>
  </si>
  <si>
    <t>Friday, 16 June 2023</t>
  </si>
  <si>
    <t>Wednesday, 11 October 2023</t>
  </si>
  <si>
    <t>Wednesday, 18 January 2023</t>
  </si>
  <si>
    <t>Monday, 27 February 2023</t>
  </si>
  <si>
    <t>Friday, 03 March 2023</t>
  </si>
  <si>
    <t>Wednesday, 14 December 2022</t>
  </si>
  <si>
    <t>Thursday, 13 October 2022</t>
  </si>
  <si>
    <t>Friday, 14 October 2022</t>
  </si>
  <si>
    <t>Archana  R P (1031768)</t>
  </si>
  <si>
    <t>Wednesday, 08 November 2023</t>
  </si>
  <si>
    <t>Thursday, 23 November 2023</t>
  </si>
  <si>
    <t>Wednesday, 13 September 2023</t>
  </si>
  <si>
    <t>Tuesday, 21 November 2023</t>
  </si>
  <si>
    <t>Friday, 17 November 2023</t>
  </si>
  <si>
    <t>Monday, 03 July 2023</t>
  </si>
  <si>
    <t>Katakam Vijaykumar (1017149)</t>
  </si>
  <si>
    <t>Friday, 03 June 2022</t>
  </si>
  <si>
    <t>Friday, 03 November 2023</t>
  </si>
  <si>
    <t>Madhusmita Das (1028452)</t>
  </si>
  <si>
    <t>Friday, 05 May 2023</t>
  </si>
  <si>
    <t>Monday, 08 May 2023</t>
  </si>
  <si>
    <t>Baratam  Ashish (1027410)</t>
  </si>
  <si>
    <t>Thursday, 16 November 2023</t>
  </si>
  <si>
    <t>Monday, 23 October 2023</t>
  </si>
  <si>
    <t>Monday, 20 November 2023</t>
  </si>
  <si>
    <t>Gaurav Sharma (1029867)</t>
  </si>
  <si>
    <t>Ojasvi Gulabrao Hedau (1031087)</t>
  </si>
  <si>
    <t>Monday, 11 September 2023</t>
  </si>
  <si>
    <t>Monday, 21 August 2023</t>
  </si>
  <si>
    <t>Thursday, 24 August 2023</t>
  </si>
  <si>
    <t>Friday, 04 August 2023</t>
  </si>
  <si>
    <t>Friday, 14 July 2023</t>
  </si>
  <si>
    <t>Wednesday, 05 July 2023</t>
  </si>
  <si>
    <t>Wednesday, 07 June 2023</t>
  </si>
  <si>
    <t>Tuesday, 25 April 2023</t>
  </si>
  <si>
    <t>Monday, 03 April 2023</t>
  </si>
  <si>
    <t>Thursday, 09 November 2023</t>
  </si>
  <si>
    <t>Monday, 30 October 2023</t>
  </si>
  <si>
    <t>Sunil Kumar Gupta (1029521)</t>
  </si>
  <si>
    <t>Sunday, 16 April 2023</t>
  </si>
  <si>
    <t>Wednesday, 26 April 2023</t>
  </si>
  <si>
    <t>Friday, 17 March 2023</t>
  </si>
  <si>
    <t>Friday, 20 October 2023</t>
  </si>
  <si>
    <t>Tuesday, 10 October 2023</t>
  </si>
  <si>
    <t>Friday, 18 August 2023</t>
  </si>
  <si>
    <t>Monday, 26 June 2023</t>
  </si>
  <si>
    <t>Wednesday, 02 August 2023</t>
  </si>
  <si>
    <t>Monday, 04 September 2023</t>
  </si>
  <si>
    <t>Friday, 20 January 2023</t>
  </si>
  <si>
    <t>Friday, 09 September 2022</t>
  </si>
  <si>
    <t>Tuesday, 02 August 2022</t>
  </si>
  <si>
    <t>Tuesday, 17 October 2023</t>
  </si>
  <si>
    <t>Golla Venugopal (1028128)</t>
  </si>
  <si>
    <t>Monday, 28 August 2023</t>
  </si>
  <si>
    <t>Monday, 09 October 2023</t>
  </si>
  <si>
    <t>Thursday, 28 September 2023</t>
  </si>
  <si>
    <t>Friday, 22 September 2023</t>
  </si>
  <si>
    <t>Tuesday, 19 September 2023</t>
  </si>
  <si>
    <t>Thursday, 21 September 2023</t>
  </si>
  <si>
    <t>Friday, 15 September 2023</t>
  </si>
  <si>
    <t>Friday, 01 September 2023</t>
  </si>
  <si>
    <t>Friday, 03 September 2021</t>
  </si>
  <si>
    <t>Friday, 25 August 2023</t>
  </si>
  <si>
    <t>Tuesday, 29 August 2023</t>
  </si>
  <si>
    <t>Wednesday, 16 August 2023</t>
  </si>
  <si>
    <t>Monday, 07 August 2023</t>
  </si>
  <si>
    <t>Tuesday, 01 August 2023</t>
  </si>
  <si>
    <t>Wednesday, 26 July 2023</t>
  </si>
  <si>
    <t>Friday, 30 June 2023</t>
  </si>
  <si>
    <t>Thursday, 06 July 2023</t>
  </si>
  <si>
    <t>Friday, 07 July 2023</t>
  </si>
  <si>
    <t>Friday, 23 June 2023</t>
  </si>
  <si>
    <t>Monday, 05 June 2023</t>
  </si>
  <si>
    <t>Friday, 09 June 2023</t>
  </si>
  <si>
    <t>Tuesday, 06 June 2023</t>
  </si>
  <si>
    <t>Tuesday, 23 May 2023</t>
  </si>
  <si>
    <t>Wednesday, 17 May 2023</t>
  </si>
  <si>
    <t>Thursday, 18 May 2023</t>
  </si>
  <si>
    <t>Katam  Nagaraju (1028066)</t>
  </si>
  <si>
    <t>Thursday, 04 January 2024</t>
  </si>
  <si>
    <t>Thursday, 11 May 2023</t>
  </si>
  <si>
    <t>Wednesday, 25 October 2023</t>
  </si>
  <si>
    <t>Thursday, 12 October 2023</t>
  </si>
  <si>
    <t>Friday, 12 May 2023</t>
  </si>
  <si>
    <t>Tuesday, 16 May 2023</t>
  </si>
  <si>
    <t>Wednesday, 12 April 2023</t>
  </si>
  <si>
    <t>Thursday, 04 May 2023</t>
  </si>
  <si>
    <t>Thursday, 27 April 2023</t>
  </si>
  <si>
    <t>Thursday, 02 March 2023</t>
  </si>
  <si>
    <t>Tuesday, 14 February 2023</t>
  </si>
  <si>
    <t>Monday, 02 January 2023</t>
  </si>
  <si>
    <t>Wednesday, 07 December 2022</t>
  </si>
  <si>
    <t>Friday, 21 April 2023</t>
  </si>
  <si>
    <t>Friday, 28 April 2023</t>
  </si>
  <si>
    <t>Monday, 17 April 2023</t>
  </si>
  <si>
    <t>Monday, 10 April 2023</t>
  </si>
  <si>
    <t>Tuesday, 11 April 2023</t>
  </si>
  <si>
    <t>Thursday, 06 April 2023</t>
  </si>
  <si>
    <t>Wednesday, 05 April 2023</t>
  </si>
  <si>
    <t>Tuesday, 04 April 2023</t>
  </si>
  <si>
    <t>Monday, 27 March 2023</t>
  </si>
  <si>
    <t>Thursday, 30 March 2023</t>
  </si>
  <si>
    <t>Friday, 31 March 2023</t>
  </si>
  <si>
    <t>Friday, 24 March 2023</t>
  </si>
  <si>
    <t>Wednesday, 22 March 2023</t>
  </si>
  <si>
    <t>Thursday, 23 March 2023</t>
  </si>
  <si>
    <t>Friday, 15 November 2019</t>
  </si>
  <si>
    <t>Wednesday, 29 March 2023</t>
  </si>
  <si>
    <t>Thursday, 16 March 2023</t>
  </si>
  <si>
    <t>Monday, 20 March 2023</t>
  </si>
  <si>
    <t>Friday, 17 September 2021</t>
  </si>
  <si>
    <t>Friday, 10 March 2023</t>
  </si>
  <si>
    <t>Wednesday, 15 March 2023</t>
  </si>
  <si>
    <t>Friday, 25 October 2019</t>
  </si>
  <si>
    <t>Saturday, 11 March 2023</t>
  </si>
  <si>
    <t>Monday, 06 March 2023</t>
  </si>
  <si>
    <t>Wednesday, 22 February 2023</t>
  </si>
  <si>
    <t>Monday, 20 February 2023</t>
  </si>
  <si>
    <t>Tuesday, 21 February 2023</t>
  </si>
  <si>
    <t>Tuesday, 24 January 2023</t>
  </si>
  <si>
    <t>Wednesday, 25 January 2023</t>
  </si>
  <si>
    <t>Thursday, 09 February 2023</t>
  </si>
  <si>
    <t>Friday, 10 February 2023</t>
  </si>
  <si>
    <t>Macherla Sandhya  Rani (1022410)</t>
  </si>
  <si>
    <t>Tuesday, 05 September 2023</t>
  </si>
  <si>
    <t>Friday, 27 January 2023</t>
  </si>
  <si>
    <t>Monday, 30 January 2023</t>
  </si>
  <si>
    <t>Thursday, 19 January 2023</t>
  </si>
  <si>
    <t>Friday, 09 December 2022</t>
  </si>
  <si>
    <t>Monday, 22 August 2022</t>
  </si>
  <si>
    <t>Thursday, 08 December 2022</t>
  </si>
  <si>
    <t>Thursday, 22 December 2022</t>
  </si>
  <si>
    <t>Monday, 26 December 2022</t>
  </si>
  <si>
    <t>Monday, 26 September 2022</t>
  </si>
  <si>
    <t>Thursday, 15 September 2022</t>
  </si>
  <si>
    <t>Thursday, 17 November 2022</t>
  </si>
  <si>
    <t>Friday, 30 December 2022</t>
  </si>
  <si>
    <t>Wednesday, 28 December 2022</t>
  </si>
  <si>
    <t>Tuesday, 27 December 2022</t>
  </si>
  <si>
    <t>Wednesday, 21 December 2022</t>
  </si>
  <si>
    <t>Murali  V (1024783)</t>
  </si>
  <si>
    <t>Thursday, 31 October 2024</t>
  </si>
  <si>
    <t>Friday, 08 March 2024</t>
  </si>
  <si>
    <t>Tuesday, 09 April 2024</t>
  </si>
  <si>
    <t>Monday, 21 November 2022</t>
  </si>
  <si>
    <t>Friday, 25 November 2022</t>
  </si>
  <si>
    <t>Tuesday, 29 November 2022</t>
  </si>
  <si>
    <t>Thursday, 19 October 2023</t>
  </si>
  <si>
    <t>Thursday, 31 August 2023</t>
  </si>
  <si>
    <t>Tuesday, 04 July 2023</t>
  </si>
  <si>
    <t>Monday, 06 February 2023</t>
  </si>
  <si>
    <t>Tuesday, 17 January 2023</t>
  </si>
  <si>
    <t>Monday, 12 December 2022</t>
  </si>
  <si>
    <t>Wednesday, 09 November 2022</t>
  </si>
  <si>
    <t>Wednesday, 19 October 2022</t>
  </si>
  <si>
    <t>Monday, 16 May 2022</t>
  </si>
  <si>
    <t>Wednesday, 18 May 2022</t>
  </si>
  <si>
    <t>Monday, 31 October 2022</t>
  </si>
  <si>
    <t>Wednesday, 02 November 2022</t>
  </si>
  <si>
    <t>Friday, 30 September 2022</t>
  </si>
  <si>
    <t>Wednesday, 14 September 2022</t>
  </si>
  <si>
    <t>Friday, 16 September 2022</t>
  </si>
  <si>
    <t>Monday, 19 September 2022</t>
  </si>
  <si>
    <t>Monday, 03 October 2022</t>
  </si>
  <si>
    <t>Tuesday, 11 October 2022</t>
  </si>
  <si>
    <t>Tuesday, 04 October 2022</t>
  </si>
  <si>
    <t>Friday, 02 September 2022</t>
  </si>
  <si>
    <t>Wednesday, 03 August 2022</t>
  </si>
  <si>
    <t>Monday, 01 August 2022</t>
  </si>
  <si>
    <t>Wednesday, 13 July 2022</t>
  </si>
  <si>
    <t>Thursday, 14 July 2022</t>
  </si>
  <si>
    <t>Friday, 08 July 2022</t>
  </si>
  <si>
    <t>Friday, 20 May 2022</t>
  </si>
  <si>
    <t>Monday, 25 April 2022</t>
  </si>
  <si>
    <t>Thursday, 07 April 2022</t>
  </si>
  <si>
    <t>Friday, 08 April 2022</t>
  </si>
  <si>
    <t>Tuesday, 05 April 2022</t>
  </si>
  <si>
    <t>Thursday, 17 February 2022</t>
  </si>
  <si>
    <t>Thursday, 06 January 2022</t>
  </si>
  <si>
    <t>Monday, 20 June 2022</t>
  </si>
  <si>
    <t>Wednesday, 15 June 2022</t>
  </si>
  <si>
    <t>Monday, 13 June 2022</t>
  </si>
  <si>
    <t>Thursday, 27 October 2022</t>
  </si>
  <si>
    <t>Tuesday, 26 April 2022</t>
  </si>
  <si>
    <t>Wednesday, 27 April 2022</t>
  </si>
  <si>
    <t>Thursday, 14 April 2022</t>
  </si>
  <si>
    <t>Friday, 18 March 2022</t>
  </si>
  <si>
    <t>Wednesday, 02 March 2022</t>
  </si>
  <si>
    <t>Monday, 28 February 2022</t>
  </si>
  <si>
    <t>Tuesday, 01 December 2020</t>
  </si>
  <si>
    <t>Monday, 07 December 2020</t>
  </si>
  <si>
    <t>Poothi Reddy Niranjan Reddy  (1024413)</t>
  </si>
  <si>
    <t>Monday, 27 November 2023</t>
  </si>
  <si>
    <t>Monday, 20 December 2021</t>
  </si>
  <si>
    <t>Wednesday, 21 June 2023</t>
  </si>
  <si>
    <t>Wednesday, 31 May 2023</t>
  </si>
  <si>
    <t>Wednesday, 15 February 2023</t>
  </si>
  <si>
    <t>Wednesday, 01 February 2023</t>
  </si>
  <si>
    <t>Tuesday, 08 December 2020</t>
  </si>
  <si>
    <t>Friday, 11 December 2020</t>
  </si>
  <si>
    <t>Tuesday, 21 June 2022</t>
  </si>
  <si>
    <t>Friday, 17 June 2022</t>
  </si>
  <si>
    <t>Friday, 10 June 2022</t>
  </si>
  <si>
    <t>Monday, 11 April 2022</t>
  </si>
  <si>
    <t>Monday, 14 December 2020</t>
  </si>
  <si>
    <t>Friday, 18 February 2022</t>
  </si>
  <si>
    <t>Wednesday, 09 March 2022</t>
  </si>
  <si>
    <t>Thursday, 10 February 2022</t>
  </si>
  <si>
    <t>Friday, 07 January 2022</t>
  </si>
  <si>
    <t>Friday, 17 December 2021</t>
  </si>
  <si>
    <t>Monday, 13 December 2021</t>
  </si>
  <si>
    <t>Thursday, 16 December 2021</t>
  </si>
  <si>
    <t>Friday, 10 December 2021</t>
  </si>
  <si>
    <t>Monday, 05 July 2021</t>
  </si>
  <si>
    <t>Thursday, 27 May 2021</t>
  </si>
  <si>
    <t>Wednesday, 28 April 2021</t>
  </si>
  <si>
    <t>Tuesday, 27 April 2021</t>
  </si>
  <si>
    <t>Thursday, 15 April 2021</t>
  </si>
  <si>
    <t>Thursday, 22 April 2021</t>
  </si>
  <si>
    <t>Friday, 23 April 2021</t>
  </si>
  <si>
    <t>Thursday, 04 March 2021</t>
  </si>
  <si>
    <t>Thursday, 31 December 2020</t>
  </si>
  <si>
    <t>Rallapalli  Lashareef (1030213)</t>
  </si>
  <si>
    <t>Tuesday, 02 January 2024</t>
  </si>
  <si>
    <t>Friday, 05 January 2024</t>
  </si>
  <si>
    <t>Tuesday, 08 August 2023</t>
  </si>
  <si>
    <t>Thursday, 08 June 2023</t>
  </si>
  <si>
    <t>Wednesday, 07 April 2021</t>
  </si>
  <si>
    <t>Friday, 09 April 2021</t>
  </si>
  <si>
    <t>Thursday, 09 March 2023</t>
  </si>
  <si>
    <t>Monday, 23 January 2023</t>
  </si>
  <si>
    <t>Samaleti  Srikanth (1033992)</t>
  </si>
  <si>
    <t>Sunday, 31 December 2023</t>
  </si>
  <si>
    <t>Wednesday, 19 January 2022</t>
  </si>
  <si>
    <t>Tuesday, 17 November 2020</t>
  </si>
  <si>
    <t>Thursday, 12 November 2020</t>
  </si>
  <si>
    <t>Thursday, 29 October 2020</t>
  </si>
  <si>
    <t>Friday, 30 October 2020</t>
  </si>
  <si>
    <t>Thursday, 22 October 2020</t>
  </si>
  <si>
    <t>Wednesday, 28 October 2020</t>
  </si>
  <si>
    <t>Santhiya  Krishnamoorthy (1024022)</t>
  </si>
  <si>
    <t>Friday, 29 September 2023</t>
  </si>
  <si>
    <t>Wednesday, 07 September 2022</t>
  </si>
  <si>
    <t>Monday, 04 July 2022</t>
  </si>
  <si>
    <t>Tuesday, 24 May 2022</t>
  </si>
  <si>
    <t>Monday, 17 January 2022</t>
  </si>
  <si>
    <t>Monday, 24 May 2021</t>
  </si>
  <si>
    <t>Sunday, 21 November 2021</t>
  </si>
  <si>
    <t>Monday, 10 May 2021</t>
  </si>
  <si>
    <t>Friday, 16 April 2021</t>
  </si>
  <si>
    <t>Friday, 26 March 2021</t>
  </si>
  <si>
    <t>Wednesday, 10 March 2021</t>
  </si>
  <si>
    <t>Tuesday, 09 March 2021</t>
  </si>
  <si>
    <t>Thursday, 11 February 2021</t>
  </si>
  <si>
    <t>Wednesday, 06 January 2021</t>
  </si>
  <si>
    <t>Friday, 04 December 2020</t>
  </si>
  <si>
    <t>Wednesday, 16 September 2020</t>
  </si>
  <si>
    <t>Monday, 17 August 2020</t>
  </si>
  <si>
    <t>Wednesday, 02 December 2020</t>
  </si>
  <si>
    <t>Friday, 13 November 2020</t>
  </si>
  <si>
    <t>Tuesday, 27 October 2020</t>
  </si>
  <si>
    <t>Tuesday, 05 May 2020</t>
  </si>
  <si>
    <t>Thursday, 12 March 2020</t>
  </si>
  <si>
    <t>Siddhartha  Mishra (1018884)</t>
  </si>
  <si>
    <t>Wednesday, 20 September 2023</t>
  </si>
  <si>
    <t>Friday, 18 November 2022</t>
  </si>
  <si>
    <t>Sreenath  M S (1027419)</t>
  </si>
  <si>
    <t>Monday, 14 November 2022</t>
  </si>
  <si>
    <t>Swikruti  Mahapatra (1023926)</t>
  </si>
  <si>
    <t>Monday, 20 January 2020</t>
  </si>
  <si>
    <t>Sunday, 01 January 2023</t>
  </si>
  <si>
    <t>Saturday, 31 December 2022</t>
  </si>
  <si>
    <t>Monday, 27 December 2021</t>
  </si>
  <si>
    <t>Friday, 31 December 2021</t>
  </si>
  <si>
    <t>Monday, 25 November 2019</t>
  </si>
  <si>
    <t>Wednesday, 27 November 2019</t>
  </si>
  <si>
    <t>Monday, 18 November 2019</t>
  </si>
  <si>
    <t>Friday, 22 November 2019</t>
  </si>
  <si>
    <t>Vempuluru  Chandrasekhar (1025043)</t>
  </si>
  <si>
    <t>Tuesday, 12 September 2023</t>
  </si>
  <si>
    <t>Monday, 13 March 2023</t>
  </si>
  <si>
    <t>Thursday, 29 December 2022</t>
  </si>
  <si>
    <t>Thursday, 24 November 2022</t>
  </si>
  <si>
    <t>Vidya  K (1023719)</t>
  </si>
  <si>
    <t>Tuesday, 22 August 2023</t>
  </si>
  <si>
    <t>Friday, 19 May 2023</t>
  </si>
  <si>
    <t>Monday, 08 April 2019</t>
  </si>
  <si>
    <t>Tuesday, 09 April 2019</t>
  </si>
  <si>
    <t>Yukesh  (1033125)</t>
  </si>
  <si>
    <t>Aishwarya  Ds (1024946)</t>
  </si>
  <si>
    <t>Thursday, 18 January 2024</t>
  </si>
  <si>
    <t>Shrish Ram Bale (1033831)</t>
  </si>
  <si>
    <t>Wednesday, 03 January 2024</t>
  </si>
  <si>
    <t>Suchismita  Mohanty (1022859)</t>
  </si>
  <si>
    <t>P Thulasi (1026938)</t>
  </si>
  <si>
    <t>Chitturi Sriramya (1028935)</t>
  </si>
  <si>
    <t>Preetam  Patel (1024572)</t>
  </si>
  <si>
    <t>Yokesh Nagaraj (1026937)</t>
  </si>
  <si>
    <t>Karthika  R (1020012)</t>
  </si>
  <si>
    <t>Balam Jyothi (1022134)</t>
  </si>
  <si>
    <t>Sushmitha  M (1027703)</t>
  </si>
  <si>
    <t>Nanubala Komal Raja (1026550)</t>
  </si>
  <si>
    <t>Kalyan Krishna Kora (1033097)</t>
  </si>
  <si>
    <t>Chilakala  Srikanth Reddy (1027289)</t>
  </si>
  <si>
    <t>S Suneetha (1020246)</t>
  </si>
  <si>
    <t>Tuesday, 14 November 2023</t>
  </si>
  <si>
    <t>Thursday, 26 October 2023</t>
  </si>
  <si>
    <t>Wednesday, 18 October 2023</t>
  </si>
  <si>
    <t>Wednesday, 27 September 2023</t>
  </si>
  <si>
    <t>Thursday, 17 August 2023</t>
  </si>
  <si>
    <t>Thursday, 03 August 2023</t>
  </si>
  <si>
    <t>Thursday, 27 July 2023</t>
  </si>
  <si>
    <t>Monday, 24 July 2023</t>
  </si>
  <si>
    <t>Monday, 17 July 2023</t>
  </si>
  <si>
    <t>Thursday, 20 July 2023</t>
  </si>
  <si>
    <t>Friday, 21 July 2023</t>
  </si>
  <si>
    <t>Tuesday, 27 June 2023</t>
  </si>
  <si>
    <t>Thursday, 22 June 2023</t>
  </si>
  <si>
    <t>Tuesday, 13 June 2023</t>
  </si>
  <si>
    <t>Siddanna  (1027766)</t>
  </si>
  <si>
    <t>Wednesday, 08 March 2023</t>
  </si>
  <si>
    <t>Tuesday, 07 March 2023</t>
  </si>
  <si>
    <t>Thursday, 16 February 2023</t>
  </si>
  <si>
    <t>Friday, 17 February 2023</t>
  </si>
  <si>
    <t>Wednesday, 08 February 2023</t>
  </si>
  <si>
    <t>Friday, 13 January 2023</t>
  </si>
  <si>
    <t>Thursday, 08 September 2022</t>
  </si>
  <si>
    <t>Friday, 23 December 2022</t>
  </si>
  <si>
    <t>Tuesday, 13 December 2022</t>
  </si>
  <si>
    <t>Wednesday, 16 November 2022</t>
  </si>
  <si>
    <t>Thursday, 03 November 2022</t>
  </si>
  <si>
    <t>Friday, 04 November 2022</t>
  </si>
  <si>
    <t>Tuesday, 25 October 2022</t>
  </si>
  <si>
    <t>Wednesday, 26 October 2022</t>
  </si>
  <si>
    <t>Wednesday, 12 October 2022</t>
  </si>
  <si>
    <t>Monday, 10 October 2022</t>
  </si>
  <si>
    <t>Friday, 07 October 2022</t>
  </si>
  <si>
    <t>Wednesday, 28 September 2022</t>
  </si>
  <si>
    <t>Tuesday, 23 August 2022</t>
  </si>
  <si>
    <t>Monday, 05 September 2022</t>
  </si>
  <si>
    <t>Wednesday, 17 August 2022</t>
  </si>
  <si>
    <t>Friday, 12 August 2022</t>
  </si>
  <si>
    <t>Thursday, 11 August 2022</t>
  </si>
  <si>
    <t>Thursday, 04 August 2022</t>
  </si>
  <si>
    <t>Wednesday, 27 July 2022</t>
  </si>
  <si>
    <t>Monday, 11 July 2022</t>
  </si>
  <si>
    <t>Thursday, 23 June 2022</t>
  </si>
  <si>
    <t>Friday, 24 June 2022</t>
  </si>
  <si>
    <t>Wednesday, 22 June 2022</t>
  </si>
  <si>
    <t>Monday, 06 June 2022</t>
  </si>
  <si>
    <t>Thursday, 02 June 2022</t>
  </si>
  <si>
    <t>Wednesday, 25 May 2022</t>
  </si>
  <si>
    <t>Tuesday, 01 February 2022</t>
  </si>
  <si>
    <t>Friday, 22 April 2022</t>
  </si>
  <si>
    <t>Thursday, 21 April 2022</t>
  </si>
  <si>
    <t>Monday, 04 April 2022</t>
  </si>
  <si>
    <t>Friday, 04 March 2022</t>
  </si>
  <si>
    <t>Friday, 25 March 2022</t>
  </si>
  <si>
    <t>Wednesday, 09 February 2022</t>
  </si>
  <si>
    <t>Friday, 11 February 2022</t>
  </si>
  <si>
    <t>Wednesday, 12 January 2022</t>
  </si>
  <si>
    <t>Thursday, 13 January 2022</t>
  </si>
  <si>
    <t>Monday, 07 February 2022</t>
  </si>
  <si>
    <t>Friday, 04 February 2022</t>
  </si>
  <si>
    <t>Monday, 03 January 2022</t>
  </si>
  <si>
    <t>Wednesday, 29 December 2021</t>
  </si>
  <si>
    <t>Thursday, 30 December 2021</t>
  </si>
  <si>
    <t>Tuesday, 30 November 2021</t>
  </si>
  <si>
    <t>Tuesday, 28 December 2021</t>
  </si>
  <si>
    <t>Friday, 24 December 2021</t>
  </si>
  <si>
    <t>Wednesday, 22 December 2021</t>
  </si>
  <si>
    <t>Wednesday, 24 November 2021</t>
  </si>
  <si>
    <t>Wednesday, 01 December 2021</t>
  </si>
  <si>
    <t>Thursday, 02 December 2021</t>
  </si>
  <si>
    <t>Friday, 12 November 2021</t>
  </si>
  <si>
    <t>Friday, 05 November 2021</t>
  </si>
  <si>
    <t>Wednesday, 22 September 2021</t>
  </si>
  <si>
    <t>Tuesday, 28 September 2021</t>
  </si>
  <si>
    <t>Wednesday, 15 September 2021</t>
  </si>
  <si>
    <t>Monday, 30 August 2021</t>
  </si>
  <si>
    <t>Wednesday, 11 August 2021</t>
  </si>
  <si>
    <t>Wednesday, 04 August 2021</t>
  </si>
  <si>
    <t>Friday, 06 August 2021</t>
  </si>
  <si>
    <t>Monday, 14 June 2021</t>
  </si>
  <si>
    <t>Wednesday, 26 May 2021</t>
  </si>
  <si>
    <t>Friday, 02 July 2021</t>
  </si>
  <si>
    <t>Pasunoori  Vijaykumar (1024823)</t>
  </si>
  <si>
    <t>Wednesday, 19 May 2021</t>
  </si>
  <si>
    <t>Monday, 05 April 2021</t>
  </si>
  <si>
    <t>Tuesday, 06 April 2021</t>
  </si>
  <si>
    <t>Thursday, 01 April 2021</t>
  </si>
  <si>
    <t>Friday, 07 May 2021</t>
  </si>
  <si>
    <t>Thursday, 18 February 2021</t>
  </si>
  <si>
    <t>Monday, 25 January 2021</t>
  </si>
  <si>
    <t>Monday, 08 February 2021</t>
  </si>
  <si>
    <t>Wednesday, 10 February 2021</t>
  </si>
  <si>
    <t>Thursday, 24 December 2020</t>
  </si>
  <si>
    <t>Monday, 23 November 2020</t>
  </si>
  <si>
    <t>Wednesday, 07 October 2020</t>
  </si>
  <si>
    <t>Thursday, 08 October 2020</t>
  </si>
  <si>
    <t>Thursday, 04 June 2020</t>
  </si>
  <si>
    <t>Wednesday, 26 August 2020</t>
  </si>
  <si>
    <t>Tuesday, 14 July 2020</t>
  </si>
  <si>
    <t>Thursday, 07 May 2020</t>
  </si>
  <si>
    <t>Tuesday, 19 May 2020</t>
  </si>
  <si>
    <t>Wednesday, 22 July 2020</t>
  </si>
  <si>
    <t>Tuesday, 18 August 2020</t>
  </si>
  <si>
    <t>Tuesday, 08 September 2020</t>
  </si>
  <si>
    <t>Monday, 28 September 2020</t>
  </si>
  <si>
    <t>Monday, 06 July 2020</t>
  </si>
  <si>
    <t>Monday, 01 June 2020</t>
  </si>
  <si>
    <t>Monday, 29 June 2020</t>
  </si>
  <si>
    <t>Tuesday, 31 March 2020</t>
  </si>
  <si>
    <t>Tuesday, 21 January 2020</t>
  </si>
  <si>
    <t>Monday, 23 December 2019</t>
  </si>
  <si>
    <t>Thursday, 19 December 2019</t>
  </si>
  <si>
    <t>Friday, 20 December 2019</t>
  </si>
  <si>
    <t>Friday, 30 August 2019</t>
  </si>
  <si>
    <t>Friday, 26 July 2019</t>
  </si>
  <si>
    <t>Thursday, 11 April 2019</t>
  </si>
  <si>
    <t>Friday, 12 April 2019</t>
  </si>
  <si>
    <t>Wednesday, 27 March 2019</t>
  </si>
  <si>
    <t>Obuli  Sundar (1027420)</t>
  </si>
  <si>
    <t>Sarath Madugula (1029527)</t>
  </si>
  <si>
    <t>Amol Ramesh Devkate (1031048)</t>
  </si>
  <si>
    <t>Chiluka Abhilash (1033244)</t>
  </si>
  <si>
    <t>Katta Adhithya (1033255)</t>
  </si>
  <si>
    <t>Sriram Krishnakumar (1033227)</t>
  </si>
  <si>
    <t>Veera Hema Chekkera (1019823)</t>
  </si>
  <si>
    <t>Wednesday, 09 August 2023</t>
  </si>
  <si>
    <t>Tuesday, 18 July 2023</t>
  </si>
  <si>
    <t>Wednesday, 10 May 2023</t>
  </si>
  <si>
    <t>G Clement    (1033626)</t>
  </si>
  <si>
    <t>Kotha Manosree (1033271)</t>
  </si>
  <si>
    <t>Tuesday, 30 May 2023</t>
  </si>
  <si>
    <t>Tuesday, 07 February 2023</t>
  </si>
  <si>
    <t>Thursday, 25 August 2022</t>
  </si>
  <si>
    <t>Tuesday, 06 December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</si>
</sst>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m\-yyyy"/>
    <numFmt numFmtId="165" formatCode="_ [$₹-4009]\ * #,##0.00_ ;_ [$₹-4009]\ * \-#,##0.00_ ;_ [$₹-4009]\ * &quot;-&quot;??_ ;_ @_ "/>
  </numFmts>
  <fonts count="19">
    <font>
      <sz val="11"/>
      <color theme="1"/>
      <name val="HP Simplified"/>
      <family val="2"/>
      <scheme val="minor"/>
    </font>
    <font>
      <sz val="8"/>
      <name val="HP Simplified"/>
      <family val="2"/>
      <scheme val="minor"/>
    </font>
    <font>
      <sz val="10"/>
      <color rgb="FFFF0000"/>
      <name val="Daytona"/>
      <family val="2"/>
    </font>
    <font>
      <sz val="14"/>
      <color theme="1"/>
      <name val="HP Simplified"/>
      <family val="2"/>
      <scheme val="minor"/>
    </font>
    <font>
      <u/>
      <sz val="11"/>
      <color theme="10"/>
      <name val="HP Simplified"/>
      <family val="2"/>
      <scheme val="minor"/>
    </font>
    <font>
      <sz val="11"/>
      <color theme="1" tint="0.499984740745262"/>
      <name val="HP Simplified"/>
      <family val="2"/>
      <scheme val="minor"/>
    </font>
    <font>
      <sz val="14"/>
      <color theme="1" tint="0.499984740745262"/>
      <name val="HP Simplified"/>
      <family val="2"/>
      <scheme val="minor"/>
    </font>
    <font>
      <sz val="11"/>
      <color theme="0"/>
      <name val="HP Simplified"/>
      <family val="2"/>
      <scheme val="minor"/>
    </font>
    <font>
      <sz val="14"/>
      <color theme="0"/>
      <name val="HP Simplified"/>
      <family val="2"/>
      <scheme val="minor"/>
    </font>
    <font>
      <sz val="12"/>
      <color theme="0"/>
      <name val="HP Simplified"/>
      <family val="2"/>
      <scheme val="minor"/>
    </font>
    <font>
      <u/>
      <sz val="14"/>
      <color theme="10"/>
      <name val="HP Simplified"/>
      <family val="2"/>
      <scheme val="minor"/>
    </font>
    <font>
      <i/>
      <sz val="11"/>
      <name val="HP Simplified"/>
      <family val="2"/>
      <scheme val="minor"/>
    </font>
    <font>
      <sz val="9"/>
      <color indexed="81"/>
      <name val="Tahoma"/>
      <family val="2"/>
    </font>
    <font>
      <i/>
      <sz val="11"/>
      <color theme="1"/>
      <name val="HP Simplified"/>
      <family val="2"/>
      <scheme val="minor"/>
    </font>
    <font>
      <sz val="11"/>
      <color rgb="FFFF0000"/>
      <name val="HP Simplified"/>
      <family val="2"/>
      <scheme val="minor"/>
    </font>
    <font>
      <i/>
      <sz val="9"/>
      <color theme="1"/>
      <name val="HP Simplified"/>
      <family val="2"/>
      <scheme val="minor"/>
    </font>
    <font>
      <sz val="11"/>
      <color indexed="8"/>
      <name val="HP Simplified"/>
      <family val="2"/>
      <scheme val="minor"/>
    </font>
    <font>
      <b/>
      <sz val="11"/>
      <color theme="0"/>
      <name val="HP Simplified"/>
      <family val="2"/>
      <scheme val="minor"/>
    </font>
    <font>
      <b/>
      <sz val="11"/>
      <color theme="1"/>
      <name val="HP Simplified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6" fillId="0" borderId="0"/>
  </cellStyleXfs>
  <cellXfs count="52">
    <xf numFmtId="0" fontId="0" fillId="0" borderId="0" xfId="0"/>
    <xf numFmtId="0" fontId="0" fillId="0" borderId="0" xfId="0" applyProtection="1">
      <protection locked="0"/>
    </xf>
    <xf numFmtId="0" fontId="5" fillId="3" borderId="0" xfId="0" applyFont="1" applyFill="1" applyAlignment="1">
      <alignment horizontal="centerContinuous"/>
    </xf>
    <xf numFmtId="0" fontId="6" fillId="3" borderId="0" xfId="0" applyFont="1" applyFill="1" applyAlignment="1">
      <alignment horizontal="centerContinuous"/>
    </xf>
    <xf numFmtId="0" fontId="9" fillId="3" borderId="0" xfId="0" applyFont="1" applyFill="1" applyAlignment="1">
      <alignment horizontal="centerContinuous"/>
    </xf>
    <xf numFmtId="0" fontId="7" fillId="0" borderId="0" xfId="0" applyFont="1"/>
    <xf numFmtId="0" fontId="8" fillId="3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10" fillId="0" borderId="4" xfId="1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0" xfId="0" applyFont="1" applyAlignment="1">
      <alignment horizontal="center"/>
    </xf>
    <xf numFmtId="0" fontId="0" fillId="2" borderId="0" xfId="0" applyFill="1"/>
    <xf numFmtId="164" fontId="0" fillId="0" borderId="0" xfId="0" applyNumberFormat="1" applyProtection="1">
      <protection locked="0"/>
    </xf>
    <xf numFmtId="0" fontId="8" fillId="4" borderId="0" xfId="0" applyFont="1" applyFill="1" applyAlignment="1">
      <alignment horizontal="left" vertical="center"/>
    </xf>
    <xf numFmtId="14" fontId="0" fillId="0" borderId="0" xfId="0" applyNumberForma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0" fillId="4" borderId="0" xfId="0" applyFill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5" fontId="0" fillId="0" borderId="0" xfId="0" applyNumberFormat="1"/>
    <xf numFmtId="0" fontId="0" fillId="5" borderId="0" xfId="0" applyFill="1"/>
    <xf numFmtId="164" fontId="0" fillId="6" borderId="0" xfId="0" applyNumberFormat="1" applyFill="1" applyProtection="1">
      <protection locked="0"/>
    </xf>
    <xf numFmtId="2" fontId="0" fillId="0" borderId="0" xfId="0" applyNumberFormat="1"/>
    <xf numFmtId="0" fontId="17" fillId="7" borderId="7" xfId="0" applyFont="1" applyFill="1" applyBorder="1"/>
    <xf numFmtId="0" fontId="17" fillId="2" borderId="7" xfId="0" applyFont="1" applyFill="1" applyBorder="1"/>
    <xf numFmtId="0" fontId="0" fillId="0" borderId="0" xfId="0" applyAlignment="1">
      <alignment wrapText="1"/>
    </xf>
    <xf numFmtId="0" fontId="17" fillId="7" borderId="8" xfId="0" applyFont="1" applyFill="1" applyBorder="1"/>
    <xf numFmtId="1" fontId="17" fillId="7" borderId="8" xfId="0" applyNumberFormat="1" applyFont="1" applyFill="1" applyBorder="1"/>
    <xf numFmtId="1" fontId="0" fillId="0" borderId="0" xfId="0" applyNumberFormat="1"/>
    <xf numFmtId="1" fontId="0" fillId="8" borderId="0" xfId="0" applyNumberFormat="1" applyFill="1"/>
    <xf numFmtId="10" fontId="17" fillId="7" borderId="8" xfId="0" applyNumberFormat="1" applyFont="1" applyFill="1" applyBorder="1"/>
    <xf numFmtId="165" fontId="17" fillId="7" borderId="8" xfId="0" applyNumberFormat="1" applyFont="1" applyFill="1" applyBorder="1"/>
    <xf numFmtId="165" fontId="0" fillId="0" borderId="0" xfId="0" applyNumberFormat="1"/>
    <xf numFmtId="165" fontId="0" fillId="0" borderId="0" xfId="0" applyNumberFormat="1" applyAlignment="1">
      <alignment wrapText="1"/>
    </xf>
    <xf numFmtId="0" fontId="18" fillId="0" borderId="0" xfId="0" applyFont="1" applyAlignment="1">
      <alignment wrapText="1"/>
    </xf>
    <xf numFmtId="0" fontId="17" fillId="0" borderId="7" xfId="0" applyFont="1" applyBorder="1"/>
    <xf numFmtId="0" fontId="17" fillId="0" borderId="0" xfId="0" applyFont="1"/>
    <xf numFmtId="0" fontId="0" fillId="0" borderId="0" xfId="0" applyAlignment="1">
      <alignment vertical="top" wrapText="1"/>
    </xf>
    <xf numFmtId="1" fontId="0" fillId="9" borderId="9" xfId="0" applyNumberFormat="1" applyFill="1" applyBorder="1"/>
    <xf numFmtId="0" fontId="0" fillId="9" borderId="10" xfId="0" applyFill="1" applyBorder="1"/>
    <xf numFmtId="1" fontId="0" fillId="0" borderId="9" xfId="0" applyNumberFormat="1" applyBorder="1"/>
    <xf numFmtId="0" fontId="0" fillId="0" borderId="10" xfId="0" applyBorder="1"/>
    <xf numFmtId="1" fontId="0" fillId="8" borderId="9" xfId="0" applyNumberFormat="1" applyFill="1" applyBorder="1"/>
    <xf numFmtId="0" fontId="0" fillId="5" borderId="8" xfId="0" applyFill="1" applyBorder="1"/>
    <xf numFmtId="1" fontId="0" fillId="5" borderId="0" xfId="0" applyNumberFormat="1" applyFill="1"/>
  </cellXfs>
  <cellStyles count="3">
    <cellStyle name="Hyperlink" xfId="1" builtinId="8"/>
    <cellStyle name="Normal" xfId="0" builtinId="0"/>
    <cellStyle name="Normal 2" xfId="2" xr:uid="{158AEFF8-DC59-4892-928F-330485E78783}"/>
  </cellStyles>
  <dxfs count="79"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numFmt numFmtId="0" formatCode="General"/>
      <protection locked="0" hidden="0"/>
    </dxf>
    <dxf>
      <protection locked="0" hidden="0"/>
    </dxf>
    <dxf>
      <numFmt numFmtId="164" formatCode="dd\-mmm\-yyyy"/>
      <protection locked="0" hidden="0"/>
    </dxf>
    <dxf>
      <numFmt numFmtId="164" formatCode="dd\-mmm\-yyyy"/>
      <protection locked="0" hidden="0"/>
    </dxf>
    <dxf>
      <protection locked="0" hidden="0"/>
    </dxf>
    <dxf>
      <protection locked="1" hidden="0"/>
    </dxf>
    <dxf>
      <protection locked="1" hidden="0"/>
    </dxf>
    <dxf>
      <numFmt numFmtId="0" formatCode="General"/>
    </dxf>
    <dxf>
      <numFmt numFmtId="165" formatCode="_ [$₹-4009]\ * #,##0.00_ ;_ [$₹-4009]\ * \-#,##0.00_ ;_ [$₹-4009]\ * &quot;-&quot;??_ ;_ @_ "/>
    </dxf>
    <dxf>
      <numFmt numFmtId="0" formatCode="General"/>
    </dxf>
    <dxf>
      <numFmt numFmtId="1" formatCode="0"/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HP Simplified"/>
        <family val="2"/>
        <scheme val="minor"/>
      </font>
      <fill>
        <patternFill patternType="solid">
          <fgColor theme="5"/>
          <bgColor theme="5"/>
        </patternFill>
      </fill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dd\-mmm\-yyyy"/>
      <protection locked="0" hidden="0"/>
    </dxf>
    <dxf>
      <numFmt numFmtId="164" formatCode="dd\-mmm\-yyyy"/>
      <protection locked="0" hidden="0"/>
    </dxf>
    <dxf>
      <numFmt numFmtId="164" formatCode="dd\-mmm\-yyyy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HP Simplified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HP Simplified"/>
        <family val="2"/>
        <scheme val="minor"/>
      </font>
    </dxf>
    <dxf>
      <numFmt numFmtId="164" formatCode="dd\-mmm\-yyyy"/>
    </dxf>
    <dxf>
      <font>
        <strike val="0"/>
        <outline val="0"/>
        <shadow val="0"/>
        <u val="none"/>
        <vertAlign val="baseline"/>
        <sz val="11"/>
        <color auto="1"/>
        <name val="HP Simplified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HP Simplified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HP Simplified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HP Simplified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HP Simplified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HP Simplified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HP Simplified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HP Simplified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HP Simplified"/>
        <family val="2"/>
        <scheme val="minor"/>
      </font>
    </dxf>
    <dxf>
      <font>
        <sz val="11"/>
        <color theme="1"/>
        <name val="Daytona"/>
        <family val="2"/>
        <scheme val="none"/>
      </font>
      <border>
        <vertical/>
        <horizontal/>
      </border>
    </dxf>
    <dxf>
      <font>
        <sz val="8"/>
        <color theme="1"/>
        <name val="Daytona"/>
        <family val="2"/>
        <scheme val="none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1"/>
        <name val="Daytona"/>
        <family val="2"/>
      </font>
      <fill>
        <patternFill patternType="none">
          <bgColor auto="1"/>
        </patternFill>
      </fill>
      <border>
        <bottom style="thin">
          <color theme="7"/>
        </bottom>
        <vertical/>
        <horizontal/>
      </border>
    </dxf>
    <dxf>
      <font>
        <sz val="8"/>
        <color theme="1"/>
        <name val="Daytona"/>
        <family val="2"/>
        <scheme val="none"/>
      </font>
      <fill>
        <patternFill patternType="solid"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Ret_Dash" pivot="0" table="0" count="10" xr9:uid="{4E86B63B-8E8F-4B3F-8C46-49B5C360EAB5}">
      <tableStyleElement type="wholeTable" dxfId="78"/>
      <tableStyleElement type="headerRow" dxfId="77"/>
    </tableStyle>
    <tableStyle name="RetDashTime" pivot="0" table="0" count="9" xr9:uid="{0534EB0F-F46D-41C8-879A-723F85C65BBD}">
      <tableStyleElement type="wholeTable" dxfId="76"/>
      <tableStyleElement type="headerRow" dxfId="75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auto="1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7" tint="0.7999816888943144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Ret_Dash">
        <x14:slicerStyle name="Ret_Dash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7" tint="0.39997558519241921"/>
              <bgColor theme="7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7"/>
              </stop>
              <stop position="1">
                <color theme="7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7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RetDashTime">
        <x15:timelineStyle name="RetDashTime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0959F9-AEA8-4C69-84B5-8E8C3B5B0FB0}" name="T_GENDER" displayName="T_GENDER" ref="B6:B9" totalsRowShown="0" headerRowDxfId="74">
  <autoFilter ref="B6:B9" xr:uid="{CF0959F9-AEA8-4C69-84B5-8E8C3B5B0FB0}">
    <filterColumn colId="0" hiddenButton="1"/>
  </autoFilter>
  <tableColumns count="1">
    <tableColumn id="1" xr3:uid="{0889D398-F85D-42BF-AD66-B0AE8EC91A18}" name="GENDER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003C79-54ED-4AB4-B524-23B98FD733DE}" name="T_HIRESOURCE" displayName="T_HIRESOURCE" ref="D6:D11" totalsRowShown="0" headerRowDxfId="73">
  <autoFilter ref="D6:D11" xr:uid="{9D003C79-54ED-4AB4-B524-23B98FD733DE}">
    <filterColumn colId="0" hiddenButton="1"/>
  </autoFilter>
  <tableColumns count="1">
    <tableColumn id="1" xr3:uid="{F6A00218-C0D0-42EB-86F4-5E41CCDB954D}" name="HIRE SOURCE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0D04B0-F90A-4AFE-894B-AFC40559B012}" name="T_LOCATION" displayName="T_LOCATION" ref="H6:K11" totalsRowShown="0" headerRowDxfId="72">
  <autoFilter ref="H6:K11" xr:uid="{2E0D04B0-F90A-4AFE-894B-AFC40559B012}">
    <filterColumn colId="0" hiddenButton="1"/>
    <filterColumn colId="1" hiddenButton="1"/>
    <filterColumn colId="2" hiddenButton="1"/>
    <filterColumn colId="3" hiddenButton="1"/>
  </autoFilter>
  <tableColumns count="4">
    <tableColumn id="1" xr3:uid="{6E0BBFD3-2803-4FB1-A63D-0BBB096621E2}" name="LOCATION"/>
    <tableColumn id="2" xr3:uid="{C42D1BEB-A48B-4C5B-9A3A-314648B5A138}" name="CITY"/>
    <tableColumn id="3" xr3:uid="{EE7FAFFC-85A2-4B24-82CA-01550D90E37E}" name="STATE"/>
    <tableColumn id="4" xr3:uid="{17ED0749-86CA-4958-815B-399BBE15ACD9}" name="COUNTRY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66A53E-E64B-4C7E-B8E7-70272DBA0404}" name="T_DEPARTMENT" displayName="T_DEPARTMENT" ref="M6:M23" totalsRowShown="0" headerRowDxfId="71">
  <autoFilter ref="M6:M23" xr:uid="{AD66A53E-E64B-4C7E-B8E7-70272DBA0404}">
    <filterColumn colId="0" hiddenButton="1"/>
  </autoFilter>
  <sortState xmlns:xlrd2="http://schemas.microsoft.com/office/spreadsheetml/2017/richdata2" ref="M7:M14">
    <sortCondition ref="M6:M14"/>
  </sortState>
  <tableColumns count="1">
    <tableColumn id="1" xr3:uid="{16863125-E74C-424B-B0B7-6BFDA6048669}" name="DEPARTMENT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EAAA20-EEAC-4018-AAE8-3E296F4F4AD2}" name="T_JOBTYPE" displayName="T_JOBTYPE" ref="O6:O12" totalsRowShown="0" headerRowDxfId="70">
  <autoFilter ref="O6:O12" xr:uid="{5DEAAA20-EEAC-4018-AAE8-3E296F4F4AD2}">
    <filterColumn colId="0" hiddenButton="1"/>
  </autoFilter>
  <tableColumns count="1">
    <tableColumn id="1" xr3:uid="{91CD7407-52D2-4378-9140-91FF3275F786}" name="JOB TYPE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C1984D-507E-4A8B-9FFC-866BA8CE1F94}" name="T_JOBCATEGORY" displayName="T_JOBCATEGORY" ref="Q6:Q50" totalsRowShown="0" headerRowDxfId="69">
  <autoFilter ref="Q6:Q50" xr:uid="{A4C1984D-507E-4A8B-9FFC-866BA8CE1F94}">
    <filterColumn colId="0" hiddenButton="1"/>
  </autoFilter>
  <tableColumns count="1">
    <tableColumn id="1" xr3:uid="{42A2DF82-F97C-4553-863C-943C99CDAD32}" name="JOB CATEGORY"/>
  </tableColumns>
  <tableStyleInfo name="TableStyleMedium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DCDFEC6-0DF5-42D4-BF1B-4757489DCCC0}" name="T_JOBLEVEL" displayName="T_JOBLEVEL" ref="S6:S17" totalsRowShown="0" headerRowDxfId="68">
  <autoFilter ref="S6:S17" xr:uid="{3DCDFEC6-0DF5-42D4-BF1B-4757489DCCC0}">
    <filterColumn colId="0" hiddenButton="1"/>
  </autoFilter>
  <tableColumns count="1">
    <tableColumn id="1" xr3:uid="{37D8D37E-DAF3-48B1-A04D-6D01FC969F29}" name="JOB LEVEL"/>
  </tableColumns>
  <tableStyleInfo name="TableStyleMedium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E2545A0-C191-428B-B6F7-D459999DCF9A}" name="T_JOBTITLE" displayName="T_JOBTITLE" ref="U6:U50" totalsRowShown="0" headerRowDxfId="67">
  <autoFilter ref="U6:U50" xr:uid="{4E2545A0-C191-428B-B6F7-D459999DCF9A}">
    <filterColumn colId="0" hiddenButton="1"/>
  </autoFilter>
  <tableColumns count="1">
    <tableColumn id="1" xr3:uid="{EA12991A-47BB-489F-9855-01623D0C12B2}" name="JOB TITLE"/>
  </tableColumns>
  <tableStyleInfo name="TableStyleMedium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5FE25BE-433B-42FA-AD8A-00A48BE7CA85}" name="T_WEEKENDS" displayName="T_WEEKENDS" ref="X6:Y13" totalsRowShown="0">
  <autoFilter ref="X6:Y13" xr:uid="{15FE25BE-433B-42FA-AD8A-00A48BE7CA85}">
    <filterColumn colId="0" hiddenButton="1"/>
    <filterColumn colId="1" hiddenButton="1"/>
  </autoFilter>
  <tableColumns count="2">
    <tableColumn id="1" xr3:uid="{2C41154D-A941-49E8-A26F-5BD849AAD278}" name="WEEKDAY"/>
    <tableColumn id="2" xr3:uid="{120ABA30-DA41-4B88-A7B0-63355E41E7CB}" name="WEEKEND"/>
  </tableColumns>
  <tableStyleInfo name="TableStyleMedium1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5498D70-8357-4EB7-91C7-C3C7771D981A}" name="T_HOLS" displayName="T_HOLS" ref="X16:Z26" totalsRowShown="0" headerRowDxfId="66">
  <autoFilter ref="X16:Z26" xr:uid="{25498D70-8357-4EB7-91C7-C3C7771D981A}">
    <filterColumn colId="0" hiddenButton="1"/>
    <filterColumn colId="1" hiddenButton="1"/>
    <filterColumn colId="2" hiddenButton="1"/>
  </autoFilter>
  <tableColumns count="3">
    <tableColumn id="1" xr3:uid="{921EF349-A1EF-44CC-806D-A2D283FD4007}" name="DATE" dataDxfId="65"/>
    <tableColumn id="2" xr3:uid="{B97880FB-409F-497D-8B60-0E4B74478B97}" name="HOLIDAY NAME"/>
    <tableColumn id="3" xr3:uid="{3E2278BB-3134-41DE-97B7-14CF6EAF4E0F}" name="Holiday Type"/>
  </tableColumns>
  <tableStyleInfo name="TableStyleMedium1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9C6C4E7-0626-4F42-AFFB-AFF217E80C33}" name="T_LEAVE_TYPES" displayName="T_LEAVE_TYPES" ref="AA6:AB14" totalsRowShown="0" headerRowDxfId="64">
  <autoFilter ref="AA6:AB14" xr:uid="{B9C6C4E7-0626-4F42-AFFB-AFF217E80C33}">
    <filterColumn colId="0" hiddenButton="1"/>
    <filterColumn colId="1" hiddenButton="1"/>
  </autoFilter>
  <tableColumns count="2">
    <tableColumn id="1" xr3:uid="{CE28466F-8C0C-49DC-A831-3507349E3F96}" name="LEAVE TYPE"/>
    <tableColumn id="2" xr3:uid="{9BD6D6F1-383F-4024-8E39-104DB1B20CCF}" name="SYMBOL"/>
  </tableColumns>
  <tableStyleInfo name="TableStyleMedium1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6B22B05-5F48-4B82-8681-B72782AEBD33}" name="T_ETHNICITY" displayName="T_ETHNICITY" ref="F6:F12" totalsRowShown="0" headerRowDxfId="63">
  <autoFilter ref="F6:F12" xr:uid="{26B22B05-5F48-4B82-8681-B72782AEBD33}">
    <filterColumn colId="0" hiddenButton="1"/>
  </autoFilter>
  <sortState xmlns:xlrd2="http://schemas.microsoft.com/office/spreadsheetml/2017/richdata2" ref="F7:F12">
    <sortCondition ref="F7:F12"/>
  </sortState>
  <tableColumns count="1">
    <tableColumn id="1" xr3:uid="{58DEB88B-38C6-40BF-980D-1C53D0B8C815}" name="ETHNICITY"/>
  </tableColumns>
  <tableStyleInfo name="TableStyleMedium1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D741F1-FCBA-4ABD-9C9F-83C5F75069CF}" name="T_EMPLOYEES" displayName="T_EMPLOYEES" ref="A3:AP593" totalsRowShown="0" headerRowDxfId="62" dataDxfId="61">
  <autoFilter ref="A3:AP593" xr:uid="{9AD741F1-FCBA-4ABD-9C9F-83C5F75069CF}"/>
  <tableColumns count="42">
    <tableColumn id="1" xr3:uid="{85474156-2956-4966-83C6-08B42E7B7914}" name="EMPLOYEE FIRST NAME" dataDxfId="60"/>
    <tableColumn id="10" xr3:uid="{0906E77C-15E9-4F4B-A198-A164B272F02C}" name="EMPLOYEE LAST NAME" dataDxfId="59"/>
    <tableColumn id="2" xr3:uid="{C0A68CF0-DB99-47E8-9EFA-0A38762DE942}" name="EMPLOYEE NUMBER" dataDxfId="58"/>
    <tableColumn id="3" xr3:uid="{5C1ED925-210B-4B59-866C-53FB042F94F2}" name="EMAIL" dataDxfId="57"/>
    <tableColumn id="4" xr3:uid="{9D981274-66ED-4A6B-8A90-15CA13E86FC7}" name="DATE OF BIRTH" dataDxfId="56"/>
    <tableColumn id="5" xr3:uid="{0C13F531-661C-4338-916F-2A8967DDC0A2}" name="START DATE" dataDxfId="55"/>
    <tableColumn id="31" xr3:uid="{1D5C24C3-A0AA-44C0-BB4B-470ADDED2656}" name="EXIT DATE" dataDxfId="54"/>
    <tableColumn id="7" xr3:uid="{AFFD6B32-4026-49C8-B38B-14515A7F5E75}" name="GENDER" dataDxfId="53"/>
    <tableColumn id="13" xr3:uid="{EA3F16B3-AA03-4206-A4B6-0DCFC18B9869}" name="ETHNICITY" dataDxfId="52"/>
    <tableColumn id="8" xr3:uid="{E6AC4F12-0EA7-4999-8476-644AC5A33910}" name="HIRE SOURCE" dataDxfId="51"/>
    <tableColumn id="23" xr3:uid="{9EE6444B-7F16-4FCE-808C-0A4D859B1783}" name="LOCATION" dataDxfId="50"/>
    <tableColumn id="19" xr3:uid="{E181AA08-ECFC-4863-AF31-B1D36F06D44D}" name="DEPARTMENT" dataDxfId="49"/>
    <tableColumn id="20" xr3:uid="{C0C3BA51-D39F-4741-8834-0C6D03337876}" name="JOB TYPE" dataDxfId="48"/>
    <tableColumn id="21" xr3:uid="{691394FE-BC21-4986-92D5-0EEC0D459830}" name="JOB CATEGORY" dataDxfId="47"/>
    <tableColumn id="22" xr3:uid="{F4066BA6-06EB-400D-8BEB-2404C9341870}" name="JOB LEVEL" dataDxfId="46"/>
    <tableColumn id="15" xr3:uid="{18D73337-47EB-42D6-9DAB-213F616D4294}" name="JOB TITLE" dataDxfId="45"/>
    <tableColumn id="16" xr3:uid="{DA41AF6E-433B-4FE3-889B-B41E75E6EC09}" name="MANAGER" dataDxfId="44"/>
    <tableColumn id="17" xr3:uid="{E5B2A6E3-064D-4622-943D-1FC0D4CDDC86}" name="Prior EXPERIENCE1" dataDxfId="43"/>
    <tableColumn id="18" xr3:uid="{03DD73C8-68EC-424B-8BDA-159ACE3F6860}" name="EMP_CTC1" dataDxfId="42"/>
    <tableColumn id="42" xr3:uid="{4BA96C7E-2AB6-4219-8282-58A4803104E2}" name="M_Salary" dataDxfId="41">
      <calculatedColumnFormula>ROUND(T_EMPLOYEES[[#This Row],[EMP_CTC1]]/12, 0)</calculatedColumnFormula>
    </tableColumn>
    <tableColumn id="39" xr3:uid="{4D4B7959-C6DA-4ABF-8156-BC031AFE07C5}" name="Prev_CTC2" dataDxfId="40"/>
    <tableColumn id="40" xr3:uid="{25948AE7-6239-4344-A829-1896EF1139B8}" name="State" dataDxfId="39"/>
    <tableColumn id="41" xr3:uid="{A589675B-AB8E-4668-BE35-2B0D0DAF797F}" name="Project Working" dataDxfId="38"/>
    <tableColumn id="6" xr3:uid="{5A860E05-BC63-43A5-91A4-DCD89685AF2B}" name="EMPLOYEE LABEL" dataDxfId="37">
      <calculatedColumnFormula>IFERROR(IF(T_EMPLOYEES[[#This Row],[EMPLOYEE FIRST NAME]]="","",T_EMPLOYEES[[#This Row],[EMPLOYEE FIRST NAME]]&amp;" "&amp;T_EMPLOYEES[[#This Row],[EMPLOYEE LAST NAME]]&amp;" ("&amp;T_EMPLOYEES[[#This Row],[EMPLOYEE NUMBER]]&amp;")"),"")</calculatedColumnFormula>
    </tableColumn>
    <tableColumn id="37" xr3:uid="{91FB1942-7241-4845-A276-6680C7CB911F}" name="Last_Bonus"/>
    <tableColumn id="38" xr3:uid="{D472AEE2-B575-403D-8773-8A4E4909D6A3}" name="Hike_Percentage"/>
    <tableColumn id="9" xr3:uid="{E6E5D15D-EEC5-4ECC-90E3-44FE945B9FB7}" name="EMPLOYEE SYS ID" dataDxfId="36">
      <calculatedColumnFormula>IF(T_EMPLOYEES[[#This Row],[EMPLOYEE NUMBER]]="","",ROW(T_EMPLOYEES[[#This Row],[EMPLOYEE LABEL]])-ROW(T_EMPLOYEES[[#Headers],[EMPLOYEE LABEL]]))</calculatedColumnFormula>
    </tableColumn>
    <tableColumn id="36" xr3:uid="{394A3B8E-5FF1-4D12-9060-5FF5CC9AFB9C}" name="EMPLOYEE NUM ERROR" dataDxfId="35">
      <calculatedColumnFormula>IF(T_EMPLOYEES[[#This Row],[EMPLOYEE NUMBER]]="","",IF(COUNTIF(T_EMPLOYEES[EMPLOYEE NUMBER],T_EMPLOYEES[[#This Row],[EMPLOYEE NUMBER]])&gt;1,1,0))</calculatedColumnFormula>
    </tableColumn>
    <tableColumn id="34" xr3:uid="{5BABFBB9-3018-4F1F-BFB3-07BDA8A9C97B}" name="DOB DV" dataDxfId="34">
      <calculatedColumnFormula>IF(T_EMPLOYEES[[#This Row],[EMPLOYEE NUMBER]]="","",IF(AND(T_EMPLOYEES[[#This Row],[DATE OF BIRTH]]&gt;0,T_EMPLOYEES[[#This Row],[DATE OF BIRTH]]&lt;TODAY()),0,1))</calculatedColumnFormula>
    </tableColumn>
    <tableColumn id="35" xr3:uid="{6549AB39-FDF9-4B18-9FBC-D4972B2CA832}" name="START DATE DV" dataDxfId="33">
      <calculatedColumnFormula>IF(T_EMPLOYEES[[#This Row],[EMPLOYEE NUMBER]]="","",IF(AND(T_EMPLOYEES[[#This Row],[START DATE]]&gt;0,T_EMPLOYEES[[#This Row],[START DATE]]&lt;TODAY()+60),0,1))</calculatedColumnFormula>
    </tableColumn>
    <tableColumn id="11" xr3:uid="{97E6CF22-48DB-4F20-AEC7-4592DA4A84D8}" name="GENDER SYS ID" dataDxfId="32">
      <calculatedColumnFormula>IF(T_EMPLOYEES[[#This Row],[EMPLOYEE NUMBER]]="","",MATCH(T_EMPLOYEES[[#This Row],[GENDER]],L_GENDER,0))</calculatedColumnFormula>
    </tableColumn>
    <tableColumn id="12" xr3:uid="{B1954B98-3E64-47F2-98F1-4F12630D699D}" name="HIRE SOURCE SYS ID" dataDxfId="31">
      <calculatedColumnFormula>IF(T_EMPLOYEES[[#This Row],[EMPLOYEE NUMBER]]="","",MATCH(T_EMPLOYEES[[#This Row],[HIRE SOURCE]],L_HIRESOURCE,0))</calculatedColumnFormula>
    </tableColumn>
    <tableColumn id="14" xr3:uid="{B878F3AE-7954-4271-84BB-A8F649C73E4A}" name="ETHNICITY SYS ID" dataDxfId="30">
      <calculatedColumnFormula>IF(T_EMPLOYEES[[#This Row],[EMPLOYEE NUMBER]]="","",MATCH(T_EMPLOYEES[[#This Row],[ETHNICITY]],L_ETHNICITY,0))</calculatedColumnFormula>
    </tableColumn>
    <tableColumn id="24" xr3:uid="{7FE6372C-1C37-4AB5-9A61-36D04C0822C6}" name="LOCATION SYS ID" dataDxfId="29">
      <calculatedColumnFormula>IF(T_EMPLOYEES[[#This Row],[EMPLOYEE NUMBER]]="","",MATCH(T_EMPLOYEES[[#This Row],[LOCATION]],L_LOCATION,0))</calculatedColumnFormula>
    </tableColumn>
    <tableColumn id="25" xr3:uid="{089C21F8-2D41-40BB-BF54-91A5EA6AC522}" name="DEPARTMENT SYS ID" dataDxfId="28">
      <calculatedColumnFormula>IF(T_EMPLOYEES[[#This Row],[EMPLOYEE NUMBER]]="","",MATCH(T_EMPLOYEES[[#This Row],[DEPARTMENT]],L_DEPARTMENT,0))</calculatedColumnFormula>
    </tableColumn>
    <tableColumn id="26" xr3:uid="{92D9583D-2080-44AE-B0F0-6E6E497526A5}" name="JOB TYPE SYS ID" dataDxfId="27">
      <calculatedColumnFormula>IF(T_EMPLOYEES[[#This Row],[EMPLOYEE NUMBER]]="","",MATCH(T_EMPLOYEES[[#This Row],[JOB TYPE]],L_JOBTYPE,0))</calculatedColumnFormula>
    </tableColumn>
    <tableColumn id="27" xr3:uid="{6EF6BFD5-9E06-451E-A7B6-C53CD78D0FD0}" name="JOB CATEGORY SYS ID" dataDxfId="26">
      <calculatedColumnFormula>IF(T_EMPLOYEES[[#This Row],[EMPLOYEE NUMBER]]="","",MATCH(T_EMPLOYEES[[#This Row],[JOB CATEGORY]],L_JOBCATEGORY,0))</calculatedColumnFormula>
    </tableColumn>
    <tableColumn id="28" xr3:uid="{C289FBD4-0FC4-4594-B254-BF3C4ADFF8E7}" name="JOB LEVEL SYS ID" dataDxfId="25">
      <calculatedColumnFormula>IF(T_EMPLOYEES[[#This Row],[EMPLOYEE NUMBER]]="","",MATCH(T_EMPLOYEES[[#This Row],[JOB LEVEL]],L_JOBLEVEL,0))</calculatedColumnFormula>
    </tableColumn>
    <tableColumn id="29" xr3:uid="{D83CB5C8-58C6-4C74-972E-C822FFFDB76E}" name="JOB TITLE SYS ID" dataDxfId="24">
      <calculatedColumnFormula>IF(T_EMPLOYEES[[#This Row],[EMPLOYEE NUMBER]]="","",MATCH(T_EMPLOYEES[[#This Row],[JOB TITLE]],L_JOBTITLE,0))</calculatedColumnFormula>
    </tableColumn>
    <tableColumn id="30" xr3:uid="{33368AE4-6A65-4900-8094-091F90AF70A9}" name="MANAGER EMP SYS ID" dataDxfId="23">
      <calculatedColumnFormula>IF(T_EMPLOYEES[[#This Row],[EMPLOYEE NUMBER]]="","",MATCH(T_EMPLOYEES[[#This Row],[MANAGER]],L_EMPLABELS,0))</calculatedColumnFormula>
    </tableColumn>
    <tableColumn id="33" xr3:uid="{FEF56DD5-FE40-4EEC-9CAB-CA76719E2FBD}" name="ERROR IND" dataDxfId="22">
      <calculatedColumnFormula>IF(T_EMPLOYEES[[#This Row],[EMPLOYEE NUMBER]]="","",IF(T_EMPLOYEES[[#This Row],[ERROR]]="",0,1))</calculatedColumnFormula>
    </tableColumn>
    <tableColumn id="32" xr3:uid="{92086D07-73A5-438B-8108-9B875441CF37}" name="ERROR" dataDxfId="21">
      <calculatedColumnFormula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calculatedColumnFormula>
    </tableColumn>
  </tableColumns>
  <tableStyleInfo name="TableStyleMedium1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1A1D14-761C-4D61-8CE4-783813D17334}" name="Table1" displayName="Table1" ref="A1:K56" totalsRowShown="0" headerRowDxfId="20" headerRowBorderDxfId="18" tableBorderDxfId="19">
  <autoFilter ref="A1:K56" xr:uid="{E11A1D14-761C-4D61-8CE4-783813D17334}"/>
  <tableColumns count="11">
    <tableColumn id="1" xr3:uid="{3AB19097-3AC0-4954-888D-433485E245AC}" name="EMPLOYEE NUMBER" dataDxfId="17"/>
    <tableColumn id="2" xr3:uid="{3F5657EB-1556-4C9C-B8BF-9D3219D6DC60}" name="Year"/>
    <tableColumn id="3" xr3:uid="{9E862622-BA61-48EB-8088-C383013343DE}" name="Base_Salary"/>
    <tableColumn id="4" xr3:uid="{82D5431A-1E77-4641-B37D-4ABCE5191BE9}" name="Bonus"/>
    <tableColumn id="5" xr3:uid="{A1371228-FCF4-46B3-8E9A-C811FC8F002E}" name="Perks"/>
    <tableColumn id="6" xr3:uid="{B066281E-6F82-4313-AF32-5805E0ACD6CB}" name="Other_Comp"/>
    <tableColumn id="10" xr3:uid="{57D0D8D5-8A9E-45D4-9281-8F06FB46C620}" name="Is_Promotion"/>
    <tableColumn id="11" xr3:uid="{E43FD9A0-6FBC-4023-AEF2-DD1E4951E6EB}" name="Prom_Eve_Date"/>
    <tableColumn id="9" xr3:uid="{413C4666-66D7-4B6B-BCF8-0D1144AD27F7}" name="M_Salary" dataDxfId="16">
      <calculatedColumnFormula>ROUND(Table1[[#This Row],[Base_Salary]]/12, 0)</calculatedColumnFormula>
    </tableColumn>
    <tableColumn id="7" xr3:uid="{CBED88FA-9408-4139-850C-A6186B4D93C8}" name="Total_CTC" dataDxfId="15">
      <calculatedColumnFormula>SUM(Table1[[#This Row],[Base_Salary]], Table1[[#This Row],[Bonus]], Table1[[#This Row],[Perks]], Table1[[#This Row],[Other_Comp]])</calculatedColumnFormula>
    </tableColumn>
    <tableColumn id="8" xr3:uid="{4C43B98C-D41C-49C4-85D6-B76896105744}" name="Hike" dataDxfId="14">
      <calculatedColumnFormula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EA0EFDC-1498-42D4-9383-538490705ED3}" name="T_LEAVE" displayName="T_LEAVE" ref="A3:L802" totalsRowShown="0" headerRowDxfId="13" dataDxfId="12">
  <autoFilter ref="A3:L802" xr:uid="{5EA0EFDC-1498-42D4-9383-538490705ED3}"/>
  <tableColumns count="12">
    <tableColumn id="1" xr3:uid="{7C55203B-387C-4410-A3E9-2605B8574D2B}" name="EMPLOYEE" dataDxfId="11"/>
    <tableColumn id="2" xr3:uid="{83FC257E-2022-4D7C-B1F1-92E7A236BAE9}" name="START DATE" dataDxfId="10"/>
    <tableColumn id="3" xr3:uid="{F7975350-E940-48A8-A2A3-98A606ACF00A}" name="END DATE" dataDxfId="9"/>
    <tableColumn id="5" xr3:uid="{2D0BD1CC-4881-49B6-9922-31E9800D7F5C}" name="LEAVE TYPE" dataDxfId="8"/>
    <tableColumn id="12" xr3:uid="{24274603-3BB7-4963-B2AB-727681634E16}" name="DAY VALUE" dataDxfId="7"/>
    <tableColumn id="10" xr3:uid="{60A6E712-6A60-4FC7-A7FA-4833137F826F}" name="MY LEAVE COLUMN 1" dataDxfId="6"/>
    <tableColumn id="11" xr3:uid="{13BAC928-52EB-4651-86A1-85F18F09E09F}" name="MY LEAVE COLUMN 2" dataDxfId="5"/>
    <tableColumn id="4" xr3:uid="{81B08577-09AB-481C-9B1A-CC362823BF4C}" name="EMPLOYEE SYS ID" dataDxfId="4">
      <calculatedColumnFormula>IF(T_LEAVE[[#This Row],[EMPLOYEE]]="","",MATCH(T_LEAVE[[#This Row],[EMPLOYEE]],L_EMPLABELS,0))</calculatedColumnFormula>
    </tableColumn>
    <tableColumn id="6" xr3:uid="{5BB2076B-9FEA-45BB-AD05-E760776E589F}" name="LEAVE TYPE SYS ID" dataDxfId="3">
      <calculatedColumnFormula>IF(T_LEAVE[[#This Row],[EMPLOYEE]]="","",MATCH(T_LEAVE[[#This Row],[LEAVE TYPE]],L_LEAVETYPES,0))</calculatedColumnFormula>
    </tableColumn>
    <tableColumn id="7" xr3:uid="{5735772E-6D44-4DB0-9BCD-469E719AA9DA}" name="LEAVE TYPE SYMBOL" dataDxfId="2">
      <calculatedColumnFormula array="1">IFERROR(INDEX(T_LEAVE_TYPES[SYMBOL],T_LEAVE[[#This Row],[LEAVE TYPE SYS ID]]),"")</calculatedColumnFormula>
    </tableColumn>
    <tableColumn id="9" xr3:uid="{D98B1F78-EB7A-4E0B-9272-FB184D4C2F6B}" name="ERROR IND" dataDxfId="1">
      <calculatedColumnFormula>IF(T_LEAVE[[#This Row],[EMPLOYEE]]="","",IF(T_LEAVE[[#This Row],[ERROR]]="",0,1))</calculatedColumnFormula>
    </tableColumn>
    <tableColumn id="8" xr3:uid="{19D22090-7ACB-4590-A66A-2A466770624A}" name="ERROR" dataDxfId="0">
      <calculatedColumnFormula array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OWERHR">
      <a:dk1>
        <a:srgbClr val="332C2D"/>
      </a:dk1>
      <a:lt1>
        <a:sysClr val="window" lastClr="FFFFFF"/>
      </a:lt1>
      <a:dk2>
        <a:srgbClr val="6A4C37"/>
      </a:dk2>
      <a:lt2>
        <a:srgbClr val="ECE0D1"/>
      </a:lt2>
      <a:accent1>
        <a:srgbClr val="ECE0D1"/>
      </a:accent1>
      <a:accent2>
        <a:srgbClr val="6A4C37"/>
      </a:accent2>
      <a:accent3>
        <a:srgbClr val="FAB944"/>
      </a:accent3>
      <a:accent4>
        <a:srgbClr val="DD6B7F"/>
      </a:accent4>
      <a:accent5>
        <a:srgbClr val="58CBB5"/>
      </a:accent5>
      <a:accent6>
        <a:srgbClr val="485A6F"/>
      </a:accent6>
      <a:hlink>
        <a:srgbClr val="034A90"/>
      </a:hlink>
      <a:folHlink>
        <a:srgbClr val="954F72"/>
      </a:folHlink>
    </a:clrScheme>
    <a:fontScheme name="PowerHR">
      <a:majorFont>
        <a:latin typeface="Verdana"/>
        <a:ea typeface=""/>
        <a:cs typeface=""/>
      </a:majorFont>
      <a:minorFont>
        <a:latin typeface="HP Simplifie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0AF3-5C3D-48A5-96F8-213BC76F9705}">
  <dimension ref="B1:C17"/>
  <sheetViews>
    <sheetView showGridLines="0" workbookViewId="0">
      <selection activeCell="B1" sqref="B1"/>
    </sheetView>
  </sheetViews>
  <sheetFormatPr defaultRowHeight="14.1"/>
  <cols>
    <col min="1" max="1" width="2.625" customWidth="1"/>
    <col min="2" max="2" width="73" bestFit="1" customWidth="1"/>
    <col min="3" max="3" width="6.625" customWidth="1"/>
  </cols>
  <sheetData>
    <row r="1" spans="2:3" ht="20.100000000000001" customHeight="1">
      <c r="B1" s="6" t="s">
        <v>0</v>
      </c>
      <c r="C1" s="7" t="s">
        <v>1</v>
      </c>
    </row>
    <row r="2" spans="2:3" ht="17.45">
      <c r="B2" s="8"/>
      <c r="C2" s="9"/>
    </row>
    <row r="3" spans="2:3" ht="17.45">
      <c r="B3" s="8"/>
      <c r="C3" s="9"/>
    </row>
    <row r="4" spans="2:3" ht="17.45">
      <c r="B4" s="8" t="s">
        <v>2</v>
      </c>
      <c r="C4" s="9"/>
    </row>
    <row r="5" spans="2:3" ht="17.45">
      <c r="B5" s="8" t="s">
        <v>3</v>
      </c>
      <c r="C5" s="9"/>
    </row>
    <row r="6" spans="2:3" ht="17.45">
      <c r="B6" s="8"/>
      <c r="C6" s="9"/>
    </row>
    <row r="7" spans="2:3" ht="17.45">
      <c r="B7" s="8"/>
      <c r="C7" s="9"/>
    </row>
    <row r="8" spans="2:3" ht="17.45">
      <c r="B8" s="8" t="s">
        <v>4</v>
      </c>
      <c r="C8" s="9"/>
    </row>
    <row r="9" spans="2:3" ht="17.45">
      <c r="B9" t="s">
        <v>5</v>
      </c>
      <c r="C9" s="10"/>
    </row>
    <row r="10" spans="2:3" ht="17.45">
      <c r="B10" s="8"/>
      <c r="C10" s="9"/>
    </row>
    <row r="11" spans="2:3" ht="17.45">
      <c r="B11" s="8"/>
      <c r="C11" s="9"/>
    </row>
    <row r="12" spans="2:3" ht="17.45">
      <c r="B12" s="8"/>
      <c r="C12" s="9"/>
    </row>
    <row r="13" spans="2:3" ht="17.45">
      <c r="B13" s="8"/>
      <c r="C13" s="9"/>
    </row>
    <row r="14" spans="2:3" ht="17.45">
      <c r="B14" s="8"/>
      <c r="C14" s="9"/>
    </row>
    <row r="15" spans="2:3" ht="17.45">
      <c r="B15" s="8"/>
      <c r="C15" s="9"/>
    </row>
    <row r="16" spans="2:3" ht="17.45">
      <c r="B16" s="8"/>
      <c r="C16" s="9"/>
    </row>
    <row r="17" spans="2:3" ht="18" thickBot="1">
      <c r="B17" s="11"/>
      <c r="C17" s="1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DFD2-1244-4410-946D-4A1B70DB4CCB}">
  <dimension ref="A1:AC50"/>
  <sheetViews>
    <sheetView showGridLines="0" topLeftCell="I1" zoomScaleNormal="100" workbookViewId="0">
      <selection activeCell="X27" sqref="X27"/>
    </sheetView>
  </sheetViews>
  <sheetFormatPr defaultRowHeight="14.25"/>
  <cols>
    <col min="1" max="1" width="3.5" customWidth="1"/>
    <col min="2" max="2" width="8.875" customWidth="1"/>
    <col min="3" max="3" width="2.625" customWidth="1"/>
    <col min="4" max="4" width="14.125" customWidth="1"/>
    <col min="5" max="5" width="2.625" customWidth="1"/>
    <col min="6" max="6" width="35.125" customWidth="1"/>
    <col min="7" max="7" width="2.625" customWidth="1"/>
    <col min="8" max="11" width="15.125" customWidth="1"/>
    <col min="12" max="12" width="3.625" customWidth="1"/>
    <col min="13" max="13" width="24" customWidth="1"/>
    <col min="14" max="14" width="3.625" customWidth="1"/>
    <col min="15" max="15" width="18.5" customWidth="1"/>
    <col min="16" max="16" width="3.625" customWidth="1"/>
    <col min="17" max="17" width="27.5" customWidth="1"/>
    <col min="18" max="18" width="3.625" customWidth="1"/>
    <col min="19" max="19" width="22.125" customWidth="1"/>
    <col min="20" max="20" width="3.625" customWidth="1"/>
    <col min="21" max="21" width="30.5" customWidth="1"/>
    <col min="22" max="23" width="2.625" customWidth="1"/>
    <col min="24" max="24" width="15.5" customWidth="1"/>
    <col min="25" max="25" width="17.75" customWidth="1"/>
    <col min="26" max="26" width="11.75" bestFit="1" customWidth="1"/>
    <col min="27" max="27" width="19" customWidth="1"/>
    <col min="28" max="28" width="12.625" customWidth="1"/>
    <col min="29" max="29" width="2.625" customWidth="1"/>
    <col min="31" max="34" width="6.375"/>
    <col min="35" max="36" width="9.625"/>
  </cols>
  <sheetData>
    <row r="1" spans="1:29" ht="20.100000000000001" customHeight="1">
      <c r="A1" s="16" t="s">
        <v>6</v>
      </c>
      <c r="B1" s="23"/>
      <c r="C1" s="23"/>
    </row>
    <row r="2" spans="1:29" ht="14.1">
      <c r="B2" s="21" t="s">
        <v>7</v>
      </c>
    </row>
    <row r="4" spans="1:29" ht="17.45">
      <c r="B4" s="4" t="s">
        <v>8</v>
      </c>
      <c r="C4" s="2"/>
      <c r="D4" s="2"/>
      <c r="E4" s="2"/>
      <c r="F4" s="2"/>
      <c r="H4" s="4" t="s">
        <v>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X4" s="4" t="s">
        <v>10</v>
      </c>
      <c r="Y4" s="2"/>
      <c r="Z4" s="2"/>
      <c r="AA4" s="2"/>
      <c r="AB4" s="2"/>
    </row>
    <row r="5" spans="1:29" ht="14.1">
      <c r="B5" s="22" t="s">
        <v>11</v>
      </c>
      <c r="C5" s="22"/>
      <c r="D5" s="22" t="s">
        <v>12</v>
      </c>
      <c r="E5" s="22"/>
      <c r="F5" s="22" t="s">
        <v>13</v>
      </c>
      <c r="G5" s="22"/>
      <c r="H5" s="22" t="s">
        <v>14</v>
      </c>
      <c r="I5" s="22" t="s">
        <v>15</v>
      </c>
      <c r="J5" s="22" t="s">
        <v>16</v>
      </c>
      <c r="K5" s="22" t="s">
        <v>17</v>
      </c>
      <c r="L5" s="22"/>
      <c r="M5" s="22" t="s">
        <v>18</v>
      </c>
      <c r="N5" s="22"/>
      <c r="O5" s="22" t="s">
        <v>19</v>
      </c>
      <c r="P5" s="22"/>
      <c r="Q5" s="22" t="s">
        <v>20</v>
      </c>
      <c r="R5" s="22"/>
      <c r="S5" s="22" t="s">
        <v>21</v>
      </c>
      <c r="T5" s="22"/>
      <c r="U5" s="22" t="s">
        <v>22</v>
      </c>
      <c r="V5" s="22"/>
      <c r="W5" s="22"/>
      <c r="X5" s="22" t="s">
        <v>23</v>
      </c>
      <c r="Y5" s="22" t="s">
        <v>24</v>
      </c>
      <c r="Z5" s="22"/>
      <c r="AA5" s="22" t="s">
        <v>25</v>
      </c>
      <c r="AB5" s="22" t="s">
        <v>26</v>
      </c>
      <c r="AC5" s="22"/>
    </row>
    <row r="6" spans="1:29">
      <c r="B6" s="5" t="s">
        <v>11</v>
      </c>
      <c r="D6" s="5" t="s">
        <v>12</v>
      </c>
      <c r="F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M6" s="5" t="s">
        <v>18</v>
      </c>
      <c r="O6" s="5" t="s">
        <v>19</v>
      </c>
      <c r="Q6" s="5" t="s">
        <v>20</v>
      </c>
      <c r="S6" s="5" t="s">
        <v>21</v>
      </c>
      <c r="U6" s="5" t="s">
        <v>22</v>
      </c>
      <c r="X6" s="5" t="s">
        <v>23</v>
      </c>
      <c r="Y6" s="5" t="s">
        <v>24</v>
      </c>
      <c r="AA6" s="5" t="s">
        <v>25</v>
      </c>
      <c r="AB6" s="5" t="s">
        <v>26</v>
      </c>
    </row>
    <row r="7" spans="1:29">
      <c r="B7" t="s">
        <v>27</v>
      </c>
      <c r="D7" t="s">
        <v>28</v>
      </c>
      <c r="F7" t="s">
        <v>29</v>
      </c>
      <c r="H7" t="s">
        <v>30</v>
      </c>
      <c r="I7" t="s">
        <v>30</v>
      </c>
      <c r="J7" t="s">
        <v>31</v>
      </c>
      <c r="K7" t="s">
        <v>32</v>
      </c>
      <c r="M7" t="s">
        <v>33</v>
      </c>
      <c r="O7" t="s">
        <v>34</v>
      </c>
      <c r="Q7" s="1" t="s">
        <v>35</v>
      </c>
      <c r="S7" t="s">
        <v>36</v>
      </c>
      <c r="U7" t="s">
        <v>35</v>
      </c>
      <c r="X7" t="s">
        <v>37</v>
      </c>
      <c r="Y7">
        <v>1</v>
      </c>
      <c r="AA7" t="s">
        <v>38</v>
      </c>
      <c r="AB7" t="s">
        <v>39</v>
      </c>
    </row>
    <row r="8" spans="1:29">
      <c r="B8" t="s">
        <v>40</v>
      </c>
      <c r="D8" t="s">
        <v>41</v>
      </c>
      <c r="F8" t="s">
        <v>42</v>
      </c>
      <c r="H8" s="1" t="s">
        <v>43</v>
      </c>
      <c r="I8" t="s">
        <v>43</v>
      </c>
      <c r="J8" t="s">
        <v>44</v>
      </c>
      <c r="K8" t="s">
        <v>32</v>
      </c>
      <c r="M8" t="s">
        <v>45</v>
      </c>
      <c r="O8" t="s">
        <v>46</v>
      </c>
      <c r="Q8" t="s">
        <v>47</v>
      </c>
      <c r="S8" t="s">
        <v>48</v>
      </c>
      <c r="U8" t="s">
        <v>47</v>
      </c>
      <c r="X8" t="s">
        <v>49</v>
      </c>
      <c r="Y8">
        <v>0</v>
      </c>
      <c r="AA8" t="s">
        <v>50</v>
      </c>
      <c r="AB8" t="s">
        <v>51</v>
      </c>
    </row>
    <row r="9" spans="1:29">
      <c r="B9" t="s">
        <v>52</v>
      </c>
      <c r="D9" t="s">
        <v>53</v>
      </c>
      <c r="F9" t="s">
        <v>54</v>
      </c>
      <c r="H9" t="s">
        <v>55</v>
      </c>
      <c r="I9" t="s">
        <v>55</v>
      </c>
      <c r="J9" t="s">
        <v>56</v>
      </c>
      <c r="K9" t="s">
        <v>32</v>
      </c>
      <c r="M9" t="s">
        <v>57</v>
      </c>
      <c r="O9" t="s">
        <v>58</v>
      </c>
      <c r="Q9" t="s">
        <v>59</v>
      </c>
      <c r="S9" t="s">
        <v>60</v>
      </c>
      <c r="U9" t="s">
        <v>59</v>
      </c>
      <c r="X9" t="s">
        <v>61</v>
      </c>
      <c r="Y9">
        <v>0</v>
      </c>
      <c r="AA9" t="s">
        <v>62</v>
      </c>
      <c r="AB9" t="s">
        <v>63</v>
      </c>
    </row>
    <row r="10" spans="1:29">
      <c r="D10" t="s">
        <v>64</v>
      </c>
      <c r="F10" t="s">
        <v>65</v>
      </c>
      <c r="H10" t="s">
        <v>66</v>
      </c>
      <c r="I10" t="s">
        <v>66</v>
      </c>
      <c r="J10" t="s">
        <v>67</v>
      </c>
      <c r="K10" t="s">
        <v>32</v>
      </c>
      <c r="M10" t="s">
        <v>68</v>
      </c>
      <c r="O10" t="s">
        <v>69</v>
      </c>
      <c r="Q10" t="s">
        <v>70</v>
      </c>
      <c r="S10" t="s">
        <v>71</v>
      </c>
      <c r="U10" t="s">
        <v>70</v>
      </c>
      <c r="X10" t="s">
        <v>72</v>
      </c>
      <c r="Y10">
        <v>0</v>
      </c>
      <c r="AA10" t="s">
        <v>73</v>
      </c>
      <c r="AB10" t="s">
        <v>74</v>
      </c>
    </row>
    <row r="11" spans="1:29">
      <c r="D11" s="1" t="s">
        <v>75</v>
      </c>
      <c r="F11" t="s">
        <v>76</v>
      </c>
      <c r="H11" t="s">
        <v>77</v>
      </c>
      <c r="I11" t="s">
        <v>77</v>
      </c>
      <c r="J11" t="s">
        <v>78</v>
      </c>
      <c r="K11" t="s">
        <v>32</v>
      </c>
      <c r="M11" t="s">
        <v>79</v>
      </c>
      <c r="O11" t="s">
        <v>80</v>
      </c>
      <c r="Q11" t="s">
        <v>81</v>
      </c>
      <c r="S11" t="s">
        <v>82</v>
      </c>
      <c r="U11" t="s">
        <v>81</v>
      </c>
      <c r="X11" t="s">
        <v>83</v>
      </c>
      <c r="Y11">
        <v>0</v>
      </c>
      <c r="AA11" t="s">
        <v>84</v>
      </c>
      <c r="AB11" t="s">
        <v>85</v>
      </c>
    </row>
    <row r="12" spans="1:29">
      <c r="F12" t="s">
        <v>86</v>
      </c>
      <c r="M12" t="s">
        <v>87</v>
      </c>
      <c r="O12" t="s">
        <v>88</v>
      </c>
      <c r="Q12" t="s">
        <v>89</v>
      </c>
      <c r="S12" t="s">
        <v>90</v>
      </c>
      <c r="U12" t="s">
        <v>89</v>
      </c>
      <c r="X12" t="s">
        <v>91</v>
      </c>
      <c r="Y12">
        <v>0</v>
      </c>
      <c r="AA12" s="1" t="s">
        <v>92</v>
      </c>
      <c r="AB12" t="s">
        <v>93</v>
      </c>
    </row>
    <row r="13" spans="1:29">
      <c r="M13" t="s">
        <v>94</v>
      </c>
      <c r="Q13" t="s">
        <v>95</v>
      </c>
      <c r="S13" t="s">
        <v>96</v>
      </c>
      <c r="U13" t="s">
        <v>95</v>
      </c>
      <c r="X13" t="s">
        <v>97</v>
      </c>
      <c r="Y13">
        <v>1</v>
      </c>
      <c r="AA13" t="s">
        <v>98</v>
      </c>
      <c r="AB13" t="s">
        <v>99</v>
      </c>
    </row>
    <row r="14" spans="1:29">
      <c r="M14" t="s">
        <v>100</v>
      </c>
      <c r="Q14" t="s">
        <v>101</v>
      </c>
      <c r="S14" t="s">
        <v>102</v>
      </c>
      <c r="U14" t="s">
        <v>101</v>
      </c>
      <c r="AA14" t="s">
        <v>103</v>
      </c>
      <c r="AB14" t="s">
        <v>103</v>
      </c>
    </row>
    <row r="15" spans="1:29">
      <c r="M15" t="s">
        <v>104</v>
      </c>
      <c r="Q15" t="s">
        <v>105</v>
      </c>
      <c r="S15" t="s">
        <v>106</v>
      </c>
      <c r="U15" t="s">
        <v>105</v>
      </c>
      <c r="X15" s="22" t="s">
        <v>107</v>
      </c>
      <c r="Y15" s="22" t="s">
        <v>108</v>
      </c>
      <c r="Z15" t="s">
        <v>109</v>
      </c>
    </row>
    <row r="16" spans="1:29">
      <c r="M16" t="s">
        <v>110</v>
      </c>
      <c r="Q16" t="s">
        <v>111</v>
      </c>
      <c r="S16" t="s">
        <v>112</v>
      </c>
      <c r="U16" t="s">
        <v>111</v>
      </c>
      <c r="X16" s="5" t="s">
        <v>107</v>
      </c>
      <c r="Y16" s="5" t="s">
        <v>108</v>
      </c>
      <c r="Z16" s="5" t="s">
        <v>113</v>
      </c>
    </row>
    <row r="17" spans="13:26" ht="16.5">
      <c r="M17" t="s">
        <v>114</v>
      </c>
      <c r="Q17" t="s">
        <v>115</v>
      </c>
      <c r="S17" t="s">
        <v>116</v>
      </c>
      <c r="U17" t="s">
        <v>115</v>
      </c>
      <c r="X17" s="25">
        <v>45292</v>
      </c>
      <c r="Y17" s="24" t="s">
        <v>117</v>
      </c>
      <c r="Z17" t="s">
        <v>63</v>
      </c>
    </row>
    <row r="18" spans="13:26">
      <c r="M18" t="s">
        <v>118</v>
      </c>
      <c r="Q18" t="s">
        <v>119</v>
      </c>
      <c r="U18" t="s">
        <v>119</v>
      </c>
      <c r="X18" s="25">
        <v>45306</v>
      </c>
      <c r="Y18" t="s">
        <v>120</v>
      </c>
      <c r="Z18" t="s">
        <v>63</v>
      </c>
    </row>
    <row r="19" spans="13:26" ht="16.5">
      <c r="M19" t="s">
        <v>121</v>
      </c>
      <c r="Q19" t="s">
        <v>122</v>
      </c>
      <c r="U19" t="s">
        <v>122</v>
      </c>
      <c r="X19" s="25">
        <v>45317</v>
      </c>
      <c r="Y19" s="24" t="s">
        <v>123</v>
      </c>
      <c r="Z19" t="s">
        <v>63</v>
      </c>
    </row>
    <row r="20" spans="13:26">
      <c r="M20" t="s">
        <v>124</v>
      </c>
      <c r="Q20" t="s">
        <v>125</v>
      </c>
      <c r="U20" t="s">
        <v>125</v>
      </c>
      <c r="X20" s="25">
        <v>45376</v>
      </c>
      <c r="Y20" t="s">
        <v>126</v>
      </c>
      <c r="Z20" t="s">
        <v>63</v>
      </c>
    </row>
    <row r="21" spans="13:26" ht="16.5">
      <c r="M21" t="s">
        <v>127</v>
      </c>
      <c r="Q21" t="s">
        <v>128</v>
      </c>
      <c r="U21" t="s">
        <v>128</v>
      </c>
      <c r="X21" s="25">
        <v>45360</v>
      </c>
      <c r="Y21" s="24" t="s">
        <v>129</v>
      </c>
      <c r="Z21" t="s">
        <v>63</v>
      </c>
    </row>
    <row r="22" spans="13:26">
      <c r="M22" t="s">
        <v>130</v>
      </c>
      <c r="Q22" t="s">
        <v>131</v>
      </c>
      <c r="U22" t="s">
        <v>131</v>
      </c>
      <c r="X22" s="25">
        <v>45413</v>
      </c>
      <c r="Y22" t="s">
        <v>132</v>
      </c>
      <c r="Z22" t="s">
        <v>63</v>
      </c>
    </row>
    <row r="23" spans="13:26" ht="16.5">
      <c r="M23" t="s">
        <v>133</v>
      </c>
      <c r="Q23" t="s">
        <v>134</v>
      </c>
      <c r="U23" t="s">
        <v>134</v>
      </c>
      <c r="X23" s="25">
        <v>45519</v>
      </c>
      <c r="Y23" s="24" t="s">
        <v>135</v>
      </c>
      <c r="Z23" t="s">
        <v>63</v>
      </c>
    </row>
    <row r="24" spans="13:26">
      <c r="Q24" t="s">
        <v>136</v>
      </c>
      <c r="U24" t="s">
        <v>136</v>
      </c>
      <c r="X24" s="25">
        <v>45554</v>
      </c>
      <c r="Y24" t="s">
        <v>137</v>
      </c>
      <c r="Z24" t="s">
        <v>63</v>
      </c>
    </row>
    <row r="25" spans="13:26" ht="16.5">
      <c r="Q25" t="s">
        <v>138</v>
      </c>
      <c r="U25" t="s">
        <v>138</v>
      </c>
      <c r="X25" s="25">
        <v>45567</v>
      </c>
      <c r="Y25" s="24" t="s">
        <v>139</v>
      </c>
      <c r="Z25" t="s">
        <v>63</v>
      </c>
    </row>
    <row r="26" spans="13:26">
      <c r="Q26" t="s">
        <v>140</v>
      </c>
      <c r="U26" t="s">
        <v>140</v>
      </c>
      <c r="X26" s="25">
        <v>45597</v>
      </c>
      <c r="Y26" t="s">
        <v>141</v>
      </c>
      <c r="Z26" t="s">
        <v>63</v>
      </c>
    </row>
    <row r="27" spans="13:26">
      <c r="Q27" t="s">
        <v>142</v>
      </c>
      <c r="U27" t="s">
        <v>142</v>
      </c>
    </row>
    <row r="28" spans="13:26">
      <c r="Q28" t="s">
        <v>143</v>
      </c>
      <c r="U28" t="s">
        <v>143</v>
      </c>
    </row>
    <row r="29" spans="13:26">
      <c r="Q29" t="s">
        <v>144</v>
      </c>
      <c r="U29" t="s">
        <v>144</v>
      </c>
    </row>
    <row r="30" spans="13:26" ht="21" customHeight="1">
      <c r="Q30" t="s">
        <v>145</v>
      </c>
      <c r="U30" t="s">
        <v>145</v>
      </c>
    </row>
    <row r="31" spans="13:26">
      <c r="Q31" t="s">
        <v>146</v>
      </c>
      <c r="U31" t="s">
        <v>146</v>
      </c>
    </row>
    <row r="32" spans="13:26">
      <c r="Q32" t="s">
        <v>147</v>
      </c>
      <c r="U32" t="s">
        <v>147</v>
      </c>
    </row>
    <row r="33" spans="17:21">
      <c r="Q33" t="s">
        <v>148</v>
      </c>
      <c r="U33" t="s">
        <v>148</v>
      </c>
    </row>
    <row r="34" spans="17:21" ht="23.25" customHeight="1">
      <c r="Q34" t="s">
        <v>149</v>
      </c>
      <c r="U34" t="s">
        <v>149</v>
      </c>
    </row>
    <row r="35" spans="17:21">
      <c r="Q35" t="s">
        <v>150</v>
      </c>
      <c r="U35" t="s">
        <v>150</v>
      </c>
    </row>
    <row r="36" spans="17:21">
      <c r="Q36" t="s">
        <v>151</v>
      </c>
      <c r="U36" t="s">
        <v>151</v>
      </c>
    </row>
    <row r="37" spans="17:21">
      <c r="Q37" t="s">
        <v>152</v>
      </c>
      <c r="U37" t="s">
        <v>152</v>
      </c>
    </row>
    <row r="38" spans="17:21">
      <c r="Q38" t="s">
        <v>153</v>
      </c>
      <c r="U38" t="s">
        <v>153</v>
      </c>
    </row>
    <row r="39" spans="17:21">
      <c r="Q39" t="s">
        <v>154</v>
      </c>
      <c r="U39" t="s">
        <v>154</v>
      </c>
    </row>
    <row r="40" spans="17:21">
      <c r="Q40" t="s">
        <v>155</v>
      </c>
      <c r="U40" t="s">
        <v>155</v>
      </c>
    </row>
    <row r="41" spans="17:21">
      <c r="Q41" t="s">
        <v>156</v>
      </c>
      <c r="U41" t="s">
        <v>156</v>
      </c>
    </row>
    <row r="42" spans="17:21">
      <c r="Q42" t="s">
        <v>157</v>
      </c>
      <c r="U42" t="s">
        <v>157</v>
      </c>
    </row>
    <row r="43" spans="17:21">
      <c r="Q43" t="s">
        <v>158</v>
      </c>
      <c r="U43" t="s">
        <v>158</v>
      </c>
    </row>
    <row r="44" spans="17:21">
      <c r="Q44" t="s">
        <v>159</v>
      </c>
      <c r="U44" t="s">
        <v>159</v>
      </c>
    </row>
    <row r="45" spans="17:21">
      <c r="Q45" t="s">
        <v>160</v>
      </c>
      <c r="U45" t="s">
        <v>160</v>
      </c>
    </row>
    <row r="46" spans="17:21" ht="19.5" customHeight="1">
      <c r="Q46" t="s">
        <v>161</v>
      </c>
      <c r="U46" t="s">
        <v>161</v>
      </c>
    </row>
    <row r="47" spans="17:21">
      <c r="Q47" t="s">
        <v>162</v>
      </c>
      <c r="U47" t="s">
        <v>162</v>
      </c>
    </row>
    <row r="48" spans="17:21" ht="20.25" customHeight="1">
      <c r="Q48" t="s">
        <v>163</v>
      </c>
      <c r="U48" t="s">
        <v>163</v>
      </c>
    </row>
    <row r="49" spans="17:21">
      <c r="Q49" t="s">
        <v>164</v>
      </c>
      <c r="U49" t="s">
        <v>164</v>
      </c>
    </row>
    <row r="50" spans="17:21">
      <c r="Q50" t="s">
        <v>165</v>
      </c>
      <c r="U50" t="s">
        <v>165</v>
      </c>
    </row>
  </sheetData>
  <dataValidations count="3">
    <dataValidation type="list" allowBlank="1" showInputMessage="1" showErrorMessage="1" sqref="H8" xr:uid="{91B35B23-35C8-479F-B858-98BDE68F35B8}">
      <formula1>L_LOCATION</formula1>
    </dataValidation>
    <dataValidation type="list" allowBlank="1" showInputMessage="1" showErrorMessage="1" sqref="AA12" xr:uid="{B666A14E-F751-4838-AB14-D3C498914F16}">
      <formula1>L_LEAVETYPES</formula1>
    </dataValidation>
    <dataValidation type="list" allowBlank="1" showInputMessage="1" showErrorMessage="1" sqref="Q7:Q50" xr:uid="{4741991F-019E-4F53-A529-C9934182A414}">
      <formula1>L_JOBCATEGORY</formula1>
    </dataValidation>
  </dataValidations>
  <pageMargins left="0.7" right="0.7" top="0.75" bottom="0.75" header="0.3" footer="0.3"/>
  <pageSetup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42E4-6900-4667-97B0-CF3E6127C6E0}">
  <dimension ref="A1:AS593"/>
  <sheetViews>
    <sheetView showGridLines="0" topLeftCell="X68" zoomScaleNormal="100" workbookViewId="0">
      <selection activeCell="C4" sqref="C4:C85"/>
    </sheetView>
  </sheetViews>
  <sheetFormatPr defaultRowHeight="14.25" customHeight="1"/>
  <cols>
    <col min="1" max="1" width="22.125" customWidth="1"/>
    <col min="2" max="2" width="22.25" bestFit="1" customWidth="1"/>
    <col min="3" max="3" width="22" customWidth="1"/>
    <col min="4" max="4" width="27" customWidth="1"/>
    <col min="5" max="5" width="18.125" customWidth="1"/>
    <col min="6" max="7" width="19" customWidth="1"/>
    <col min="8" max="9" width="14.5" customWidth="1"/>
    <col min="10" max="14" width="18" customWidth="1"/>
    <col min="15" max="15" width="24.625" customWidth="1"/>
    <col min="16" max="16" width="18" customWidth="1"/>
    <col min="17" max="17" width="35" bestFit="1" customWidth="1"/>
    <col min="18" max="23" width="21.625" customWidth="1"/>
    <col min="24" max="24" width="43.875" bestFit="1" customWidth="1"/>
    <col min="25" max="26" width="43.875" customWidth="1"/>
    <col min="27" max="27" width="28.125" customWidth="1"/>
    <col min="28" max="28" width="22.875" bestFit="1" customWidth="1"/>
    <col min="29" max="29" width="15.125" customWidth="1"/>
    <col min="30" max="30" width="19.875" customWidth="1"/>
    <col min="31" max="31" width="15.25" bestFit="1" customWidth="1"/>
    <col min="32" max="32" width="20.125" bestFit="1" customWidth="1"/>
    <col min="33" max="33" width="17.25" bestFit="1" customWidth="1"/>
    <col min="34" max="34" width="24.625" customWidth="1"/>
    <col min="35" max="35" width="20.375" bestFit="1" customWidth="1"/>
    <col min="36" max="36" width="16.625" bestFit="1" customWidth="1"/>
    <col min="37" max="37" width="22.25" bestFit="1" customWidth="1"/>
    <col min="38" max="38" width="17.625" bestFit="1" customWidth="1"/>
    <col min="39" max="39" width="16.875" bestFit="1" customWidth="1"/>
    <col min="40" max="40" width="21.125" bestFit="1" customWidth="1"/>
    <col min="41" max="41" width="14.375" customWidth="1"/>
    <col min="42" max="42" width="30.625" customWidth="1"/>
  </cols>
  <sheetData>
    <row r="1" spans="1:42" ht="18">
      <c r="A1" s="16" t="s">
        <v>166</v>
      </c>
      <c r="D1" s="19" t="str">
        <f ca="1">SUM(T_EMPLOYEES[ERROR IND])&amp;" Errors"</f>
        <v>0 Errors</v>
      </c>
    </row>
    <row r="2" spans="1:42" ht="16.5">
      <c r="C2" s="13" t="s">
        <v>167</v>
      </c>
      <c r="D2" s="19"/>
      <c r="E2" s="13" t="s">
        <v>168</v>
      </c>
      <c r="F2" s="13" t="s">
        <v>168</v>
      </c>
      <c r="G2" s="13"/>
      <c r="H2" s="13" t="s">
        <v>168</v>
      </c>
      <c r="I2" s="13" t="s">
        <v>168</v>
      </c>
      <c r="J2" s="13" t="s">
        <v>168</v>
      </c>
      <c r="K2" s="13" t="s">
        <v>168</v>
      </c>
      <c r="L2" s="13" t="s">
        <v>168</v>
      </c>
      <c r="M2" s="13" t="s">
        <v>168</v>
      </c>
      <c r="N2" s="13" t="s">
        <v>168</v>
      </c>
      <c r="O2" s="13" t="s">
        <v>168</v>
      </c>
      <c r="P2" s="13" t="s">
        <v>168</v>
      </c>
      <c r="Q2" s="13" t="s">
        <v>168</v>
      </c>
      <c r="R2" s="18" t="s">
        <v>169</v>
      </c>
      <c r="S2" s="18" t="s">
        <v>169</v>
      </c>
      <c r="T2" s="18"/>
      <c r="U2" s="18"/>
      <c r="V2" s="18"/>
      <c r="W2" s="18"/>
    </row>
    <row r="3" spans="1:4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175</v>
      </c>
      <c r="G3" t="s">
        <v>176</v>
      </c>
      <c r="H3" t="s">
        <v>11</v>
      </c>
      <c r="I3" t="s">
        <v>13</v>
      </c>
      <c r="J3" t="s">
        <v>12</v>
      </c>
      <c r="K3" t="s">
        <v>14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177</v>
      </c>
      <c r="R3" t="s">
        <v>178</v>
      </c>
      <c r="S3" t="s">
        <v>179</v>
      </c>
      <c r="T3" t="s">
        <v>180</v>
      </c>
      <c r="U3" t="s">
        <v>181</v>
      </c>
      <c r="V3" t="s">
        <v>182</v>
      </c>
      <c r="W3" t="s">
        <v>183</v>
      </c>
      <c r="X3" s="14" t="s">
        <v>184</v>
      </c>
      <c r="Y3" s="14" t="s">
        <v>185</v>
      </c>
      <c r="Z3" s="14" t="s">
        <v>186</v>
      </c>
      <c r="AA3" s="14" t="s">
        <v>187</v>
      </c>
      <c r="AB3" s="14" t="s">
        <v>188</v>
      </c>
      <c r="AC3" s="14" t="s">
        <v>189</v>
      </c>
      <c r="AD3" s="14" t="s">
        <v>190</v>
      </c>
      <c r="AE3" s="14" t="s">
        <v>191</v>
      </c>
      <c r="AF3" s="14" t="s">
        <v>192</v>
      </c>
      <c r="AG3" s="14" t="s">
        <v>193</v>
      </c>
      <c r="AH3" s="14" t="s">
        <v>194</v>
      </c>
      <c r="AI3" s="14" t="s">
        <v>195</v>
      </c>
      <c r="AJ3" s="14" t="s">
        <v>196</v>
      </c>
      <c r="AK3" s="14" t="s">
        <v>197</v>
      </c>
      <c r="AL3" s="14" t="s">
        <v>198</v>
      </c>
      <c r="AM3" s="14" t="s">
        <v>199</v>
      </c>
      <c r="AN3" s="14" t="s">
        <v>200</v>
      </c>
      <c r="AO3" s="14" t="s">
        <v>201</v>
      </c>
      <c r="AP3" s="14" t="s">
        <v>202</v>
      </c>
    </row>
    <row r="4" spans="1:42">
      <c r="A4" t="s">
        <v>203</v>
      </c>
      <c r="B4" t="s">
        <v>204</v>
      </c>
      <c r="C4">
        <v>1019272</v>
      </c>
      <c r="D4" t="s">
        <v>205</v>
      </c>
      <c r="E4" s="26">
        <v>23529</v>
      </c>
      <c r="F4" s="26">
        <v>42816</v>
      </c>
      <c r="G4" s="26">
        <v>45575</v>
      </c>
      <c r="H4" t="s">
        <v>27</v>
      </c>
      <c r="I4" t="s">
        <v>54</v>
      </c>
      <c r="J4" t="s">
        <v>64</v>
      </c>
      <c r="K4" t="s">
        <v>30</v>
      </c>
      <c r="L4" s="27" t="s">
        <v>114</v>
      </c>
      <c r="M4" t="s">
        <v>46</v>
      </c>
      <c r="N4" t="s">
        <v>47</v>
      </c>
      <c r="O4" t="s">
        <v>90</v>
      </c>
      <c r="P4" t="s">
        <v>47</v>
      </c>
      <c r="Q4" t="s">
        <v>206</v>
      </c>
      <c r="R4" s="27">
        <v>7</v>
      </c>
      <c r="S4" s="1">
        <v>2000000</v>
      </c>
      <c r="T4" s="1">
        <f ca="1">ROUND(T_EMPLOYEES[[#This Row],[EMP_CTC1]]/12, 0)</f>
        <v>166667</v>
      </c>
      <c r="U4" s="1">
        <v>130000</v>
      </c>
      <c r="V4" s="1" t="s">
        <v>207</v>
      </c>
      <c r="W4" s="1" t="s">
        <v>207</v>
      </c>
      <c r="X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Anand Kumar Potdar (1019272)</v>
      </c>
      <c r="Y4">
        <v>40000</v>
      </c>
      <c r="Z4" s="29">
        <f ca="1">(S5 - U5)/S5 * 100</f>
        <v>94</v>
      </c>
      <c r="AA4">
        <f ca="1">IF(T_EMPLOYEES[[#This Row],[EMPLOYEE NUMBER]]="","",ROW(T_EMPLOYEES[[#This Row],[EMPLOYEE LABEL]])-ROW(T_EMPLOYEES[[#Headers],[EMPLOYEE LABEL]]))</f>
        <v>1</v>
      </c>
      <c r="AB4">
        <f ca="1">IF(T_EMPLOYEES[[#This Row],[EMPLOYEE NUMBER]]="","",IF(COUNTIF(T_EMPLOYEES[EMPLOYEE NUMBER],T_EMPLOYEES[[#This Row],[EMPLOYEE NUMBER]])&gt;1,1,0))</f>
        <v>0</v>
      </c>
      <c r="AC4">
        <f ca="1">IF(T_EMPLOYEES[[#This Row],[EMPLOYEE NUMBER]]="","",IF(AND(T_EMPLOYEES[[#This Row],[DATE OF BIRTH]]&gt;0,T_EMPLOYEES[[#This Row],[DATE OF BIRTH]]&lt;TODAY()),0,1))</f>
        <v>0</v>
      </c>
      <c r="AD4">
        <f ca="1">IF(T_EMPLOYEES[[#This Row],[EMPLOYEE NUMBER]]="","",IF(AND(T_EMPLOYEES[[#This Row],[START DATE]]&gt;0,T_EMPLOYEES[[#This Row],[START DATE]]&lt;TODAY()+60),0,1))</f>
        <v>0</v>
      </c>
      <c r="AE4">
        <f ca="1">IF(T_EMPLOYEES[[#This Row],[EMPLOYEE NUMBER]]="","",MATCH(T_EMPLOYEES[[#This Row],[GENDER]],L_GENDER,0))</f>
        <v>1</v>
      </c>
      <c r="AF4">
        <f ca="1">IF(T_EMPLOYEES[[#This Row],[EMPLOYEE NUMBER]]="","",MATCH(T_EMPLOYEES[[#This Row],[HIRE SOURCE]],L_HIRESOURCE,0))</f>
        <v>4</v>
      </c>
      <c r="AG4">
        <f ca="1">IF(T_EMPLOYEES[[#This Row],[EMPLOYEE NUMBER]]="","",MATCH(T_EMPLOYEES[[#This Row],[ETHNICITY]],L_ETHNICITY,0))</f>
        <v>3</v>
      </c>
      <c r="AH4">
        <f ca="1">IF(T_EMPLOYEES[[#This Row],[EMPLOYEE NUMBER]]="","",MATCH(T_EMPLOYEES[[#This Row],[LOCATION]],L_LOCATION,0))</f>
        <v>1</v>
      </c>
      <c r="AI4">
        <f ca="1">IF(T_EMPLOYEES[[#This Row],[EMPLOYEE NUMBER]]="","",MATCH(T_EMPLOYEES[[#This Row],[DEPARTMENT]],L_DEPARTMENT,0))</f>
        <v>11</v>
      </c>
      <c r="AJ4">
        <f ca="1">IF(T_EMPLOYEES[[#This Row],[EMPLOYEE NUMBER]]="","",MATCH(T_EMPLOYEES[[#This Row],[JOB TYPE]],L_JOBTYPE,0))</f>
        <v>2</v>
      </c>
      <c r="AK4">
        <f ca="1">IF(T_EMPLOYEES[[#This Row],[EMPLOYEE NUMBER]]="","",MATCH(T_EMPLOYEES[[#This Row],[JOB CATEGORY]],L_JOBCATEGORY,0))</f>
        <v>2</v>
      </c>
      <c r="AL4">
        <f ca="1">IF(T_EMPLOYEES[[#This Row],[EMPLOYEE NUMBER]]="","",MATCH(T_EMPLOYEES[[#This Row],[JOB LEVEL]],L_JOBLEVEL,0))</f>
        <v>6</v>
      </c>
      <c r="AM4">
        <f ca="1">IF(T_EMPLOYEES[[#This Row],[EMPLOYEE NUMBER]]="","",MATCH(T_EMPLOYEES[[#This Row],[JOB TITLE]],L_JOBTITLE,0))</f>
        <v>2</v>
      </c>
      <c r="AN4">
        <f ca="1">IF(T_EMPLOYEES[[#This Row],[EMPLOYEE NUMBER]]="","",MATCH(T_EMPLOYEES[[#This Row],[MANAGER]],L_EMPLABELS,0))</f>
        <v>6</v>
      </c>
      <c r="AO4">
        <f ca="1">IF(T_EMPLOYEES[[#This Row],[EMPLOYEE NUMBER]]="","",IF(T_EMPLOYEES[[#This Row],[ERROR]]="",0,1))</f>
        <v>0</v>
      </c>
      <c r="AP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" spans="1:42">
      <c r="A5" t="s">
        <v>208</v>
      </c>
      <c r="B5" t="s">
        <v>209</v>
      </c>
      <c r="C5">
        <v>1032824</v>
      </c>
      <c r="D5" t="s">
        <v>210</v>
      </c>
      <c r="E5" s="26">
        <v>25965</v>
      </c>
      <c r="F5" s="26">
        <v>45065</v>
      </c>
      <c r="G5" s="26">
        <v>45575</v>
      </c>
      <c r="H5" t="s">
        <v>27</v>
      </c>
      <c r="I5" t="s">
        <v>54</v>
      </c>
      <c r="J5" t="s">
        <v>64</v>
      </c>
      <c r="K5" t="s">
        <v>43</v>
      </c>
      <c r="L5" s="27" t="s">
        <v>45</v>
      </c>
      <c r="M5" t="s">
        <v>46</v>
      </c>
      <c r="N5" t="s">
        <v>59</v>
      </c>
      <c r="O5" t="s">
        <v>96</v>
      </c>
      <c r="P5" t="s">
        <v>59</v>
      </c>
      <c r="Q5" t="s">
        <v>211</v>
      </c>
      <c r="R5">
        <v>3</v>
      </c>
      <c r="S5" s="1">
        <v>2500000</v>
      </c>
      <c r="T5" s="1">
        <f ca="1">ROUND(T_EMPLOYEES[[#This Row],[EMP_CTC1]]/12, 0)</f>
        <v>208333</v>
      </c>
      <c r="U5" s="1">
        <v>150000</v>
      </c>
      <c r="V5" s="1" t="s">
        <v>207</v>
      </c>
      <c r="W5" s="1" t="s">
        <v>207</v>
      </c>
      <c r="X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Niranjan Reddy G (1032824)</v>
      </c>
      <c r="Y5">
        <v>50000</v>
      </c>
      <c r="Z5" s="29">
        <f t="shared" ref="Z5:Z8" ca="1" si="0">(S6 - U6)/S6 * 100</f>
        <v>90</v>
      </c>
      <c r="AA5">
        <f ca="1">IF(T_EMPLOYEES[[#This Row],[EMPLOYEE NUMBER]]="","",ROW(T_EMPLOYEES[[#This Row],[EMPLOYEE LABEL]])-ROW(T_EMPLOYEES[[#Headers],[EMPLOYEE LABEL]]))</f>
        <v>2</v>
      </c>
      <c r="AB5">
        <f ca="1">IF(T_EMPLOYEES[[#This Row],[EMPLOYEE NUMBER]]="","",IF(COUNTIF(T_EMPLOYEES[EMPLOYEE NUMBER],T_EMPLOYEES[[#This Row],[EMPLOYEE NUMBER]])&gt;1,1,0))</f>
        <v>0</v>
      </c>
      <c r="AC5">
        <f ca="1">IF(T_EMPLOYEES[[#This Row],[EMPLOYEE NUMBER]]="","",IF(AND(T_EMPLOYEES[[#This Row],[DATE OF BIRTH]]&gt;0,T_EMPLOYEES[[#This Row],[DATE OF BIRTH]]&lt;TODAY()),0,1))</f>
        <v>0</v>
      </c>
      <c r="AD5">
        <f ca="1">IF(T_EMPLOYEES[[#This Row],[EMPLOYEE NUMBER]]="","",IF(AND(T_EMPLOYEES[[#This Row],[START DATE]]&gt;0,T_EMPLOYEES[[#This Row],[START DATE]]&lt;TODAY()+60),0,1))</f>
        <v>0</v>
      </c>
      <c r="AE5">
        <f ca="1">IF(T_EMPLOYEES[[#This Row],[EMPLOYEE NUMBER]]="","",MATCH(T_EMPLOYEES[[#This Row],[GENDER]],L_GENDER,0))</f>
        <v>1</v>
      </c>
      <c r="AF5">
        <f ca="1">IF(T_EMPLOYEES[[#This Row],[EMPLOYEE NUMBER]]="","",MATCH(T_EMPLOYEES[[#This Row],[HIRE SOURCE]],L_HIRESOURCE,0))</f>
        <v>4</v>
      </c>
      <c r="AG5">
        <f ca="1">IF(T_EMPLOYEES[[#This Row],[EMPLOYEE NUMBER]]="","",MATCH(T_EMPLOYEES[[#This Row],[ETHNICITY]],L_ETHNICITY,0))</f>
        <v>3</v>
      </c>
      <c r="AH5">
        <f ca="1">IF(T_EMPLOYEES[[#This Row],[EMPLOYEE NUMBER]]="","",MATCH(T_EMPLOYEES[[#This Row],[LOCATION]],L_LOCATION,0))</f>
        <v>2</v>
      </c>
      <c r="AI5">
        <f ca="1">IF(T_EMPLOYEES[[#This Row],[EMPLOYEE NUMBER]]="","",MATCH(T_EMPLOYEES[[#This Row],[DEPARTMENT]],L_DEPARTMENT,0))</f>
        <v>2</v>
      </c>
      <c r="AJ5">
        <f ca="1">IF(T_EMPLOYEES[[#This Row],[EMPLOYEE NUMBER]]="","",MATCH(T_EMPLOYEES[[#This Row],[JOB TYPE]],L_JOBTYPE,0))</f>
        <v>2</v>
      </c>
      <c r="AK5">
        <f ca="1">IF(T_EMPLOYEES[[#This Row],[EMPLOYEE NUMBER]]="","",MATCH(T_EMPLOYEES[[#This Row],[JOB CATEGORY]],L_JOBCATEGORY,0))</f>
        <v>3</v>
      </c>
      <c r="AL5">
        <f ca="1">IF(T_EMPLOYEES[[#This Row],[EMPLOYEE NUMBER]]="","",MATCH(T_EMPLOYEES[[#This Row],[JOB LEVEL]],L_JOBLEVEL,0))</f>
        <v>7</v>
      </c>
      <c r="AM5">
        <f ca="1">IF(T_EMPLOYEES[[#This Row],[EMPLOYEE NUMBER]]="","",MATCH(T_EMPLOYEES[[#This Row],[JOB TITLE]],L_JOBTITLE,0))</f>
        <v>3</v>
      </c>
      <c r="AN5">
        <f ca="1">IF(T_EMPLOYEES[[#This Row],[EMPLOYEE NUMBER]]="","",MATCH(T_EMPLOYEES[[#This Row],[MANAGER]],L_EMPLABELS,0))</f>
        <v>49</v>
      </c>
      <c r="AO5">
        <f ca="1">IF(T_EMPLOYEES[[#This Row],[EMPLOYEE NUMBER]]="","",IF(T_EMPLOYEES[[#This Row],[ERROR]]="",0,1))</f>
        <v>0</v>
      </c>
      <c r="AP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" spans="1:42">
      <c r="A6" t="s">
        <v>212</v>
      </c>
      <c r="B6" t="s">
        <v>213</v>
      </c>
      <c r="C6">
        <v>1012233</v>
      </c>
      <c r="D6" t="s">
        <v>214</v>
      </c>
      <c r="E6" s="26">
        <v>26365</v>
      </c>
      <c r="F6" s="26">
        <v>41173</v>
      </c>
      <c r="G6" s="26">
        <v>44875</v>
      </c>
      <c r="H6" t="s">
        <v>27</v>
      </c>
      <c r="I6" t="s">
        <v>54</v>
      </c>
      <c r="J6" t="s">
        <v>64</v>
      </c>
      <c r="K6" t="s">
        <v>43</v>
      </c>
      <c r="L6" s="27" t="s">
        <v>45</v>
      </c>
      <c r="M6" t="s">
        <v>46</v>
      </c>
      <c r="N6" t="s">
        <v>70</v>
      </c>
      <c r="O6" t="s">
        <v>96</v>
      </c>
      <c r="P6" t="s">
        <v>70</v>
      </c>
      <c r="Q6" t="s">
        <v>215</v>
      </c>
      <c r="R6" s="27">
        <v>4</v>
      </c>
      <c r="S6" s="1">
        <v>300000</v>
      </c>
      <c r="T6" s="1">
        <f ca="1">ROUND(T_EMPLOYEES[[#This Row],[EMP_CTC1]]/12, 0)</f>
        <v>25000</v>
      </c>
      <c r="U6" s="1">
        <v>30000</v>
      </c>
      <c r="V6" s="1" t="s">
        <v>207</v>
      </c>
      <c r="W6" s="1" t="s">
        <v>207</v>
      </c>
      <c r="X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Joel Clifton Dsouza (1012233)</v>
      </c>
      <c r="Y6">
        <v>60000</v>
      </c>
      <c r="Z6" s="29">
        <f t="shared" ca="1" si="0"/>
        <v>77.5</v>
      </c>
      <c r="AA6">
        <f ca="1">IF(T_EMPLOYEES[[#This Row],[EMPLOYEE NUMBER]]="","",ROW(T_EMPLOYEES[[#This Row],[EMPLOYEE LABEL]])-ROW(T_EMPLOYEES[[#Headers],[EMPLOYEE LABEL]]))</f>
        <v>3</v>
      </c>
      <c r="AB6">
        <f ca="1">IF(T_EMPLOYEES[[#This Row],[EMPLOYEE NUMBER]]="","",IF(COUNTIF(T_EMPLOYEES[EMPLOYEE NUMBER],T_EMPLOYEES[[#This Row],[EMPLOYEE NUMBER]])&gt;1,1,0))</f>
        <v>0</v>
      </c>
      <c r="AC6">
        <f ca="1">IF(T_EMPLOYEES[[#This Row],[EMPLOYEE NUMBER]]="","",IF(AND(T_EMPLOYEES[[#This Row],[DATE OF BIRTH]]&gt;0,T_EMPLOYEES[[#This Row],[DATE OF BIRTH]]&lt;TODAY()),0,1))</f>
        <v>0</v>
      </c>
      <c r="AD6">
        <f ca="1">IF(T_EMPLOYEES[[#This Row],[EMPLOYEE NUMBER]]="","",IF(AND(T_EMPLOYEES[[#This Row],[START DATE]]&gt;0,T_EMPLOYEES[[#This Row],[START DATE]]&lt;TODAY()+60),0,1))</f>
        <v>0</v>
      </c>
      <c r="AE6">
        <f ca="1">IF(T_EMPLOYEES[[#This Row],[EMPLOYEE NUMBER]]="","",MATCH(T_EMPLOYEES[[#This Row],[GENDER]],L_GENDER,0))</f>
        <v>1</v>
      </c>
      <c r="AF6">
        <f ca="1">IF(T_EMPLOYEES[[#This Row],[EMPLOYEE NUMBER]]="","",MATCH(T_EMPLOYEES[[#This Row],[HIRE SOURCE]],L_HIRESOURCE,0))</f>
        <v>4</v>
      </c>
      <c r="AG6">
        <f ca="1">IF(T_EMPLOYEES[[#This Row],[EMPLOYEE NUMBER]]="","",MATCH(T_EMPLOYEES[[#This Row],[ETHNICITY]],L_ETHNICITY,0))</f>
        <v>3</v>
      </c>
      <c r="AH6">
        <f ca="1">IF(T_EMPLOYEES[[#This Row],[EMPLOYEE NUMBER]]="","",MATCH(T_EMPLOYEES[[#This Row],[LOCATION]],L_LOCATION,0))</f>
        <v>2</v>
      </c>
      <c r="AI6">
        <f ca="1">IF(T_EMPLOYEES[[#This Row],[EMPLOYEE NUMBER]]="","",MATCH(T_EMPLOYEES[[#This Row],[DEPARTMENT]],L_DEPARTMENT,0))</f>
        <v>2</v>
      </c>
      <c r="AJ6">
        <f ca="1">IF(T_EMPLOYEES[[#This Row],[EMPLOYEE NUMBER]]="","",MATCH(T_EMPLOYEES[[#This Row],[JOB TYPE]],L_JOBTYPE,0))</f>
        <v>2</v>
      </c>
      <c r="AK6">
        <f ca="1">IF(T_EMPLOYEES[[#This Row],[EMPLOYEE NUMBER]]="","",MATCH(T_EMPLOYEES[[#This Row],[JOB CATEGORY]],L_JOBCATEGORY,0))</f>
        <v>4</v>
      </c>
      <c r="AL6">
        <f ca="1">IF(T_EMPLOYEES[[#This Row],[EMPLOYEE NUMBER]]="","",MATCH(T_EMPLOYEES[[#This Row],[JOB LEVEL]],L_JOBLEVEL,0))</f>
        <v>7</v>
      </c>
      <c r="AM6">
        <f ca="1">IF(T_EMPLOYEES[[#This Row],[EMPLOYEE NUMBER]]="","",MATCH(T_EMPLOYEES[[#This Row],[JOB TITLE]],L_JOBTITLE,0))</f>
        <v>4</v>
      </c>
      <c r="AN6">
        <f ca="1">IF(T_EMPLOYEES[[#This Row],[EMPLOYEE NUMBER]]="","",MATCH(T_EMPLOYEES[[#This Row],[MANAGER]],L_EMPLABELS,0))</f>
        <v>13</v>
      </c>
      <c r="AO6">
        <f ca="1">IF(T_EMPLOYEES[[#This Row],[EMPLOYEE NUMBER]]="","",IF(T_EMPLOYEES[[#This Row],[ERROR]]="",0,1))</f>
        <v>0</v>
      </c>
      <c r="AP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" spans="1:42">
      <c r="A7" t="s">
        <v>63</v>
      </c>
      <c r="B7" t="s">
        <v>216</v>
      </c>
      <c r="C7">
        <v>1020217</v>
      </c>
      <c r="D7" t="s">
        <v>217</v>
      </c>
      <c r="E7" s="26">
        <v>26389</v>
      </c>
      <c r="F7" s="26">
        <v>43138</v>
      </c>
      <c r="G7" s="26">
        <v>45606</v>
      </c>
      <c r="H7" t="s">
        <v>27</v>
      </c>
      <c r="I7" t="s">
        <v>54</v>
      </c>
      <c r="J7" t="s">
        <v>64</v>
      </c>
      <c r="K7" t="s">
        <v>43</v>
      </c>
      <c r="L7" s="27" t="s">
        <v>45</v>
      </c>
      <c r="M7" t="s">
        <v>46</v>
      </c>
      <c r="N7" t="s">
        <v>81</v>
      </c>
      <c r="O7" t="s">
        <v>82</v>
      </c>
      <c r="P7" t="s">
        <v>81</v>
      </c>
      <c r="Q7" t="s">
        <v>218</v>
      </c>
      <c r="R7">
        <v>7</v>
      </c>
      <c r="S7" s="1">
        <v>320000</v>
      </c>
      <c r="T7" s="1">
        <f ca="1">ROUND(T_EMPLOYEES[[#This Row],[EMP_CTC1]]/12, 0)</f>
        <v>26667</v>
      </c>
      <c r="U7" s="1">
        <v>72000</v>
      </c>
      <c r="V7" s="1" t="s">
        <v>207</v>
      </c>
      <c r="W7" s="1" t="s">
        <v>207</v>
      </c>
      <c r="X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 Jitendar Reddy (1020217)</v>
      </c>
      <c r="Y7">
        <v>92000</v>
      </c>
      <c r="Z7" s="29">
        <f t="shared" ca="1" si="0"/>
        <v>63.333333333333329</v>
      </c>
      <c r="AA7">
        <f ca="1">IF(T_EMPLOYEES[[#This Row],[EMPLOYEE NUMBER]]="","",ROW(T_EMPLOYEES[[#This Row],[EMPLOYEE LABEL]])-ROW(T_EMPLOYEES[[#Headers],[EMPLOYEE LABEL]]))</f>
        <v>4</v>
      </c>
      <c r="AB7">
        <f ca="1">IF(T_EMPLOYEES[[#This Row],[EMPLOYEE NUMBER]]="","",IF(COUNTIF(T_EMPLOYEES[EMPLOYEE NUMBER],T_EMPLOYEES[[#This Row],[EMPLOYEE NUMBER]])&gt;1,1,0))</f>
        <v>0</v>
      </c>
      <c r="AC7">
        <f ca="1">IF(T_EMPLOYEES[[#This Row],[EMPLOYEE NUMBER]]="","",IF(AND(T_EMPLOYEES[[#This Row],[DATE OF BIRTH]]&gt;0,T_EMPLOYEES[[#This Row],[DATE OF BIRTH]]&lt;TODAY()),0,1))</f>
        <v>0</v>
      </c>
      <c r="AD7">
        <f ca="1">IF(T_EMPLOYEES[[#This Row],[EMPLOYEE NUMBER]]="","",IF(AND(T_EMPLOYEES[[#This Row],[START DATE]]&gt;0,T_EMPLOYEES[[#This Row],[START DATE]]&lt;TODAY()+60),0,1))</f>
        <v>0</v>
      </c>
      <c r="AE7">
        <f ca="1">IF(T_EMPLOYEES[[#This Row],[EMPLOYEE NUMBER]]="","",MATCH(T_EMPLOYEES[[#This Row],[GENDER]],L_GENDER,0))</f>
        <v>1</v>
      </c>
      <c r="AF7">
        <f ca="1">IF(T_EMPLOYEES[[#This Row],[EMPLOYEE NUMBER]]="","",MATCH(T_EMPLOYEES[[#This Row],[HIRE SOURCE]],L_HIRESOURCE,0))</f>
        <v>4</v>
      </c>
      <c r="AG7">
        <f ca="1">IF(T_EMPLOYEES[[#This Row],[EMPLOYEE NUMBER]]="","",MATCH(T_EMPLOYEES[[#This Row],[ETHNICITY]],L_ETHNICITY,0))</f>
        <v>3</v>
      </c>
      <c r="AH7">
        <f ca="1">IF(T_EMPLOYEES[[#This Row],[EMPLOYEE NUMBER]]="","",MATCH(T_EMPLOYEES[[#This Row],[LOCATION]],L_LOCATION,0))</f>
        <v>2</v>
      </c>
      <c r="AI7">
        <f ca="1">IF(T_EMPLOYEES[[#This Row],[EMPLOYEE NUMBER]]="","",MATCH(T_EMPLOYEES[[#This Row],[DEPARTMENT]],L_DEPARTMENT,0))</f>
        <v>2</v>
      </c>
      <c r="AJ7">
        <f ca="1">IF(T_EMPLOYEES[[#This Row],[EMPLOYEE NUMBER]]="","",MATCH(T_EMPLOYEES[[#This Row],[JOB TYPE]],L_JOBTYPE,0))</f>
        <v>2</v>
      </c>
      <c r="AK7">
        <f ca="1">IF(T_EMPLOYEES[[#This Row],[EMPLOYEE NUMBER]]="","",MATCH(T_EMPLOYEES[[#This Row],[JOB CATEGORY]],L_JOBCATEGORY,0))</f>
        <v>5</v>
      </c>
      <c r="AL7">
        <f ca="1">IF(T_EMPLOYEES[[#This Row],[EMPLOYEE NUMBER]]="","",MATCH(T_EMPLOYEES[[#This Row],[JOB LEVEL]],L_JOBLEVEL,0))</f>
        <v>5</v>
      </c>
      <c r="AM7">
        <f ca="1">IF(T_EMPLOYEES[[#This Row],[EMPLOYEE NUMBER]]="","",MATCH(T_EMPLOYEES[[#This Row],[JOB TITLE]],L_JOBTITLE,0))</f>
        <v>5</v>
      </c>
      <c r="AN7">
        <f ca="1">IF(T_EMPLOYEES[[#This Row],[EMPLOYEE NUMBER]]="","",MATCH(T_EMPLOYEES[[#This Row],[MANAGER]],L_EMPLABELS,0))</f>
        <v>43</v>
      </c>
      <c r="AO7">
        <f ca="1">IF(T_EMPLOYEES[[#This Row],[EMPLOYEE NUMBER]]="","",IF(T_EMPLOYEES[[#This Row],[ERROR]]="",0,1))</f>
        <v>0</v>
      </c>
      <c r="AP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" spans="1:42">
      <c r="A8" t="s">
        <v>219</v>
      </c>
      <c r="B8" t="s">
        <v>220</v>
      </c>
      <c r="C8">
        <v>1028704</v>
      </c>
      <c r="D8" t="s">
        <v>221</v>
      </c>
      <c r="E8" s="26">
        <v>26478</v>
      </c>
      <c r="F8" s="26">
        <v>44649</v>
      </c>
      <c r="G8" s="26">
        <v>45575</v>
      </c>
      <c r="H8" t="s">
        <v>27</v>
      </c>
      <c r="I8" t="s">
        <v>54</v>
      </c>
      <c r="J8" t="s">
        <v>64</v>
      </c>
      <c r="K8" t="s">
        <v>43</v>
      </c>
      <c r="L8" s="27" t="s">
        <v>45</v>
      </c>
      <c r="M8" t="s">
        <v>46</v>
      </c>
      <c r="N8" t="s">
        <v>89</v>
      </c>
      <c r="O8" t="s">
        <v>60</v>
      </c>
      <c r="P8" t="s">
        <v>89</v>
      </c>
      <c r="Q8" t="s">
        <v>222</v>
      </c>
      <c r="R8" s="27">
        <v>5</v>
      </c>
      <c r="S8" s="1">
        <v>150000</v>
      </c>
      <c r="T8" s="1">
        <f ca="1">ROUND(T_EMPLOYEES[[#This Row],[EMP_CTC1]]/12, 0)</f>
        <v>12500</v>
      </c>
      <c r="U8" s="1">
        <v>55000</v>
      </c>
      <c r="V8" s="1" t="s">
        <v>207</v>
      </c>
      <c r="W8" s="1" t="s">
        <v>207</v>
      </c>
      <c r="X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Shingnapurkar Prasad P (1028704)</v>
      </c>
      <c r="Y8">
        <v>100000</v>
      </c>
      <c r="Z8" s="29">
        <f t="shared" ca="1" si="0"/>
        <v>75.757575757575751</v>
      </c>
      <c r="AA8">
        <f ca="1">IF(T_EMPLOYEES[[#This Row],[EMPLOYEE NUMBER]]="","",ROW(T_EMPLOYEES[[#This Row],[EMPLOYEE LABEL]])-ROW(T_EMPLOYEES[[#Headers],[EMPLOYEE LABEL]]))</f>
        <v>5</v>
      </c>
      <c r="AB8">
        <f ca="1">IF(T_EMPLOYEES[[#This Row],[EMPLOYEE NUMBER]]="","",IF(COUNTIF(T_EMPLOYEES[EMPLOYEE NUMBER],T_EMPLOYEES[[#This Row],[EMPLOYEE NUMBER]])&gt;1,1,0))</f>
        <v>0</v>
      </c>
      <c r="AC8">
        <f ca="1">IF(T_EMPLOYEES[[#This Row],[EMPLOYEE NUMBER]]="","",IF(AND(T_EMPLOYEES[[#This Row],[DATE OF BIRTH]]&gt;0,T_EMPLOYEES[[#This Row],[DATE OF BIRTH]]&lt;TODAY()),0,1))</f>
        <v>0</v>
      </c>
      <c r="AD8">
        <f ca="1">IF(T_EMPLOYEES[[#This Row],[EMPLOYEE NUMBER]]="","",IF(AND(T_EMPLOYEES[[#This Row],[START DATE]]&gt;0,T_EMPLOYEES[[#This Row],[START DATE]]&lt;TODAY()+60),0,1))</f>
        <v>0</v>
      </c>
      <c r="AE8">
        <f ca="1">IF(T_EMPLOYEES[[#This Row],[EMPLOYEE NUMBER]]="","",MATCH(T_EMPLOYEES[[#This Row],[GENDER]],L_GENDER,0))</f>
        <v>1</v>
      </c>
      <c r="AF8">
        <f ca="1">IF(T_EMPLOYEES[[#This Row],[EMPLOYEE NUMBER]]="","",MATCH(T_EMPLOYEES[[#This Row],[HIRE SOURCE]],L_HIRESOURCE,0))</f>
        <v>4</v>
      </c>
      <c r="AG8">
        <f ca="1">IF(T_EMPLOYEES[[#This Row],[EMPLOYEE NUMBER]]="","",MATCH(T_EMPLOYEES[[#This Row],[ETHNICITY]],L_ETHNICITY,0))</f>
        <v>3</v>
      </c>
      <c r="AH8">
        <f ca="1">IF(T_EMPLOYEES[[#This Row],[EMPLOYEE NUMBER]]="","",MATCH(T_EMPLOYEES[[#This Row],[LOCATION]],L_LOCATION,0))</f>
        <v>2</v>
      </c>
      <c r="AI8">
        <f ca="1">IF(T_EMPLOYEES[[#This Row],[EMPLOYEE NUMBER]]="","",MATCH(T_EMPLOYEES[[#This Row],[DEPARTMENT]],L_DEPARTMENT,0))</f>
        <v>2</v>
      </c>
      <c r="AJ8">
        <f ca="1">IF(T_EMPLOYEES[[#This Row],[EMPLOYEE NUMBER]]="","",MATCH(T_EMPLOYEES[[#This Row],[JOB TYPE]],L_JOBTYPE,0))</f>
        <v>2</v>
      </c>
      <c r="AK8">
        <f ca="1">IF(T_EMPLOYEES[[#This Row],[EMPLOYEE NUMBER]]="","",MATCH(T_EMPLOYEES[[#This Row],[JOB CATEGORY]],L_JOBCATEGORY,0))</f>
        <v>6</v>
      </c>
      <c r="AL8">
        <f ca="1">IF(T_EMPLOYEES[[#This Row],[EMPLOYEE NUMBER]]="","",MATCH(T_EMPLOYEES[[#This Row],[JOB LEVEL]],L_JOBLEVEL,0))</f>
        <v>3</v>
      </c>
      <c r="AM8">
        <f ca="1">IF(T_EMPLOYEES[[#This Row],[EMPLOYEE NUMBER]]="","",MATCH(T_EMPLOYEES[[#This Row],[JOB TITLE]],L_JOBTITLE,0))</f>
        <v>6</v>
      </c>
      <c r="AN8">
        <f ca="1">IF(T_EMPLOYEES[[#This Row],[EMPLOYEE NUMBER]]="","",MATCH(T_EMPLOYEES[[#This Row],[MANAGER]],L_EMPLABELS,0))</f>
        <v>69</v>
      </c>
      <c r="AO8">
        <f ca="1">IF(T_EMPLOYEES[[#This Row],[EMPLOYEE NUMBER]]="","",IF(T_EMPLOYEES[[#This Row],[ERROR]]="",0,1))</f>
        <v>0</v>
      </c>
      <c r="AP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" spans="1:42">
      <c r="A9" t="s">
        <v>223</v>
      </c>
      <c r="B9" t="s">
        <v>224</v>
      </c>
      <c r="C9">
        <v>1027230</v>
      </c>
      <c r="D9" t="s">
        <v>225</v>
      </c>
      <c r="E9" s="26">
        <v>26510</v>
      </c>
      <c r="F9" s="26">
        <v>44517</v>
      </c>
      <c r="G9" s="26">
        <v>44542</v>
      </c>
      <c r="H9" t="s">
        <v>27</v>
      </c>
      <c r="I9" t="s">
        <v>54</v>
      </c>
      <c r="J9" t="s">
        <v>64</v>
      </c>
      <c r="K9" t="s">
        <v>43</v>
      </c>
      <c r="L9" s="27" t="s">
        <v>45</v>
      </c>
      <c r="M9" t="s">
        <v>46</v>
      </c>
      <c r="N9" t="s">
        <v>70</v>
      </c>
      <c r="O9" t="s">
        <v>96</v>
      </c>
      <c r="P9" t="s">
        <v>70</v>
      </c>
      <c r="Q9" t="s">
        <v>215</v>
      </c>
      <c r="R9">
        <v>2</v>
      </c>
      <c r="S9" s="1">
        <v>330000</v>
      </c>
      <c r="T9" s="1">
        <f ca="1">ROUND(T_EMPLOYEES[[#This Row],[EMP_CTC1]]/12, 0)</f>
        <v>27500</v>
      </c>
      <c r="U9" s="1">
        <v>80000</v>
      </c>
      <c r="V9" s="1" t="s">
        <v>207</v>
      </c>
      <c r="W9" s="1" t="s">
        <v>207</v>
      </c>
      <c r="X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Dipakbhai Motibhai Tandel (1027230)</v>
      </c>
      <c r="Y9">
        <v>150000</v>
      </c>
      <c r="Z9" s="29">
        <f t="shared" ref="Z9:Z69" ca="1" si="1">(S9 - U9)/S9 * 100</f>
        <v>75.757575757575751</v>
      </c>
      <c r="AA9">
        <f ca="1">IF(T_EMPLOYEES[[#This Row],[EMPLOYEE NUMBER]]="","",ROW(T_EMPLOYEES[[#This Row],[EMPLOYEE LABEL]])-ROW(T_EMPLOYEES[[#Headers],[EMPLOYEE LABEL]]))</f>
        <v>6</v>
      </c>
      <c r="AB9">
        <f ca="1">IF(T_EMPLOYEES[[#This Row],[EMPLOYEE NUMBER]]="","",IF(COUNTIF(T_EMPLOYEES[EMPLOYEE NUMBER],T_EMPLOYEES[[#This Row],[EMPLOYEE NUMBER]])&gt;1,1,0))</f>
        <v>0</v>
      </c>
      <c r="AC9">
        <f ca="1">IF(T_EMPLOYEES[[#This Row],[EMPLOYEE NUMBER]]="","",IF(AND(T_EMPLOYEES[[#This Row],[DATE OF BIRTH]]&gt;0,T_EMPLOYEES[[#This Row],[DATE OF BIRTH]]&lt;TODAY()),0,1))</f>
        <v>0</v>
      </c>
      <c r="AD9">
        <f ca="1">IF(T_EMPLOYEES[[#This Row],[EMPLOYEE NUMBER]]="","",IF(AND(T_EMPLOYEES[[#This Row],[START DATE]]&gt;0,T_EMPLOYEES[[#This Row],[START DATE]]&lt;TODAY()+60),0,1))</f>
        <v>0</v>
      </c>
      <c r="AE9">
        <f ca="1">IF(T_EMPLOYEES[[#This Row],[EMPLOYEE NUMBER]]="","",MATCH(T_EMPLOYEES[[#This Row],[GENDER]],L_GENDER,0))</f>
        <v>1</v>
      </c>
      <c r="AF9">
        <f ca="1">IF(T_EMPLOYEES[[#This Row],[EMPLOYEE NUMBER]]="","",MATCH(T_EMPLOYEES[[#This Row],[HIRE SOURCE]],L_HIRESOURCE,0))</f>
        <v>4</v>
      </c>
      <c r="AG9">
        <f ca="1">IF(T_EMPLOYEES[[#This Row],[EMPLOYEE NUMBER]]="","",MATCH(T_EMPLOYEES[[#This Row],[ETHNICITY]],L_ETHNICITY,0))</f>
        <v>3</v>
      </c>
      <c r="AH9">
        <f ca="1">IF(T_EMPLOYEES[[#This Row],[EMPLOYEE NUMBER]]="","",MATCH(T_EMPLOYEES[[#This Row],[LOCATION]],L_LOCATION,0))</f>
        <v>2</v>
      </c>
      <c r="AI9">
        <f ca="1">IF(T_EMPLOYEES[[#This Row],[EMPLOYEE NUMBER]]="","",MATCH(T_EMPLOYEES[[#This Row],[DEPARTMENT]],L_DEPARTMENT,0))</f>
        <v>2</v>
      </c>
      <c r="AJ9">
        <f ca="1">IF(T_EMPLOYEES[[#This Row],[EMPLOYEE NUMBER]]="","",MATCH(T_EMPLOYEES[[#This Row],[JOB TYPE]],L_JOBTYPE,0))</f>
        <v>2</v>
      </c>
      <c r="AK9">
        <f ca="1">IF(T_EMPLOYEES[[#This Row],[EMPLOYEE NUMBER]]="","",MATCH(T_EMPLOYEES[[#This Row],[JOB CATEGORY]],L_JOBCATEGORY,0))</f>
        <v>4</v>
      </c>
      <c r="AL9">
        <f ca="1">IF(T_EMPLOYEES[[#This Row],[EMPLOYEE NUMBER]]="","",MATCH(T_EMPLOYEES[[#This Row],[JOB LEVEL]],L_JOBLEVEL,0))</f>
        <v>7</v>
      </c>
      <c r="AM9">
        <f ca="1">IF(T_EMPLOYEES[[#This Row],[EMPLOYEE NUMBER]]="","",MATCH(T_EMPLOYEES[[#This Row],[JOB TITLE]],L_JOBTITLE,0))</f>
        <v>4</v>
      </c>
      <c r="AN9">
        <f ca="1">IF(T_EMPLOYEES[[#This Row],[EMPLOYEE NUMBER]]="","",MATCH(T_EMPLOYEES[[#This Row],[MANAGER]],L_EMPLABELS,0))</f>
        <v>13</v>
      </c>
      <c r="AO9">
        <f ca="1">IF(T_EMPLOYEES[[#This Row],[EMPLOYEE NUMBER]]="","",IF(T_EMPLOYEES[[#This Row],[ERROR]]="",0,1))</f>
        <v>0</v>
      </c>
      <c r="AP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" spans="1:42">
      <c r="A10" t="s">
        <v>226</v>
      </c>
      <c r="B10" t="s">
        <v>227</v>
      </c>
      <c r="C10">
        <v>1008532</v>
      </c>
      <c r="D10" t="s">
        <v>228</v>
      </c>
      <c r="E10" s="26">
        <v>26606</v>
      </c>
      <c r="F10" s="26">
        <v>40548</v>
      </c>
      <c r="G10" s="26">
        <v>44208</v>
      </c>
      <c r="H10" t="s">
        <v>27</v>
      </c>
      <c r="I10" t="s">
        <v>54</v>
      </c>
      <c r="J10" t="s">
        <v>64</v>
      </c>
      <c r="K10" t="s">
        <v>43</v>
      </c>
      <c r="L10" s="27" t="s">
        <v>45</v>
      </c>
      <c r="M10" t="s">
        <v>46</v>
      </c>
      <c r="N10" t="s">
        <v>95</v>
      </c>
      <c r="O10" t="s">
        <v>96</v>
      </c>
      <c r="P10" t="s">
        <v>95</v>
      </c>
      <c r="Q10" t="s">
        <v>215</v>
      </c>
      <c r="R10" s="27">
        <v>1</v>
      </c>
      <c r="S10" s="1">
        <v>5000000</v>
      </c>
      <c r="T10" s="1">
        <f ca="1">ROUND(T_EMPLOYEES[[#This Row],[EMP_CTC1]]/12, 0)</f>
        <v>416667</v>
      </c>
      <c r="U10" s="1">
        <v>2300000</v>
      </c>
      <c r="V10" s="1" t="s">
        <v>207</v>
      </c>
      <c r="W10" s="1" t="s">
        <v>207</v>
      </c>
      <c r="X1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 Murari Bhat (1008532)</v>
      </c>
      <c r="Y10">
        <v>40000</v>
      </c>
      <c r="Z10" s="29">
        <f t="shared" ca="1" si="1"/>
        <v>54</v>
      </c>
      <c r="AA10">
        <f ca="1">IF(T_EMPLOYEES[[#This Row],[EMPLOYEE NUMBER]]="","",ROW(T_EMPLOYEES[[#This Row],[EMPLOYEE LABEL]])-ROW(T_EMPLOYEES[[#Headers],[EMPLOYEE LABEL]]))</f>
        <v>7</v>
      </c>
      <c r="AB10">
        <f ca="1">IF(T_EMPLOYEES[[#This Row],[EMPLOYEE NUMBER]]="","",IF(COUNTIF(T_EMPLOYEES[EMPLOYEE NUMBER],T_EMPLOYEES[[#This Row],[EMPLOYEE NUMBER]])&gt;1,1,0))</f>
        <v>0</v>
      </c>
      <c r="AC10">
        <f ca="1">IF(T_EMPLOYEES[[#This Row],[EMPLOYEE NUMBER]]="","",IF(AND(T_EMPLOYEES[[#This Row],[DATE OF BIRTH]]&gt;0,T_EMPLOYEES[[#This Row],[DATE OF BIRTH]]&lt;TODAY()),0,1))</f>
        <v>0</v>
      </c>
      <c r="AD10">
        <f ca="1">IF(T_EMPLOYEES[[#This Row],[EMPLOYEE NUMBER]]="","",IF(AND(T_EMPLOYEES[[#This Row],[START DATE]]&gt;0,T_EMPLOYEES[[#This Row],[START DATE]]&lt;TODAY()+60),0,1))</f>
        <v>0</v>
      </c>
      <c r="AE10">
        <f ca="1">IF(T_EMPLOYEES[[#This Row],[EMPLOYEE NUMBER]]="","",MATCH(T_EMPLOYEES[[#This Row],[GENDER]],L_GENDER,0))</f>
        <v>1</v>
      </c>
      <c r="AF10">
        <f ca="1">IF(T_EMPLOYEES[[#This Row],[EMPLOYEE NUMBER]]="","",MATCH(T_EMPLOYEES[[#This Row],[HIRE SOURCE]],L_HIRESOURCE,0))</f>
        <v>4</v>
      </c>
      <c r="AG10">
        <f ca="1">IF(T_EMPLOYEES[[#This Row],[EMPLOYEE NUMBER]]="","",MATCH(T_EMPLOYEES[[#This Row],[ETHNICITY]],L_ETHNICITY,0))</f>
        <v>3</v>
      </c>
      <c r="AH10">
        <f ca="1">IF(T_EMPLOYEES[[#This Row],[EMPLOYEE NUMBER]]="","",MATCH(T_EMPLOYEES[[#This Row],[LOCATION]],L_LOCATION,0))</f>
        <v>2</v>
      </c>
      <c r="AI10">
        <f ca="1">IF(T_EMPLOYEES[[#This Row],[EMPLOYEE NUMBER]]="","",MATCH(T_EMPLOYEES[[#This Row],[DEPARTMENT]],L_DEPARTMENT,0))</f>
        <v>2</v>
      </c>
      <c r="AJ10">
        <f ca="1">IF(T_EMPLOYEES[[#This Row],[EMPLOYEE NUMBER]]="","",MATCH(T_EMPLOYEES[[#This Row],[JOB TYPE]],L_JOBTYPE,0))</f>
        <v>2</v>
      </c>
      <c r="AK10">
        <f ca="1">IF(T_EMPLOYEES[[#This Row],[EMPLOYEE NUMBER]]="","",MATCH(T_EMPLOYEES[[#This Row],[JOB CATEGORY]],L_JOBCATEGORY,0))</f>
        <v>7</v>
      </c>
      <c r="AL10">
        <f ca="1">IF(T_EMPLOYEES[[#This Row],[EMPLOYEE NUMBER]]="","",MATCH(T_EMPLOYEES[[#This Row],[JOB LEVEL]],L_JOBLEVEL,0))</f>
        <v>7</v>
      </c>
      <c r="AM10">
        <f ca="1">IF(T_EMPLOYEES[[#This Row],[EMPLOYEE NUMBER]]="","",MATCH(T_EMPLOYEES[[#This Row],[JOB TITLE]],L_JOBTITLE,0))</f>
        <v>7</v>
      </c>
      <c r="AN10">
        <f ca="1">IF(T_EMPLOYEES[[#This Row],[EMPLOYEE NUMBER]]="","",MATCH(T_EMPLOYEES[[#This Row],[MANAGER]],L_EMPLABELS,0))</f>
        <v>13</v>
      </c>
      <c r="AO10">
        <f ca="1">IF(T_EMPLOYEES[[#This Row],[EMPLOYEE NUMBER]]="","",IF(T_EMPLOYEES[[#This Row],[ERROR]]="",0,1))</f>
        <v>0</v>
      </c>
      <c r="AP1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" spans="1:42">
      <c r="A11" t="s">
        <v>229</v>
      </c>
      <c r="B11" t="s">
        <v>230</v>
      </c>
      <c r="C11">
        <v>1028538</v>
      </c>
      <c r="D11" t="s">
        <v>231</v>
      </c>
      <c r="E11" s="26">
        <v>26924</v>
      </c>
      <c r="F11" s="26">
        <v>44628</v>
      </c>
      <c r="G11" s="26">
        <v>44571</v>
      </c>
      <c r="H11" t="s">
        <v>27</v>
      </c>
      <c r="I11" t="s">
        <v>54</v>
      </c>
      <c r="J11" t="s">
        <v>64</v>
      </c>
      <c r="K11" t="s">
        <v>43</v>
      </c>
      <c r="L11" s="27" t="s">
        <v>45</v>
      </c>
      <c r="M11" t="s">
        <v>46</v>
      </c>
      <c r="N11" t="s">
        <v>70</v>
      </c>
      <c r="O11" t="s">
        <v>96</v>
      </c>
      <c r="P11" t="s">
        <v>70</v>
      </c>
      <c r="Q11" t="s">
        <v>232</v>
      </c>
      <c r="R11">
        <v>2</v>
      </c>
      <c r="S11" s="1">
        <v>5000000</v>
      </c>
      <c r="T11" s="1">
        <f ca="1">ROUND(T_EMPLOYEES[[#This Row],[EMP_CTC1]]/12, 0)</f>
        <v>416667</v>
      </c>
      <c r="U11" s="1">
        <v>2300000</v>
      </c>
      <c r="V11" s="1" t="s">
        <v>207</v>
      </c>
      <c r="W11" s="1" t="s">
        <v>207</v>
      </c>
      <c r="X1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Srinivas Rao Vemana (1028538)</v>
      </c>
      <c r="Y11">
        <v>40000</v>
      </c>
      <c r="Z11" s="29">
        <f t="shared" ca="1" si="1"/>
        <v>54</v>
      </c>
      <c r="AA11">
        <f ca="1">IF(T_EMPLOYEES[[#This Row],[EMPLOYEE NUMBER]]="","",ROW(T_EMPLOYEES[[#This Row],[EMPLOYEE LABEL]])-ROW(T_EMPLOYEES[[#Headers],[EMPLOYEE LABEL]]))</f>
        <v>8</v>
      </c>
      <c r="AB11">
        <f ca="1">IF(T_EMPLOYEES[[#This Row],[EMPLOYEE NUMBER]]="","",IF(COUNTIF(T_EMPLOYEES[EMPLOYEE NUMBER],T_EMPLOYEES[[#This Row],[EMPLOYEE NUMBER]])&gt;1,1,0))</f>
        <v>0</v>
      </c>
      <c r="AC11">
        <f ca="1">IF(T_EMPLOYEES[[#This Row],[EMPLOYEE NUMBER]]="","",IF(AND(T_EMPLOYEES[[#This Row],[DATE OF BIRTH]]&gt;0,T_EMPLOYEES[[#This Row],[DATE OF BIRTH]]&lt;TODAY()),0,1))</f>
        <v>0</v>
      </c>
      <c r="AD11">
        <f ca="1">IF(T_EMPLOYEES[[#This Row],[EMPLOYEE NUMBER]]="","",IF(AND(T_EMPLOYEES[[#This Row],[START DATE]]&gt;0,T_EMPLOYEES[[#This Row],[START DATE]]&lt;TODAY()+60),0,1))</f>
        <v>0</v>
      </c>
      <c r="AE11">
        <f ca="1">IF(T_EMPLOYEES[[#This Row],[EMPLOYEE NUMBER]]="","",MATCH(T_EMPLOYEES[[#This Row],[GENDER]],L_GENDER,0))</f>
        <v>1</v>
      </c>
      <c r="AF11">
        <f ca="1">IF(T_EMPLOYEES[[#This Row],[EMPLOYEE NUMBER]]="","",MATCH(T_EMPLOYEES[[#This Row],[HIRE SOURCE]],L_HIRESOURCE,0))</f>
        <v>4</v>
      </c>
      <c r="AG11">
        <f ca="1">IF(T_EMPLOYEES[[#This Row],[EMPLOYEE NUMBER]]="","",MATCH(T_EMPLOYEES[[#This Row],[ETHNICITY]],L_ETHNICITY,0))</f>
        <v>3</v>
      </c>
      <c r="AH11">
        <f ca="1">IF(T_EMPLOYEES[[#This Row],[EMPLOYEE NUMBER]]="","",MATCH(T_EMPLOYEES[[#This Row],[LOCATION]],L_LOCATION,0))</f>
        <v>2</v>
      </c>
      <c r="AI11">
        <f ca="1">IF(T_EMPLOYEES[[#This Row],[EMPLOYEE NUMBER]]="","",MATCH(T_EMPLOYEES[[#This Row],[DEPARTMENT]],L_DEPARTMENT,0))</f>
        <v>2</v>
      </c>
      <c r="AJ11">
        <f ca="1">IF(T_EMPLOYEES[[#This Row],[EMPLOYEE NUMBER]]="","",MATCH(T_EMPLOYEES[[#This Row],[JOB TYPE]],L_JOBTYPE,0))</f>
        <v>2</v>
      </c>
      <c r="AK11">
        <f ca="1">IF(T_EMPLOYEES[[#This Row],[EMPLOYEE NUMBER]]="","",MATCH(T_EMPLOYEES[[#This Row],[JOB CATEGORY]],L_JOBCATEGORY,0))</f>
        <v>4</v>
      </c>
      <c r="AL11">
        <f ca="1">IF(T_EMPLOYEES[[#This Row],[EMPLOYEE NUMBER]]="","",MATCH(T_EMPLOYEES[[#This Row],[JOB LEVEL]],L_JOBLEVEL,0))</f>
        <v>7</v>
      </c>
      <c r="AM11">
        <f ca="1">IF(T_EMPLOYEES[[#This Row],[EMPLOYEE NUMBER]]="","",MATCH(T_EMPLOYEES[[#This Row],[JOB TITLE]],L_JOBTITLE,0))</f>
        <v>4</v>
      </c>
      <c r="AN11">
        <f ca="1">IF(T_EMPLOYEES[[#This Row],[EMPLOYEE NUMBER]]="","",MATCH(T_EMPLOYEES[[#This Row],[MANAGER]],L_EMPLABELS,0))</f>
        <v>19</v>
      </c>
      <c r="AO11">
        <f ca="1">IF(T_EMPLOYEES[[#This Row],[EMPLOYEE NUMBER]]="","",IF(T_EMPLOYEES[[#This Row],[ERROR]]="",0,1))</f>
        <v>0</v>
      </c>
      <c r="AP1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" spans="1:42">
      <c r="A12" t="s">
        <v>233</v>
      </c>
      <c r="B12" t="s">
        <v>234</v>
      </c>
      <c r="C12">
        <v>1025919</v>
      </c>
      <c r="D12" t="s">
        <v>235</v>
      </c>
      <c r="E12" s="26">
        <v>27221</v>
      </c>
      <c r="F12" s="26">
        <v>44403</v>
      </c>
      <c r="G12" s="26">
        <v>44571</v>
      </c>
      <c r="H12" t="s">
        <v>27</v>
      </c>
      <c r="I12" t="s">
        <v>54</v>
      </c>
      <c r="J12" t="s">
        <v>64</v>
      </c>
      <c r="K12" t="s">
        <v>30</v>
      </c>
      <c r="L12" s="27" t="s">
        <v>45</v>
      </c>
      <c r="M12" t="s">
        <v>46</v>
      </c>
      <c r="N12" t="s">
        <v>101</v>
      </c>
      <c r="O12" t="s">
        <v>90</v>
      </c>
      <c r="P12" t="s">
        <v>101</v>
      </c>
      <c r="Q12" t="s">
        <v>236</v>
      </c>
      <c r="R12" s="27">
        <v>6</v>
      </c>
      <c r="S12" s="1">
        <v>5000000</v>
      </c>
      <c r="T12" s="1">
        <f ca="1">ROUND(T_EMPLOYEES[[#This Row],[EMP_CTC1]]/12, 0)</f>
        <v>416667</v>
      </c>
      <c r="U12" s="1">
        <v>2300000</v>
      </c>
      <c r="V12" s="1" t="s">
        <v>207</v>
      </c>
      <c r="W12" s="1" t="s">
        <v>207</v>
      </c>
      <c r="X1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Unnikrishnan Chellappan C (1025919)</v>
      </c>
      <c r="Y12">
        <v>40000</v>
      </c>
      <c r="Z12" s="29">
        <f t="shared" ca="1" si="1"/>
        <v>54</v>
      </c>
      <c r="AA12">
        <f ca="1">IF(T_EMPLOYEES[[#This Row],[EMPLOYEE NUMBER]]="","",ROW(T_EMPLOYEES[[#This Row],[EMPLOYEE LABEL]])-ROW(T_EMPLOYEES[[#Headers],[EMPLOYEE LABEL]]))</f>
        <v>9</v>
      </c>
      <c r="AB12">
        <f ca="1">IF(T_EMPLOYEES[[#This Row],[EMPLOYEE NUMBER]]="","",IF(COUNTIF(T_EMPLOYEES[EMPLOYEE NUMBER],T_EMPLOYEES[[#This Row],[EMPLOYEE NUMBER]])&gt;1,1,0))</f>
        <v>0</v>
      </c>
      <c r="AC12">
        <f ca="1">IF(T_EMPLOYEES[[#This Row],[EMPLOYEE NUMBER]]="","",IF(AND(T_EMPLOYEES[[#This Row],[DATE OF BIRTH]]&gt;0,T_EMPLOYEES[[#This Row],[DATE OF BIRTH]]&lt;TODAY()),0,1))</f>
        <v>0</v>
      </c>
      <c r="AD12">
        <f ca="1">IF(T_EMPLOYEES[[#This Row],[EMPLOYEE NUMBER]]="","",IF(AND(T_EMPLOYEES[[#This Row],[START DATE]]&gt;0,T_EMPLOYEES[[#This Row],[START DATE]]&lt;TODAY()+60),0,1))</f>
        <v>0</v>
      </c>
      <c r="AE12">
        <f ca="1">IF(T_EMPLOYEES[[#This Row],[EMPLOYEE NUMBER]]="","",MATCH(T_EMPLOYEES[[#This Row],[GENDER]],L_GENDER,0))</f>
        <v>1</v>
      </c>
      <c r="AF12">
        <f ca="1">IF(T_EMPLOYEES[[#This Row],[EMPLOYEE NUMBER]]="","",MATCH(T_EMPLOYEES[[#This Row],[HIRE SOURCE]],L_HIRESOURCE,0))</f>
        <v>4</v>
      </c>
      <c r="AG12">
        <f ca="1">IF(T_EMPLOYEES[[#This Row],[EMPLOYEE NUMBER]]="","",MATCH(T_EMPLOYEES[[#This Row],[ETHNICITY]],L_ETHNICITY,0))</f>
        <v>3</v>
      </c>
      <c r="AH12">
        <f ca="1">IF(T_EMPLOYEES[[#This Row],[EMPLOYEE NUMBER]]="","",MATCH(T_EMPLOYEES[[#This Row],[LOCATION]],L_LOCATION,0))</f>
        <v>1</v>
      </c>
      <c r="AI12">
        <f ca="1">IF(T_EMPLOYEES[[#This Row],[EMPLOYEE NUMBER]]="","",MATCH(T_EMPLOYEES[[#This Row],[DEPARTMENT]],L_DEPARTMENT,0))</f>
        <v>2</v>
      </c>
      <c r="AJ12">
        <f ca="1">IF(T_EMPLOYEES[[#This Row],[EMPLOYEE NUMBER]]="","",MATCH(T_EMPLOYEES[[#This Row],[JOB TYPE]],L_JOBTYPE,0))</f>
        <v>2</v>
      </c>
      <c r="AK12">
        <f ca="1">IF(T_EMPLOYEES[[#This Row],[EMPLOYEE NUMBER]]="","",MATCH(T_EMPLOYEES[[#This Row],[JOB CATEGORY]],L_JOBCATEGORY,0))</f>
        <v>8</v>
      </c>
      <c r="AL12">
        <f ca="1">IF(T_EMPLOYEES[[#This Row],[EMPLOYEE NUMBER]]="","",MATCH(T_EMPLOYEES[[#This Row],[JOB LEVEL]],L_JOBLEVEL,0))</f>
        <v>6</v>
      </c>
      <c r="AM12">
        <f ca="1">IF(T_EMPLOYEES[[#This Row],[EMPLOYEE NUMBER]]="","",MATCH(T_EMPLOYEES[[#This Row],[JOB TITLE]],L_JOBTITLE,0))</f>
        <v>8</v>
      </c>
      <c r="AN12">
        <f ca="1">IF(T_EMPLOYEES[[#This Row],[EMPLOYEE NUMBER]]="","",MATCH(T_EMPLOYEES[[#This Row],[MANAGER]],L_EMPLABELS,0))</f>
        <v>60</v>
      </c>
      <c r="AO12">
        <f ca="1">IF(T_EMPLOYEES[[#This Row],[EMPLOYEE NUMBER]]="","",IF(T_EMPLOYEES[[#This Row],[ERROR]]="",0,1))</f>
        <v>0</v>
      </c>
      <c r="AP1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" spans="1:42">
      <c r="A13" t="s">
        <v>237</v>
      </c>
      <c r="B13" t="s">
        <v>238</v>
      </c>
      <c r="C13">
        <v>1028544</v>
      </c>
      <c r="D13" t="s">
        <v>239</v>
      </c>
      <c r="E13" s="26">
        <v>27238</v>
      </c>
      <c r="F13" s="26">
        <v>44628</v>
      </c>
      <c r="G13" s="26">
        <v>44571</v>
      </c>
      <c r="H13" t="s">
        <v>27</v>
      </c>
      <c r="I13" t="s">
        <v>54</v>
      </c>
      <c r="J13" t="s">
        <v>64</v>
      </c>
      <c r="K13" t="s">
        <v>43</v>
      </c>
      <c r="L13" s="27" t="s">
        <v>45</v>
      </c>
      <c r="M13" t="s">
        <v>46</v>
      </c>
      <c r="N13" t="s">
        <v>105</v>
      </c>
      <c r="O13" t="s">
        <v>96</v>
      </c>
      <c r="P13" t="s">
        <v>105</v>
      </c>
      <c r="Q13" t="s">
        <v>236</v>
      </c>
      <c r="R13">
        <v>4</v>
      </c>
      <c r="S13" s="1">
        <v>5000000</v>
      </c>
      <c r="T13" s="1">
        <f ca="1">ROUND(T_EMPLOYEES[[#This Row],[EMP_CTC1]]/12, 0)</f>
        <v>416667</v>
      </c>
      <c r="U13" s="1">
        <v>2300000</v>
      </c>
      <c r="V13" s="1" t="s">
        <v>207</v>
      </c>
      <c r="W13" s="1" t="s">
        <v>207</v>
      </c>
      <c r="X1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Prashanth Kumar Mangipudi (1028544)</v>
      </c>
      <c r="Y13">
        <v>40000</v>
      </c>
      <c r="Z13" s="29">
        <f t="shared" ca="1" si="1"/>
        <v>54</v>
      </c>
      <c r="AA13">
        <f ca="1">IF(T_EMPLOYEES[[#This Row],[EMPLOYEE NUMBER]]="","",ROW(T_EMPLOYEES[[#This Row],[EMPLOYEE LABEL]])-ROW(T_EMPLOYEES[[#Headers],[EMPLOYEE LABEL]]))</f>
        <v>10</v>
      </c>
      <c r="AB13">
        <f ca="1">IF(T_EMPLOYEES[[#This Row],[EMPLOYEE NUMBER]]="","",IF(COUNTIF(T_EMPLOYEES[EMPLOYEE NUMBER],T_EMPLOYEES[[#This Row],[EMPLOYEE NUMBER]])&gt;1,1,0))</f>
        <v>0</v>
      </c>
      <c r="AC13">
        <f ca="1">IF(T_EMPLOYEES[[#This Row],[EMPLOYEE NUMBER]]="","",IF(AND(T_EMPLOYEES[[#This Row],[DATE OF BIRTH]]&gt;0,T_EMPLOYEES[[#This Row],[DATE OF BIRTH]]&lt;TODAY()),0,1))</f>
        <v>0</v>
      </c>
      <c r="AD13">
        <f ca="1">IF(T_EMPLOYEES[[#This Row],[EMPLOYEE NUMBER]]="","",IF(AND(T_EMPLOYEES[[#This Row],[START DATE]]&gt;0,T_EMPLOYEES[[#This Row],[START DATE]]&lt;TODAY()+60),0,1))</f>
        <v>0</v>
      </c>
      <c r="AE13">
        <f ca="1">IF(T_EMPLOYEES[[#This Row],[EMPLOYEE NUMBER]]="","",MATCH(T_EMPLOYEES[[#This Row],[GENDER]],L_GENDER,0))</f>
        <v>1</v>
      </c>
      <c r="AF13">
        <f ca="1">IF(T_EMPLOYEES[[#This Row],[EMPLOYEE NUMBER]]="","",MATCH(T_EMPLOYEES[[#This Row],[HIRE SOURCE]],L_HIRESOURCE,0))</f>
        <v>4</v>
      </c>
      <c r="AG13">
        <f ca="1">IF(T_EMPLOYEES[[#This Row],[EMPLOYEE NUMBER]]="","",MATCH(T_EMPLOYEES[[#This Row],[ETHNICITY]],L_ETHNICITY,0))</f>
        <v>3</v>
      </c>
      <c r="AH13">
        <f ca="1">IF(T_EMPLOYEES[[#This Row],[EMPLOYEE NUMBER]]="","",MATCH(T_EMPLOYEES[[#This Row],[LOCATION]],L_LOCATION,0))</f>
        <v>2</v>
      </c>
      <c r="AI13">
        <f ca="1">IF(T_EMPLOYEES[[#This Row],[EMPLOYEE NUMBER]]="","",MATCH(T_EMPLOYEES[[#This Row],[DEPARTMENT]],L_DEPARTMENT,0))</f>
        <v>2</v>
      </c>
      <c r="AJ13">
        <f ca="1">IF(T_EMPLOYEES[[#This Row],[EMPLOYEE NUMBER]]="","",MATCH(T_EMPLOYEES[[#This Row],[JOB TYPE]],L_JOBTYPE,0))</f>
        <v>2</v>
      </c>
      <c r="AK13">
        <f ca="1">IF(T_EMPLOYEES[[#This Row],[EMPLOYEE NUMBER]]="","",MATCH(T_EMPLOYEES[[#This Row],[JOB CATEGORY]],L_JOBCATEGORY,0))</f>
        <v>9</v>
      </c>
      <c r="AL13">
        <f ca="1">IF(T_EMPLOYEES[[#This Row],[EMPLOYEE NUMBER]]="","",MATCH(T_EMPLOYEES[[#This Row],[JOB LEVEL]],L_JOBLEVEL,0))</f>
        <v>7</v>
      </c>
      <c r="AM13">
        <f ca="1">IF(T_EMPLOYEES[[#This Row],[EMPLOYEE NUMBER]]="","",MATCH(T_EMPLOYEES[[#This Row],[JOB TITLE]],L_JOBTITLE,0))</f>
        <v>9</v>
      </c>
      <c r="AN13">
        <f ca="1">IF(T_EMPLOYEES[[#This Row],[EMPLOYEE NUMBER]]="","",MATCH(T_EMPLOYEES[[#This Row],[MANAGER]],L_EMPLABELS,0))</f>
        <v>60</v>
      </c>
      <c r="AO13">
        <f ca="1">IF(T_EMPLOYEES[[#This Row],[EMPLOYEE NUMBER]]="","",IF(T_EMPLOYEES[[#This Row],[ERROR]]="",0,1))</f>
        <v>0</v>
      </c>
      <c r="AP1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" spans="1:42">
      <c r="A14" t="s">
        <v>240</v>
      </c>
      <c r="B14" t="s">
        <v>241</v>
      </c>
      <c r="C14">
        <v>1027650</v>
      </c>
      <c r="D14" t="s">
        <v>242</v>
      </c>
      <c r="E14" s="26">
        <v>27354</v>
      </c>
      <c r="F14" s="26">
        <v>44543</v>
      </c>
      <c r="G14" s="26">
        <v>44571</v>
      </c>
      <c r="H14" t="s">
        <v>27</v>
      </c>
      <c r="I14" t="s">
        <v>54</v>
      </c>
      <c r="J14" t="s">
        <v>64</v>
      </c>
      <c r="K14" t="s">
        <v>43</v>
      </c>
      <c r="L14" s="27" t="s">
        <v>114</v>
      </c>
      <c r="M14" t="s">
        <v>46</v>
      </c>
      <c r="N14" t="s">
        <v>111</v>
      </c>
      <c r="O14" t="s">
        <v>71</v>
      </c>
      <c r="P14" t="s">
        <v>111</v>
      </c>
      <c r="Q14" t="s">
        <v>206</v>
      </c>
      <c r="R14" s="27">
        <v>1</v>
      </c>
      <c r="S14" s="1">
        <v>5000000</v>
      </c>
      <c r="T14" s="1">
        <f ca="1">ROUND(T_EMPLOYEES[[#This Row],[EMP_CTC1]]/12, 0)</f>
        <v>416667</v>
      </c>
      <c r="U14" s="1">
        <v>2300000</v>
      </c>
      <c r="V14" s="1" t="s">
        <v>207</v>
      </c>
      <c r="W14" s="1" t="s">
        <v>207</v>
      </c>
      <c r="X1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Sharat Kumar Ravi Sandapola (1027650)</v>
      </c>
      <c r="Y14">
        <v>40000</v>
      </c>
      <c r="Z14" s="29">
        <f t="shared" ca="1" si="1"/>
        <v>54</v>
      </c>
      <c r="AA14">
        <f ca="1">IF(T_EMPLOYEES[[#This Row],[EMPLOYEE NUMBER]]="","",ROW(T_EMPLOYEES[[#This Row],[EMPLOYEE LABEL]])-ROW(T_EMPLOYEES[[#Headers],[EMPLOYEE LABEL]]))</f>
        <v>11</v>
      </c>
      <c r="AB14">
        <f ca="1">IF(T_EMPLOYEES[[#This Row],[EMPLOYEE NUMBER]]="","",IF(COUNTIF(T_EMPLOYEES[EMPLOYEE NUMBER],T_EMPLOYEES[[#This Row],[EMPLOYEE NUMBER]])&gt;1,1,0))</f>
        <v>0</v>
      </c>
      <c r="AC14">
        <f ca="1">IF(T_EMPLOYEES[[#This Row],[EMPLOYEE NUMBER]]="","",IF(AND(T_EMPLOYEES[[#This Row],[DATE OF BIRTH]]&gt;0,T_EMPLOYEES[[#This Row],[DATE OF BIRTH]]&lt;TODAY()),0,1))</f>
        <v>0</v>
      </c>
      <c r="AD14">
        <f ca="1">IF(T_EMPLOYEES[[#This Row],[EMPLOYEE NUMBER]]="","",IF(AND(T_EMPLOYEES[[#This Row],[START DATE]]&gt;0,T_EMPLOYEES[[#This Row],[START DATE]]&lt;TODAY()+60),0,1))</f>
        <v>0</v>
      </c>
      <c r="AE14">
        <f ca="1">IF(T_EMPLOYEES[[#This Row],[EMPLOYEE NUMBER]]="","",MATCH(T_EMPLOYEES[[#This Row],[GENDER]],L_GENDER,0))</f>
        <v>1</v>
      </c>
      <c r="AF14">
        <f ca="1">IF(T_EMPLOYEES[[#This Row],[EMPLOYEE NUMBER]]="","",MATCH(T_EMPLOYEES[[#This Row],[HIRE SOURCE]],L_HIRESOURCE,0))</f>
        <v>4</v>
      </c>
      <c r="AG14">
        <f ca="1">IF(T_EMPLOYEES[[#This Row],[EMPLOYEE NUMBER]]="","",MATCH(T_EMPLOYEES[[#This Row],[ETHNICITY]],L_ETHNICITY,0))</f>
        <v>3</v>
      </c>
      <c r="AH14">
        <f ca="1">IF(T_EMPLOYEES[[#This Row],[EMPLOYEE NUMBER]]="","",MATCH(T_EMPLOYEES[[#This Row],[LOCATION]],L_LOCATION,0))</f>
        <v>2</v>
      </c>
      <c r="AI14">
        <f ca="1">IF(T_EMPLOYEES[[#This Row],[EMPLOYEE NUMBER]]="","",MATCH(T_EMPLOYEES[[#This Row],[DEPARTMENT]],L_DEPARTMENT,0))</f>
        <v>11</v>
      </c>
      <c r="AJ14">
        <f ca="1">IF(T_EMPLOYEES[[#This Row],[EMPLOYEE NUMBER]]="","",MATCH(T_EMPLOYEES[[#This Row],[JOB TYPE]],L_JOBTYPE,0))</f>
        <v>2</v>
      </c>
      <c r="AK14">
        <f ca="1">IF(T_EMPLOYEES[[#This Row],[EMPLOYEE NUMBER]]="","",MATCH(T_EMPLOYEES[[#This Row],[JOB CATEGORY]],L_JOBCATEGORY,0))</f>
        <v>10</v>
      </c>
      <c r="AL14">
        <f ca="1">IF(T_EMPLOYEES[[#This Row],[EMPLOYEE NUMBER]]="","",MATCH(T_EMPLOYEES[[#This Row],[JOB LEVEL]],L_JOBLEVEL,0))</f>
        <v>4</v>
      </c>
      <c r="AM14">
        <f ca="1">IF(T_EMPLOYEES[[#This Row],[EMPLOYEE NUMBER]]="","",MATCH(T_EMPLOYEES[[#This Row],[JOB TITLE]],L_JOBTITLE,0))</f>
        <v>10</v>
      </c>
      <c r="AN14">
        <f ca="1">IF(T_EMPLOYEES[[#This Row],[EMPLOYEE NUMBER]]="","",MATCH(T_EMPLOYEES[[#This Row],[MANAGER]],L_EMPLABELS,0))</f>
        <v>6</v>
      </c>
      <c r="AO14">
        <f ca="1">IF(T_EMPLOYEES[[#This Row],[EMPLOYEE NUMBER]]="","",IF(T_EMPLOYEES[[#This Row],[ERROR]]="",0,1))</f>
        <v>0</v>
      </c>
      <c r="AP1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" spans="1:42">
      <c r="A15" t="s">
        <v>243</v>
      </c>
      <c r="B15" t="s">
        <v>244</v>
      </c>
      <c r="C15">
        <v>1000177</v>
      </c>
      <c r="D15" t="s">
        <v>245</v>
      </c>
      <c r="E15" s="26">
        <v>27454</v>
      </c>
      <c r="F15" s="26">
        <v>37466</v>
      </c>
      <c r="G15" s="26">
        <v>44542</v>
      </c>
      <c r="H15" t="s">
        <v>27</v>
      </c>
      <c r="I15" t="s">
        <v>54</v>
      </c>
      <c r="J15" t="s">
        <v>64</v>
      </c>
      <c r="K15" t="s">
        <v>43</v>
      </c>
      <c r="L15" s="27" t="s">
        <v>45</v>
      </c>
      <c r="M15" t="s">
        <v>46</v>
      </c>
      <c r="N15" t="s">
        <v>70</v>
      </c>
      <c r="O15" t="s">
        <v>96</v>
      </c>
      <c r="P15" t="s">
        <v>70</v>
      </c>
      <c r="Q15" t="s">
        <v>246</v>
      </c>
      <c r="R15">
        <v>5</v>
      </c>
      <c r="S15" s="1">
        <v>5000000</v>
      </c>
      <c r="T15" s="1">
        <f ca="1">ROUND(T_EMPLOYEES[[#This Row],[EMP_CTC1]]/12, 0)</f>
        <v>416667</v>
      </c>
      <c r="U15" s="1">
        <v>2300000</v>
      </c>
      <c r="V15" s="1" t="s">
        <v>207</v>
      </c>
      <c r="W15" s="1" t="s">
        <v>207</v>
      </c>
      <c r="X1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Siva Kumar  Shada (1000177)</v>
      </c>
      <c r="Y15">
        <v>40000</v>
      </c>
      <c r="Z15" s="29">
        <f t="shared" ca="1" si="1"/>
        <v>54</v>
      </c>
      <c r="AA15">
        <f ca="1">IF(T_EMPLOYEES[[#This Row],[EMPLOYEE NUMBER]]="","",ROW(T_EMPLOYEES[[#This Row],[EMPLOYEE LABEL]])-ROW(T_EMPLOYEES[[#Headers],[EMPLOYEE LABEL]]))</f>
        <v>12</v>
      </c>
      <c r="AB15">
        <f ca="1">IF(T_EMPLOYEES[[#This Row],[EMPLOYEE NUMBER]]="","",IF(COUNTIF(T_EMPLOYEES[EMPLOYEE NUMBER],T_EMPLOYEES[[#This Row],[EMPLOYEE NUMBER]])&gt;1,1,0))</f>
        <v>0</v>
      </c>
      <c r="AC15">
        <f ca="1">IF(T_EMPLOYEES[[#This Row],[EMPLOYEE NUMBER]]="","",IF(AND(T_EMPLOYEES[[#This Row],[DATE OF BIRTH]]&gt;0,T_EMPLOYEES[[#This Row],[DATE OF BIRTH]]&lt;TODAY()),0,1))</f>
        <v>0</v>
      </c>
      <c r="AD15">
        <f ca="1">IF(T_EMPLOYEES[[#This Row],[EMPLOYEE NUMBER]]="","",IF(AND(T_EMPLOYEES[[#This Row],[START DATE]]&gt;0,T_EMPLOYEES[[#This Row],[START DATE]]&lt;TODAY()+60),0,1))</f>
        <v>0</v>
      </c>
      <c r="AE15">
        <f ca="1">IF(T_EMPLOYEES[[#This Row],[EMPLOYEE NUMBER]]="","",MATCH(T_EMPLOYEES[[#This Row],[GENDER]],L_GENDER,0))</f>
        <v>1</v>
      </c>
      <c r="AF15">
        <f ca="1">IF(T_EMPLOYEES[[#This Row],[EMPLOYEE NUMBER]]="","",MATCH(T_EMPLOYEES[[#This Row],[HIRE SOURCE]],L_HIRESOURCE,0))</f>
        <v>4</v>
      </c>
      <c r="AG15">
        <f ca="1">IF(T_EMPLOYEES[[#This Row],[EMPLOYEE NUMBER]]="","",MATCH(T_EMPLOYEES[[#This Row],[ETHNICITY]],L_ETHNICITY,0))</f>
        <v>3</v>
      </c>
      <c r="AH15">
        <f ca="1">IF(T_EMPLOYEES[[#This Row],[EMPLOYEE NUMBER]]="","",MATCH(T_EMPLOYEES[[#This Row],[LOCATION]],L_LOCATION,0))</f>
        <v>2</v>
      </c>
      <c r="AI15">
        <f ca="1">IF(T_EMPLOYEES[[#This Row],[EMPLOYEE NUMBER]]="","",MATCH(T_EMPLOYEES[[#This Row],[DEPARTMENT]],L_DEPARTMENT,0))</f>
        <v>2</v>
      </c>
      <c r="AJ15">
        <f ca="1">IF(T_EMPLOYEES[[#This Row],[EMPLOYEE NUMBER]]="","",MATCH(T_EMPLOYEES[[#This Row],[JOB TYPE]],L_JOBTYPE,0))</f>
        <v>2</v>
      </c>
      <c r="AK15">
        <f ca="1">IF(T_EMPLOYEES[[#This Row],[EMPLOYEE NUMBER]]="","",MATCH(T_EMPLOYEES[[#This Row],[JOB CATEGORY]],L_JOBCATEGORY,0))</f>
        <v>4</v>
      </c>
      <c r="AL15">
        <f ca="1">IF(T_EMPLOYEES[[#This Row],[EMPLOYEE NUMBER]]="","",MATCH(T_EMPLOYEES[[#This Row],[JOB LEVEL]],L_JOBLEVEL,0))</f>
        <v>7</v>
      </c>
      <c r="AM15">
        <f ca="1">IF(T_EMPLOYEES[[#This Row],[EMPLOYEE NUMBER]]="","",MATCH(T_EMPLOYEES[[#This Row],[JOB TITLE]],L_JOBTITLE,0))</f>
        <v>4</v>
      </c>
      <c r="AN15">
        <f ca="1">IF(T_EMPLOYEES[[#This Row],[EMPLOYEE NUMBER]]="","",MATCH(T_EMPLOYEES[[#This Row],[MANAGER]],L_EMPLABELS,0))</f>
        <v>68</v>
      </c>
      <c r="AO15">
        <f ca="1">IF(T_EMPLOYEES[[#This Row],[EMPLOYEE NUMBER]]="","",IF(T_EMPLOYEES[[#This Row],[ERROR]]="",0,1))</f>
        <v>0</v>
      </c>
      <c r="AP1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" spans="1:42">
      <c r="A16" t="s">
        <v>247</v>
      </c>
      <c r="B16" t="s">
        <v>248</v>
      </c>
      <c r="C16">
        <v>1010164</v>
      </c>
      <c r="D16" t="s">
        <v>249</v>
      </c>
      <c r="E16" s="26">
        <v>27532</v>
      </c>
      <c r="F16" s="26">
        <v>40772</v>
      </c>
      <c r="G16" s="26">
        <v>44542</v>
      </c>
      <c r="H16" t="s">
        <v>27</v>
      </c>
      <c r="I16" t="s">
        <v>54</v>
      </c>
      <c r="J16" t="s">
        <v>64</v>
      </c>
      <c r="K16" t="s">
        <v>30</v>
      </c>
      <c r="L16" s="27" t="s">
        <v>45</v>
      </c>
      <c r="M16" t="s">
        <v>46</v>
      </c>
      <c r="N16" t="s">
        <v>115</v>
      </c>
      <c r="O16" t="s">
        <v>112</v>
      </c>
      <c r="P16" t="s">
        <v>115</v>
      </c>
      <c r="Q16" t="s">
        <v>215</v>
      </c>
      <c r="R16" s="27">
        <v>18</v>
      </c>
      <c r="S16" s="1">
        <v>5000000</v>
      </c>
      <c r="T16" s="1">
        <f ca="1">ROUND(T_EMPLOYEES[[#This Row],[EMP_CTC1]]/12, 0)</f>
        <v>416667</v>
      </c>
      <c r="U16" s="1">
        <v>2300000</v>
      </c>
      <c r="V16" s="1" t="s">
        <v>207</v>
      </c>
      <c r="W16" s="1" t="s">
        <v>207</v>
      </c>
      <c r="X1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Radhakanta  Samantara (1010164)</v>
      </c>
      <c r="Y16">
        <v>40000</v>
      </c>
      <c r="Z16" s="29">
        <f t="shared" ca="1" si="1"/>
        <v>54</v>
      </c>
      <c r="AA16">
        <f ca="1">IF(T_EMPLOYEES[[#This Row],[EMPLOYEE NUMBER]]="","",ROW(T_EMPLOYEES[[#This Row],[EMPLOYEE LABEL]])-ROW(T_EMPLOYEES[[#Headers],[EMPLOYEE LABEL]]))</f>
        <v>13</v>
      </c>
      <c r="AB16">
        <f ca="1">IF(T_EMPLOYEES[[#This Row],[EMPLOYEE NUMBER]]="","",IF(COUNTIF(T_EMPLOYEES[EMPLOYEE NUMBER],T_EMPLOYEES[[#This Row],[EMPLOYEE NUMBER]])&gt;1,1,0))</f>
        <v>0</v>
      </c>
      <c r="AC16">
        <f ca="1">IF(T_EMPLOYEES[[#This Row],[EMPLOYEE NUMBER]]="","",IF(AND(T_EMPLOYEES[[#This Row],[DATE OF BIRTH]]&gt;0,T_EMPLOYEES[[#This Row],[DATE OF BIRTH]]&lt;TODAY()),0,1))</f>
        <v>0</v>
      </c>
      <c r="AD16">
        <f ca="1">IF(T_EMPLOYEES[[#This Row],[EMPLOYEE NUMBER]]="","",IF(AND(T_EMPLOYEES[[#This Row],[START DATE]]&gt;0,T_EMPLOYEES[[#This Row],[START DATE]]&lt;TODAY()+60),0,1))</f>
        <v>0</v>
      </c>
      <c r="AE16">
        <f ca="1">IF(T_EMPLOYEES[[#This Row],[EMPLOYEE NUMBER]]="","",MATCH(T_EMPLOYEES[[#This Row],[GENDER]],L_GENDER,0))</f>
        <v>1</v>
      </c>
      <c r="AF16">
        <f ca="1">IF(T_EMPLOYEES[[#This Row],[EMPLOYEE NUMBER]]="","",MATCH(T_EMPLOYEES[[#This Row],[HIRE SOURCE]],L_HIRESOURCE,0))</f>
        <v>4</v>
      </c>
      <c r="AG16">
        <f ca="1">IF(T_EMPLOYEES[[#This Row],[EMPLOYEE NUMBER]]="","",MATCH(T_EMPLOYEES[[#This Row],[ETHNICITY]],L_ETHNICITY,0))</f>
        <v>3</v>
      </c>
      <c r="AH16">
        <f ca="1">IF(T_EMPLOYEES[[#This Row],[EMPLOYEE NUMBER]]="","",MATCH(T_EMPLOYEES[[#This Row],[LOCATION]],L_LOCATION,0))</f>
        <v>1</v>
      </c>
      <c r="AI16">
        <f ca="1">IF(T_EMPLOYEES[[#This Row],[EMPLOYEE NUMBER]]="","",MATCH(T_EMPLOYEES[[#This Row],[DEPARTMENT]],L_DEPARTMENT,0))</f>
        <v>2</v>
      </c>
      <c r="AJ16">
        <f ca="1">IF(T_EMPLOYEES[[#This Row],[EMPLOYEE NUMBER]]="","",MATCH(T_EMPLOYEES[[#This Row],[JOB TYPE]],L_JOBTYPE,0))</f>
        <v>2</v>
      </c>
      <c r="AK16">
        <f ca="1">IF(T_EMPLOYEES[[#This Row],[EMPLOYEE NUMBER]]="","",MATCH(T_EMPLOYEES[[#This Row],[JOB CATEGORY]],L_JOBCATEGORY,0))</f>
        <v>11</v>
      </c>
      <c r="AL16">
        <f ca="1">IF(T_EMPLOYEES[[#This Row],[EMPLOYEE NUMBER]]="","",MATCH(T_EMPLOYEES[[#This Row],[JOB LEVEL]],L_JOBLEVEL,0))</f>
        <v>10</v>
      </c>
      <c r="AM16">
        <f ca="1">IF(T_EMPLOYEES[[#This Row],[EMPLOYEE NUMBER]]="","",MATCH(T_EMPLOYEES[[#This Row],[JOB TITLE]],L_JOBTITLE,0))</f>
        <v>11</v>
      </c>
      <c r="AN16">
        <f ca="1">IF(T_EMPLOYEES[[#This Row],[EMPLOYEE NUMBER]]="","",MATCH(T_EMPLOYEES[[#This Row],[MANAGER]],L_EMPLABELS,0))</f>
        <v>13</v>
      </c>
      <c r="AO16">
        <f ca="1">IF(T_EMPLOYEES[[#This Row],[EMPLOYEE NUMBER]]="","",IF(T_EMPLOYEES[[#This Row],[ERROR]]="",0,1))</f>
        <v>0</v>
      </c>
      <c r="AP1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" spans="1:42">
      <c r="A17" t="s">
        <v>250</v>
      </c>
      <c r="B17" t="s">
        <v>251</v>
      </c>
      <c r="C17">
        <v>1028541</v>
      </c>
      <c r="D17" t="s">
        <v>252</v>
      </c>
      <c r="E17" s="26">
        <v>27550</v>
      </c>
      <c r="F17" s="26">
        <v>44628</v>
      </c>
      <c r="G17" s="26"/>
      <c r="H17" t="s">
        <v>27</v>
      </c>
      <c r="I17" t="s">
        <v>54</v>
      </c>
      <c r="J17" t="s">
        <v>64</v>
      </c>
      <c r="K17" t="s">
        <v>43</v>
      </c>
      <c r="L17" s="27" t="s">
        <v>45</v>
      </c>
      <c r="M17" t="s">
        <v>46</v>
      </c>
      <c r="N17" t="s">
        <v>70</v>
      </c>
      <c r="O17" t="s">
        <v>96</v>
      </c>
      <c r="P17" t="s">
        <v>70</v>
      </c>
      <c r="Q17" t="s">
        <v>236</v>
      </c>
      <c r="R17">
        <v>1</v>
      </c>
      <c r="S17" s="1">
        <v>5000000</v>
      </c>
      <c r="T17" s="1">
        <f ca="1">ROUND(T_EMPLOYEES[[#This Row],[EMP_CTC1]]/12, 0)</f>
        <v>416667</v>
      </c>
      <c r="U17" s="1">
        <v>2300000</v>
      </c>
      <c r="V17" s="1" t="s">
        <v>207</v>
      </c>
      <c r="W17" s="1" t="s">
        <v>207</v>
      </c>
      <c r="X1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Bharat Digambar Lande (1028541)</v>
      </c>
      <c r="Y17">
        <v>40000</v>
      </c>
      <c r="Z17" s="29">
        <f t="shared" ca="1" si="1"/>
        <v>54</v>
      </c>
      <c r="AA17">
        <f ca="1">IF(T_EMPLOYEES[[#This Row],[EMPLOYEE NUMBER]]="","",ROW(T_EMPLOYEES[[#This Row],[EMPLOYEE LABEL]])-ROW(T_EMPLOYEES[[#Headers],[EMPLOYEE LABEL]]))</f>
        <v>14</v>
      </c>
      <c r="AB17">
        <f ca="1">IF(T_EMPLOYEES[[#This Row],[EMPLOYEE NUMBER]]="","",IF(COUNTIF(T_EMPLOYEES[EMPLOYEE NUMBER],T_EMPLOYEES[[#This Row],[EMPLOYEE NUMBER]])&gt;1,1,0))</f>
        <v>0</v>
      </c>
      <c r="AC17">
        <f ca="1">IF(T_EMPLOYEES[[#This Row],[EMPLOYEE NUMBER]]="","",IF(AND(T_EMPLOYEES[[#This Row],[DATE OF BIRTH]]&gt;0,T_EMPLOYEES[[#This Row],[DATE OF BIRTH]]&lt;TODAY()),0,1))</f>
        <v>0</v>
      </c>
      <c r="AD17">
        <f ca="1">IF(T_EMPLOYEES[[#This Row],[EMPLOYEE NUMBER]]="","",IF(AND(T_EMPLOYEES[[#This Row],[START DATE]]&gt;0,T_EMPLOYEES[[#This Row],[START DATE]]&lt;TODAY()+60),0,1))</f>
        <v>0</v>
      </c>
      <c r="AE17">
        <f ca="1">IF(T_EMPLOYEES[[#This Row],[EMPLOYEE NUMBER]]="","",MATCH(T_EMPLOYEES[[#This Row],[GENDER]],L_GENDER,0))</f>
        <v>1</v>
      </c>
      <c r="AF17">
        <f ca="1">IF(T_EMPLOYEES[[#This Row],[EMPLOYEE NUMBER]]="","",MATCH(T_EMPLOYEES[[#This Row],[HIRE SOURCE]],L_HIRESOURCE,0))</f>
        <v>4</v>
      </c>
      <c r="AG17">
        <f ca="1">IF(T_EMPLOYEES[[#This Row],[EMPLOYEE NUMBER]]="","",MATCH(T_EMPLOYEES[[#This Row],[ETHNICITY]],L_ETHNICITY,0))</f>
        <v>3</v>
      </c>
      <c r="AH17">
        <f ca="1">IF(T_EMPLOYEES[[#This Row],[EMPLOYEE NUMBER]]="","",MATCH(T_EMPLOYEES[[#This Row],[LOCATION]],L_LOCATION,0))</f>
        <v>2</v>
      </c>
      <c r="AI17">
        <f ca="1">IF(T_EMPLOYEES[[#This Row],[EMPLOYEE NUMBER]]="","",MATCH(T_EMPLOYEES[[#This Row],[DEPARTMENT]],L_DEPARTMENT,0))</f>
        <v>2</v>
      </c>
      <c r="AJ17">
        <f ca="1">IF(T_EMPLOYEES[[#This Row],[EMPLOYEE NUMBER]]="","",MATCH(T_EMPLOYEES[[#This Row],[JOB TYPE]],L_JOBTYPE,0))</f>
        <v>2</v>
      </c>
      <c r="AK17">
        <f ca="1">IF(T_EMPLOYEES[[#This Row],[EMPLOYEE NUMBER]]="","",MATCH(T_EMPLOYEES[[#This Row],[JOB CATEGORY]],L_JOBCATEGORY,0))</f>
        <v>4</v>
      </c>
      <c r="AL17">
        <f ca="1">IF(T_EMPLOYEES[[#This Row],[EMPLOYEE NUMBER]]="","",MATCH(T_EMPLOYEES[[#This Row],[JOB LEVEL]],L_JOBLEVEL,0))</f>
        <v>7</v>
      </c>
      <c r="AM17">
        <f ca="1">IF(T_EMPLOYEES[[#This Row],[EMPLOYEE NUMBER]]="","",MATCH(T_EMPLOYEES[[#This Row],[JOB TITLE]],L_JOBTITLE,0))</f>
        <v>4</v>
      </c>
      <c r="AN17">
        <f ca="1">IF(T_EMPLOYEES[[#This Row],[EMPLOYEE NUMBER]]="","",MATCH(T_EMPLOYEES[[#This Row],[MANAGER]],L_EMPLABELS,0))</f>
        <v>60</v>
      </c>
      <c r="AO17">
        <f ca="1">IF(T_EMPLOYEES[[#This Row],[EMPLOYEE NUMBER]]="","",IF(T_EMPLOYEES[[#This Row],[ERROR]]="",0,1))</f>
        <v>0</v>
      </c>
      <c r="AP1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" spans="1:42">
      <c r="A18" t="s">
        <v>253</v>
      </c>
      <c r="B18" t="s">
        <v>254</v>
      </c>
      <c r="C18">
        <v>1005530</v>
      </c>
      <c r="D18" t="s">
        <v>255</v>
      </c>
      <c r="E18" s="26">
        <v>27584</v>
      </c>
      <c r="F18" s="26">
        <v>40026</v>
      </c>
      <c r="G18" s="26">
        <v>44177</v>
      </c>
      <c r="H18" t="s">
        <v>27</v>
      </c>
      <c r="I18" t="s">
        <v>54</v>
      </c>
      <c r="J18" t="s">
        <v>64</v>
      </c>
      <c r="K18" t="s">
        <v>43</v>
      </c>
      <c r="L18" s="27" t="s">
        <v>45</v>
      </c>
      <c r="M18" t="s">
        <v>46</v>
      </c>
      <c r="N18" t="s">
        <v>119</v>
      </c>
      <c r="O18" t="s">
        <v>82</v>
      </c>
      <c r="P18" t="s">
        <v>119</v>
      </c>
      <c r="Q18" t="s">
        <v>246</v>
      </c>
      <c r="R18" s="27">
        <v>4</v>
      </c>
      <c r="S18" s="1">
        <v>5000000</v>
      </c>
      <c r="T18" s="1">
        <f ca="1">ROUND(T_EMPLOYEES[[#This Row],[EMP_CTC1]]/12, 0)</f>
        <v>416667</v>
      </c>
      <c r="U18" s="1">
        <v>2300000</v>
      </c>
      <c r="V18" s="1" t="s">
        <v>207</v>
      </c>
      <c r="W18" s="1" t="s">
        <v>207</v>
      </c>
      <c r="X1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Nageswara Rao Ambati (1005530)</v>
      </c>
      <c r="Y18">
        <v>40000</v>
      </c>
      <c r="Z18" s="29">
        <f t="shared" ca="1" si="1"/>
        <v>54</v>
      </c>
      <c r="AA18">
        <f ca="1">IF(T_EMPLOYEES[[#This Row],[EMPLOYEE NUMBER]]="","",ROW(T_EMPLOYEES[[#This Row],[EMPLOYEE LABEL]])-ROW(T_EMPLOYEES[[#Headers],[EMPLOYEE LABEL]]))</f>
        <v>15</v>
      </c>
      <c r="AB18">
        <f ca="1">IF(T_EMPLOYEES[[#This Row],[EMPLOYEE NUMBER]]="","",IF(COUNTIF(T_EMPLOYEES[EMPLOYEE NUMBER],T_EMPLOYEES[[#This Row],[EMPLOYEE NUMBER]])&gt;1,1,0))</f>
        <v>0</v>
      </c>
      <c r="AC18">
        <f ca="1">IF(T_EMPLOYEES[[#This Row],[EMPLOYEE NUMBER]]="","",IF(AND(T_EMPLOYEES[[#This Row],[DATE OF BIRTH]]&gt;0,T_EMPLOYEES[[#This Row],[DATE OF BIRTH]]&lt;TODAY()),0,1))</f>
        <v>0</v>
      </c>
      <c r="AD18">
        <f ca="1">IF(T_EMPLOYEES[[#This Row],[EMPLOYEE NUMBER]]="","",IF(AND(T_EMPLOYEES[[#This Row],[START DATE]]&gt;0,T_EMPLOYEES[[#This Row],[START DATE]]&lt;TODAY()+60),0,1))</f>
        <v>0</v>
      </c>
      <c r="AE18">
        <f ca="1">IF(T_EMPLOYEES[[#This Row],[EMPLOYEE NUMBER]]="","",MATCH(T_EMPLOYEES[[#This Row],[GENDER]],L_GENDER,0))</f>
        <v>1</v>
      </c>
      <c r="AF18">
        <f ca="1">IF(T_EMPLOYEES[[#This Row],[EMPLOYEE NUMBER]]="","",MATCH(T_EMPLOYEES[[#This Row],[HIRE SOURCE]],L_HIRESOURCE,0))</f>
        <v>4</v>
      </c>
      <c r="AG18">
        <f ca="1">IF(T_EMPLOYEES[[#This Row],[EMPLOYEE NUMBER]]="","",MATCH(T_EMPLOYEES[[#This Row],[ETHNICITY]],L_ETHNICITY,0))</f>
        <v>3</v>
      </c>
      <c r="AH18">
        <f ca="1">IF(T_EMPLOYEES[[#This Row],[EMPLOYEE NUMBER]]="","",MATCH(T_EMPLOYEES[[#This Row],[LOCATION]],L_LOCATION,0))</f>
        <v>2</v>
      </c>
      <c r="AI18">
        <f ca="1">IF(T_EMPLOYEES[[#This Row],[EMPLOYEE NUMBER]]="","",MATCH(T_EMPLOYEES[[#This Row],[DEPARTMENT]],L_DEPARTMENT,0))</f>
        <v>2</v>
      </c>
      <c r="AJ18">
        <f ca="1">IF(T_EMPLOYEES[[#This Row],[EMPLOYEE NUMBER]]="","",MATCH(T_EMPLOYEES[[#This Row],[JOB TYPE]],L_JOBTYPE,0))</f>
        <v>2</v>
      </c>
      <c r="AK18">
        <f ca="1">IF(T_EMPLOYEES[[#This Row],[EMPLOYEE NUMBER]]="","",MATCH(T_EMPLOYEES[[#This Row],[JOB CATEGORY]],L_JOBCATEGORY,0))</f>
        <v>12</v>
      </c>
      <c r="AL18">
        <f ca="1">IF(T_EMPLOYEES[[#This Row],[EMPLOYEE NUMBER]]="","",MATCH(T_EMPLOYEES[[#This Row],[JOB LEVEL]],L_JOBLEVEL,0))</f>
        <v>5</v>
      </c>
      <c r="AM18">
        <f ca="1">IF(T_EMPLOYEES[[#This Row],[EMPLOYEE NUMBER]]="","",MATCH(T_EMPLOYEES[[#This Row],[JOB TITLE]],L_JOBTITLE,0))</f>
        <v>12</v>
      </c>
      <c r="AN18">
        <f ca="1">IF(T_EMPLOYEES[[#This Row],[EMPLOYEE NUMBER]]="","",MATCH(T_EMPLOYEES[[#This Row],[MANAGER]],L_EMPLABELS,0))</f>
        <v>68</v>
      </c>
      <c r="AO18">
        <f ca="1">IF(T_EMPLOYEES[[#This Row],[EMPLOYEE NUMBER]]="","",IF(T_EMPLOYEES[[#This Row],[ERROR]]="",0,1))</f>
        <v>0</v>
      </c>
      <c r="AP1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" spans="1:42">
      <c r="A19" t="s">
        <v>256</v>
      </c>
      <c r="B19" t="s">
        <v>257</v>
      </c>
      <c r="C19">
        <v>1018674</v>
      </c>
      <c r="D19" t="s">
        <v>258</v>
      </c>
      <c r="E19" s="26">
        <v>27600</v>
      </c>
      <c r="F19" s="26">
        <v>42613</v>
      </c>
      <c r="G19" s="26">
        <v>44177</v>
      </c>
      <c r="H19" t="s">
        <v>27</v>
      </c>
      <c r="I19" t="s">
        <v>54</v>
      </c>
      <c r="J19" t="s">
        <v>64</v>
      </c>
      <c r="K19" t="s">
        <v>43</v>
      </c>
      <c r="L19" s="27" t="s">
        <v>45</v>
      </c>
      <c r="M19" t="s">
        <v>46</v>
      </c>
      <c r="N19" t="s">
        <v>89</v>
      </c>
      <c r="O19" t="s">
        <v>60</v>
      </c>
      <c r="P19" t="s">
        <v>89</v>
      </c>
      <c r="Q19" t="s">
        <v>259</v>
      </c>
      <c r="R19">
        <v>2</v>
      </c>
      <c r="S19" s="1">
        <v>5000000</v>
      </c>
      <c r="T19" s="1">
        <f ca="1">ROUND(T_EMPLOYEES[[#This Row],[EMP_CTC1]]/12, 0)</f>
        <v>416667</v>
      </c>
      <c r="U19" s="1">
        <v>2300000</v>
      </c>
      <c r="V19" s="1" t="s">
        <v>207</v>
      </c>
      <c r="W19" s="1" t="s">
        <v>207</v>
      </c>
      <c r="X1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Senthilalagan  N (1018674)</v>
      </c>
      <c r="Y19">
        <v>40000</v>
      </c>
      <c r="Z19" s="29">
        <f t="shared" ca="1" si="1"/>
        <v>54</v>
      </c>
      <c r="AA19">
        <f ca="1">IF(T_EMPLOYEES[[#This Row],[EMPLOYEE NUMBER]]="","",ROW(T_EMPLOYEES[[#This Row],[EMPLOYEE LABEL]])-ROW(T_EMPLOYEES[[#Headers],[EMPLOYEE LABEL]]))</f>
        <v>16</v>
      </c>
      <c r="AB19">
        <f ca="1">IF(T_EMPLOYEES[[#This Row],[EMPLOYEE NUMBER]]="","",IF(COUNTIF(T_EMPLOYEES[EMPLOYEE NUMBER],T_EMPLOYEES[[#This Row],[EMPLOYEE NUMBER]])&gt;1,1,0))</f>
        <v>0</v>
      </c>
      <c r="AC19">
        <f ca="1">IF(T_EMPLOYEES[[#This Row],[EMPLOYEE NUMBER]]="","",IF(AND(T_EMPLOYEES[[#This Row],[DATE OF BIRTH]]&gt;0,T_EMPLOYEES[[#This Row],[DATE OF BIRTH]]&lt;TODAY()),0,1))</f>
        <v>0</v>
      </c>
      <c r="AD19">
        <f ca="1">IF(T_EMPLOYEES[[#This Row],[EMPLOYEE NUMBER]]="","",IF(AND(T_EMPLOYEES[[#This Row],[START DATE]]&gt;0,T_EMPLOYEES[[#This Row],[START DATE]]&lt;TODAY()+60),0,1))</f>
        <v>0</v>
      </c>
      <c r="AE19">
        <f ca="1">IF(T_EMPLOYEES[[#This Row],[EMPLOYEE NUMBER]]="","",MATCH(T_EMPLOYEES[[#This Row],[GENDER]],L_GENDER,0))</f>
        <v>1</v>
      </c>
      <c r="AF19">
        <f ca="1">IF(T_EMPLOYEES[[#This Row],[EMPLOYEE NUMBER]]="","",MATCH(T_EMPLOYEES[[#This Row],[HIRE SOURCE]],L_HIRESOURCE,0))</f>
        <v>4</v>
      </c>
      <c r="AG19">
        <f ca="1">IF(T_EMPLOYEES[[#This Row],[EMPLOYEE NUMBER]]="","",MATCH(T_EMPLOYEES[[#This Row],[ETHNICITY]],L_ETHNICITY,0))</f>
        <v>3</v>
      </c>
      <c r="AH19">
        <f ca="1">IF(T_EMPLOYEES[[#This Row],[EMPLOYEE NUMBER]]="","",MATCH(T_EMPLOYEES[[#This Row],[LOCATION]],L_LOCATION,0))</f>
        <v>2</v>
      </c>
      <c r="AI19">
        <f ca="1">IF(T_EMPLOYEES[[#This Row],[EMPLOYEE NUMBER]]="","",MATCH(T_EMPLOYEES[[#This Row],[DEPARTMENT]],L_DEPARTMENT,0))</f>
        <v>2</v>
      </c>
      <c r="AJ19">
        <f ca="1">IF(T_EMPLOYEES[[#This Row],[EMPLOYEE NUMBER]]="","",MATCH(T_EMPLOYEES[[#This Row],[JOB TYPE]],L_JOBTYPE,0))</f>
        <v>2</v>
      </c>
      <c r="AK19">
        <f ca="1">IF(T_EMPLOYEES[[#This Row],[EMPLOYEE NUMBER]]="","",MATCH(T_EMPLOYEES[[#This Row],[JOB CATEGORY]],L_JOBCATEGORY,0))</f>
        <v>6</v>
      </c>
      <c r="AL19">
        <f ca="1">IF(T_EMPLOYEES[[#This Row],[EMPLOYEE NUMBER]]="","",MATCH(T_EMPLOYEES[[#This Row],[JOB LEVEL]],L_JOBLEVEL,0))</f>
        <v>3</v>
      </c>
      <c r="AM19">
        <f ca="1">IF(T_EMPLOYEES[[#This Row],[EMPLOYEE NUMBER]]="","",MATCH(T_EMPLOYEES[[#This Row],[JOB TITLE]],L_JOBTITLE,0))</f>
        <v>6</v>
      </c>
      <c r="AN19">
        <f ca="1">IF(T_EMPLOYEES[[#This Row],[EMPLOYEE NUMBER]]="","",MATCH(T_EMPLOYEES[[#This Row],[MANAGER]],L_EMPLABELS,0))</f>
        <v>91</v>
      </c>
      <c r="AO19">
        <f ca="1">IF(T_EMPLOYEES[[#This Row],[EMPLOYEE NUMBER]]="","",IF(T_EMPLOYEES[[#This Row],[ERROR]]="",0,1))</f>
        <v>0</v>
      </c>
      <c r="AP1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" spans="1:42">
      <c r="A20" t="s">
        <v>260</v>
      </c>
      <c r="B20" t="s">
        <v>261</v>
      </c>
      <c r="C20">
        <v>1032836</v>
      </c>
      <c r="D20" t="s">
        <v>262</v>
      </c>
      <c r="E20" s="26">
        <v>27711</v>
      </c>
      <c r="F20" s="26">
        <v>45068</v>
      </c>
      <c r="H20" t="s">
        <v>27</v>
      </c>
      <c r="I20" t="s">
        <v>54</v>
      </c>
      <c r="J20" t="s">
        <v>64</v>
      </c>
      <c r="K20" t="s">
        <v>43</v>
      </c>
      <c r="L20" s="27" t="s">
        <v>45</v>
      </c>
      <c r="M20" t="s">
        <v>46</v>
      </c>
      <c r="N20" t="s">
        <v>122</v>
      </c>
      <c r="O20" t="s">
        <v>102</v>
      </c>
      <c r="P20" t="s">
        <v>122</v>
      </c>
      <c r="Q20" t="s">
        <v>215</v>
      </c>
      <c r="R20" s="27">
        <v>10</v>
      </c>
      <c r="S20" s="1">
        <v>5000000</v>
      </c>
      <c r="T20" s="1">
        <f ca="1">ROUND(T_EMPLOYEES[[#This Row],[EMP_CTC1]]/12, 0)</f>
        <v>416667</v>
      </c>
      <c r="U20" s="1">
        <v>2300000</v>
      </c>
      <c r="V20" s="1" t="s">
        <v>207</v>
      </c>
      <c r="W20" s="1" t="s">
        <v>207</v>
      </c>
      <c r="X2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Avdhut Sunil Kavdikar (1032836)</v>
      </c>
      <c r="Y20">
        <v>40000</v>
      </c>
      <c r="Z20" s="29">
        <f t="shared" ca="1" si="1"/>
        <v>54</v>
      </c>
      <c r="AA20">
        <f ca="1">IF(T_EMPLOYEES[[#This Row],[EMPLOYEE NUMBER]]="","",ROW(T_EMPLOYEES[[#This Row],[EMPLOYEE LABEL]])-ROW(T_EMPLOYEES[[#Headers],[EMPLOYEE LABEL]]))</f>
        <v>17</v>
      </c>
      <c r="AB20">
        <f ca="1">IF(T_EMPLOYEES[[#This Row],[EMPLOYEE NUMBER]]="","",IF(COUNTIF(T_EMPLOYEES[EMPLOYEE NUMBER],T_EMPLOYEES[[#This Row],[EMPLOYEE NUMBER]])&gt;1,1,0))</f>
        <v>0</v>
      </c>
      <c r="AC20">
        <f ca="1">IF(T_EMPLOYEES[[#This Row],[EMPLOYEE NUMBER]]="","",IF(AND(T_EMPLOYEES[[#This Row],[DATE OF BIRTH]]&gt;0,T_EMPLOYEES[[#This Row],[DATE OF BIRTH]]&lt;TODAY()),0,1))</f>
        <v>0</v>
      </c>
      <c r="AD20">
        <f ca="1">IF(T_EMPLOYEES[[#This Row],[EMPLOYEE NUMBER]]="","",IF(AND(T_EMPLOYEES[[#This Row],[START DATE]]&gt;0,T_EMPLOYEES[[#This Row],[START DATE]]&lt;TODAY()+60),0,1))</f>
        <v>0</v>
      </c>
      <c r="AE20">
        <f ca="1">IF(T_EMPLOYEES[[#This Row],[EMPLOYEE NUMBER]]="","",MATCH(T_EMPLOYEES[[#This Row],[GENDER]],L_GENDER,0))</f>
        <v>1</v>
      </c>
      <c r="AF20">
        <f ca="1">IF(T_EMPLOYEES[[#This Row],[EMPLOYEE NUMBER]]="","",MATCH(T_EMPLOYEES[[#This Row],[HIRE SOURCE]],L_HIRESOURCE,0))</f>
        <v>4</v>
      </c>
      <c r="AG20">
        <f ca="1">IF(T_EMPLOYEES[[#This Row],[EMPLOYEE NUMBER]]="","",MATCH(T_EMPLOYEES[[#This Row],[ETHNICITY]],L_ETHNICITY,0))</f>
        <v>3</v>
      </c>
      <c r="AH20">
        <f ca="1">IF(T_EMPLOYEES[[#This Row],[EMPLOYEE NUMBER]]="","",MATCH(T_EMPLOYEES[[#This Row],[LOCATION]],L_LOCATION,0))</f>
        <v>2</v>
      </c>
      <c r="AI20">
        <f ca="1">IF(T_EMPLOYEES[[#This Row],[EMPLOYEE NUMBER]]="","",MATCH(T_EMPLOYEES[[#This Row],[DEPARTMENT]],L_DEPARTMENT,0))</f>
        <v>2</v>
      </c>
      <c r="AJ20">
        <f ca="1">IF(T_EMPLOYEES[[#This Row],[EMPLOYEE NUMBER]]="","",MATCH(T_EMPLOYEES[[#This Row],[JOB TYPE]],L_JOBTYPE,0))</f>
        <v>2</v>
      </c>
      <c r="AK20">
        <f ca="1">IF(T_EMPLOYEES[[#This Row],[EMPLOYEE NUMBER]]="","",MATCH(T_EMPLOYEES[[#This Row],[JOB CATEGORY]],L_JOBCATEGORY,0))</f>
        <v>13</v>
      </c>
      <c r="AL20">
        <f ca="1">IF(T_EMPLOYEES[[#This Row],[EMPLOYEE NUMBER]]="","",MATCH(T_EMPLOYEES[[#This Row],[JOB LEVEL]],L_JOBLEVEL,0))</f>
        <v>8</v>
      </c>
      <c r="AM20">
        <f ca="1">IF(T_EMPLOYEES[[#This Row],[EMPLOYEE NUMBER]]="","",MATCH(T_EMPLOYEES[[#This Row],[JOB TITLE]],L_JOBTITLE,0))</f>
        <v>13</v>
      </c>
      <c r="AN20">
        <f ca="1">IF(T_EMPLOYEES[[#This Row],[EMPLOYEE NUMBER]]="","",MATCH(T_EMPLOYEES[[#This Row],[MANAGER]],L_EMPLABELS,0))</f>
        <v>13</v>
      </c>
      <c r="AO20">
        <f ca="1">IF(T_EMPLOYEES[[#This Row],[EMPLOYEE NUMBER]]="","",IF(T_EMPLOYEES[[#This Row],[ERROR]]="",0,1))</f>
        <v>0</v>
      </c>
      <c r="AP2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" spans="1:42">
      <c r="A21" t="s">
        <v>263</v>
      </c>
      <c r="B21" t="s">
        <v>264</v>
      </c>
      <c r="C21">
        <v>1020365</v>
      </c>
      <c r="D21" t="s">
        <v>265</v>
      </c>
      <c r="E21" s="26">
        <v>27737</v>
      </c>
      <c r="F21" s="26">
        <v>43188</v>
      </c>
      <c r="G21" s="26">
        <v>45209</v>
      </c>
      <c r="H21" t="s">
        <v>27</v>
      </c>
      <c r="I21" t="s">
        <v>54</v>
      </c>
      <c r="J21" t="s">
        <v>64</v>
      </c>
      <c r="K21" t="s">
        <v>43</v>
      </c>
      <c r="L21" s="27" t="s">
        <v>45</v>
      </c>
      <c r="M21" t="s">
        <v>46</v>
      </c>
      <c r="N21" t="s">
        <v>70</v>
      </c>
      <c r="O21" t="s">
        <v>96</v>
      </c>
      <c r="P21" t="s">
        <v>70</v>
      </c>
      <c r="Q21" t="s">
        <v>215</v>
      </c>
      <c r="R21">
        <v>2</v>
      </c>
      <c r="S21" s="1">
        <v>5000000</v>
      </c>
      <c r="T21" s="1">
        <f ca="1">ROUND(T_EMPLOYEES[[#This Row],[EMP_CTC1]]/12, 0)</f>
        <v>416667</v>
      </c>
      <c r="U21" s="1">
        <v>2300000</v>
      </c>
      <c r="V21" s="1" t="s">
        <v>207</v>
      </c>
      <c r="W21" s="1" t="s">
        <v>207</v>
      </c>
      <c r="X2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Sudip Karmakar (1020365)</v>
      </c>
      <c r="Y21">
        <v>40000</v>
      </c>
      <c r="Z21" s="29">
        <f t="shared" ca="1" si="1"/>
        <v>54</v>
      </c>
      <c r="AA21">
        <f ca="1">IF(T_EMPLOYEES[[#This Row],[EMPLOYEE NUMBER]]="","",ROW(T_EMPLOYEES[[#This Row],[EMPLOYEE LABEL]])-ROW(T_EMPLOYEES[[#Headers],[EMPLOYEE LABEL]]))</f>
        <v>18</v>
      </c>
      <c r="AB21">
        <f ca="1">IF(T_EMPLOYEES[[#This Row],[EMPLOYEE NUMBER]]="","",IF(COUNTIF(T_EMPLOYEES[EMPLOYEE NUMBER],T_EMPLOYEES[[#This Row],[EMPLOYEE NUMBER]])&gt;1,1,0))</f>
        <v>0</v>
      </c>
      <c r="AC21">
        <f ca="1">IF(T_EMPLOYEES[[#This Row],[EMPLOYEE NUMBER]]="","",IF(AND(T_EMPLOYEES[[#This Row],[DATE OF BIRTH]]&gt;0,T_EMPLOYEES[[#This Row],[DATE OF BIRTH]]&lt;TODAY()),0,1))</f>
        <v>0</v>
      </c>
      <c r="AD21">
        <f ca="1">IF(T_EMPLOYEES[[#This Row],[EMPLOYEE NUMBER]]="","",IF(AND(T_EMPLOYEES[[#This Row],[START DATE]]&gt;0,T_EMPLOYEES[[#This Row],[START DATE]]&lt;TODAY()+60),0,1))</f>
        <v>0</v>
      </c>
      <c r="AE21">
        <f ca="1">IF(T_EMPLOYEES[[#This Row],[EMPLOYEE NUMBER]]="","",MATCH(T_EMPLOYEES[[#This Row],[GENDER]],L_GENDER,0))</f>
        <v>1</v>
      </c>
      <c r="AF21">
        <f ca="1">IF(T_EMPLOYEES[[#This Row],[EMPLOYEE NUMBER]]="","",MATCH(T_EMPLOYEES[[#This Row],[HIRE SOURCE]],L_HIRESOURCE,0))</f>
        <v>4</v>
      </c>
      <c r="AG21">
        <f ca="1">IF(T_EMPLOYEES[[#This Row],[EMPLOYEE NUMBER]]="","",MATCH(T_EMPLOYEES[[#This Row],[ETHNICITY]],L_ETHNICITY,0))</f>
        <v>3</v>
      </c>
      <c r="AH21">
        <f ca="1">IF(T_EMPLOYEES[[#This Row],[EMPLOYEE NUMBER]]="","",MATCH(T_EMPLOYEES[[#This Row],[LOCATION]],L_LOCATION,0))</f>
        <v>2</v>
      </c>
      <c r="AI21">
        <f ca="1">IF(T_EMPLOYEES[[#This Row],[EMPLOYEE NUMBER]]="","",MATCH(T_EMPLOYEES[[#This Row],[DEPARTMENT]],L_DEPARTMENT,0))</f>
        <v>2</v>
      </c>
      <c r="AJ21">
        <f ca="1">IF(T_EMPLOYEES[[#This Row],[EMPLOYEE NUMBER]]="","",MATCH(T_EMPLOYEES[[#This Row],[JOB TYPE]],L_JOBTYPE,0))</f>
        <v>2</v>
      </c>
      <c r="AK21">
        <f ca="1">IF(T_EMPLOYEES[[#This Row],[EMPLOYEE NUMBER]]="","",MATCH(T_EMPLOYEES[[#This Row],[JOB CATEGORY]],L_JOBCATEGORY,0))</f>
        <v>4</v>
      </c>
      <c r="AL21">
        <f ca="1">IF(T_EMPLOYEES[[#This Row],[EMPLOYEE NUMBER]]="","",MATCH(T_EMPLOYEES[[#This Row],[JOB LEVEL]],L_JOBLEVEL,0))</f>
        <v>7</v>
      </c>
      <c r="AM21">
        <f ca="1">IF(T_EMPLOYEES[[#This Row],[EMPLOYEE NUMBER]]="","",MATCH(T_EMPLOYEES[[#This Row],[JOB TITLE]],L_JOBTITLE,0))</f>
        <v>4</v>
      </c>
      <c r="AN21">
        <f ca="1">IF(T_EMPLOYEES[[#This Row],[EMPLOYEE NUMBER]]="","",MATCH(T_EMPLOYEES[[#This Row],[MANAGER]],L_EMPLABELS,0))</f>
        <v>13</v>
      </c>
      <c r="AO21">
        <f ca="1">IF(T_EMPLOYEES[[#This Row],[EMPLOYEE NUMBER]]="","",IF(T_EMPLOYEES[[#This Row],[ERROR]]="",0,1))</f>
        <v>0</v>
      </c>
      <c r="AP2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" spans="1:42">
      <c r="A22" t="s">
        <v>266</v>
      </c>
      <c r="B22" t="s">
        <v>267</v>
      </c>
      <c r="C22">
        <v>1022573</v>
      </c>
      <c r="D22" t="s">
        <v>268</v>
      </c>
      <c r="E22" s="26">
        <v>27753</v>
      </c>
      <c r="F22" s="26">
        <v>43711</v>
      </c>
      <c r="G22" s="26">
        <v>45210</v>
      </c>
      <c r="H22" t="s">
        <v>27</v>
      </c>
      <c r="I22" t="s">
        <v>54</v>
      </c>
      <c r="J22" t="s">
        <v>64</v>
      </c>
      <c r="K22" t="s">
        <v>30</v>
      </c>
      <c r="L22" s="27" t="s">
        <v>45</v>
      </c>
      <c r="M22" t="s">
        <v>46</v>
      </c>
      <c r="N22" t="s">
        <v>115</v>
      </c>
      <c r="O22" t="s">
        <v>112</v>
      </c>
      <c r="P22" t="s">
        <v>115</v>
      </c>
      <c r="Q22" t="s">
        <v>215</v>
      </c>
      <c r="R22" s="27">
        <v>17</v>
      </c>
      <c r="S22" s="1">
        <v>5000000</v>
      </c>
      <c r="T22" s="1">
        <f ca="1">ROUND(T_EMPLOYEES[[#This Row],[EMP_CTC1]]/12, 0)</f>
        <v>416667</v>
      </c>
      <c r="U22" s="1">
        <v>2300000</v>
      </c>
      <c r="V22" s="1" t="s">
        <v>207</v>
      </c>
      <c r="W22" s="1" t="s">
        <v>207</v>
      </c>
      <c r="X2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Purushotham Ayachetula (1022573)</v>
      </c>
      <c r="Y22">
        <v>60000</v>
      </c>
      <c r="Z22" s="29">
        <f t="shared" ca="1" si="1"/>
        <v>54</v>
      </c>
      <c r="AA22">
        <f ca="1">IF(T_EMPLOYEES[[#This Row],[EMPLOYEE NUMBER]]="","",ROW(T_EMPLOYEES[[#This Row],[EMPLOYEE LABEL]])-ROW(T_EMPLOYEES[[#Headers],[EMPLOYEE LABEL]]))</f>
        <v>19</v>
      </c>
      <c r="AB22">
        <f ca="1">IF(T_EMPLOYEES[[#This Row],[EMPLOYEE NUMBER]]="","",IF(COUNTIF(T_EMPLOYEES[EMPLOYEE NUMBER],T_EMPLOYEES[[#This Row],[EMPLOYEE NUMBER]])&gt;1,1,0))</f>
        <v>0</v>
      </c>
      <c r="AC22">
        <f ca="1">IF(T_EMPLOYEES[[#This Row],[EMPLOYEE NUMBER]]="","",IF(AND(T_EMPLOYEES[[#This Row],[DATE OF BIRTH]]&gt;0,T_EMPLOYEES[[#This Row],[DATE OF BIRTH]]&lt;TODAY()),0,1))</f>
        <v>0</v>
      </c>
      <c r="AD22">
        <f ca="1">IF(T_EMPLOYEES[[#This Row],[EMPLOYEE NUMBER]]="","",IF(AND(T_EMPLOYEES[[#This Row],[START DATE]]&gt;0,T_EMPLOYEES[[#This Row],[START DATE]]&lt;TODAY()+60),0,1))</f>
        <v>0</v>
      </c>
      <c r="AE22">
        <f ca="1">IF(T_EMPLOYEES[[#This Row],[EMPLOYEE NUMBER]]="","",MATCH(T_EMPLOYEES[[#This Row],[GENDER]],L_GENDER,0))</f>
        <v>1</v>
      </c>
      <c r="AF22">
        <f ca="1">IF(T_EMPLOYEES[[#This Row],[EMPLOYEE NUMBER]]="","",MATCH(T_EMPLOYEES[[#This Row],[HIRE SOURCE]],L_HIRESOURCE,0))</f>
        <v>4</v>
      </c>
      <c r="AG22">
        <f ca="1">IF(T_EMPLOYEES[[#This Row],[EMPLOYEE NUMBER]]="","",MATCH(T_EMPLOYEES[[#This Row],[ETHNICITY]],L_ETHNICITY,0))</f>
        <v>3</v>
      </c>
      <c r="AH22">
        <f ca="1">IF(T_EMPLOYEES[[#This Row],[EMPLOYEE NUMBER]]="","",MATCH(T_EMPLOYEES[[#This Row],[LOCATION]],L_LOCATION,0))</f>
        <v>1</v>
      </c>
      <c r="AI22">
        <f ca="1">IF(T_EMPLOYEES[[#This Row],[EMPLOYEE NUMBER]]="","",MATCH(T_EMPLOYEES[[#This Row],[DEPARTMENT]],L_DEPARTMENT,0))</f>
        <v>2</v>
      </c>
      <c r="AJ22">
        <f ca="1">IF(T_EMPLOYEES[[#This Row],[EMPLOYEE NUMBER]]="","",MATCH(T_EMPLOYEES[[#This Row],[JOB TYPE]],L_JOBTYPE,0))</f>
        <v>2</v>
      </c>
      <c r="AK22">
        <f ca="1">IF(T_EMPLOYEES[[#This Row],[EMPLOYEE NUMBER]]="","",MATCH(T_EMPLOYEES[[#This Row],[JOB CATEGORY]],L_JOBCATEGORY,0))</f>
        <v>11</v>
      </c>
      <c r="AL22">
        <f ca="1">IF(T_EMPLOYEES[[#This Row],[EMPLOYEE NUMBER]]="","",MATCH(T_EMPLOYEES[[#This Row],[JOB LEVEL]],L_JOBLEVEL,0))</f>
        <v>10</v>
      </c>
      <c r="AM22">
        <f ca="1">IF(T_EMPLOYEES[[#This Row],[EMPLOYEE NUMBER]]="","",MATCH(T_EMPLOYEES[[#This Row],[JOB TITLE]],L_JOBTITLE,0))</f>
        <v>11</v>
      </c>
      <c r="AN22">
        <f ca="1">IF(T_EMPLOYEES[[#This Row],[EMPLOYEE NUMBER]]="","",MATCH(T_EMPLOYEES[[#This Row],[MANAGER]],L_EMPLABELS,0))</f>
        <v>13</v>
      </c>
      <c r="AO22">
        <f ca="1">IF(T_EMPLOYEES[[#This Row],[EMPLOYEE NUMBER]]="","",IF(T_EMPLOYEES[[#This Row],[ERROR]]="",0,1))</f>
        <v>0</v>
      </c>
      <c r="AP2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" spans="1:42">
      <c r="A23" t="s">
        <v>269</v>
      </c>
      <c r="B23" t="s">
        <v>270</v>
      </c>
      <c r="C23">
        <v>1024729</v>
      </c>
      <c r="D23" t="s">
        <v>271</v>
      </c>
      <c r="E23" s="26">
        <v>27802</v>
      </c>
      <c r="F23" s="26">
        <v>44263</v>
      </c>
      <c r="G23" s="26">
        <v>45211</v>
      </c>
      <c r="H23" t="s">
        <v>27</v>
      </c>
      <c r="I23" t="s">
        <v>54</v>
      </c>
      <c r="J23" t="s">
        <v>64</v>
      </c>
      <c r="K23" t="s">
        <v>43</v>
      </c>
      <c r="L23" s="27" t="s">
        <v>45</v>
      </c>
      <c r="M23" t="s">
        <v>46</v>
      </c>
      <c r="N23" t="s">
        <v>125</v>
      </c>
      <c r="O23" t="s">
        <v>71</v>
      </c>
      <c r="P23" t="s">
        <v>125</v>
      </c>
      <c r="Q23" t="s">
        <v>272</v>
      </c>
      <c r="R23">
        <v>2</v>
      </c>
      <c r="S23" s="1">
        <v>5000000</v>
      </c>
      <c r="T23" s="1">
        <f ca="1">ROUND(T_EMPLOYEES[[#This Row],[EMP_CTC1]]/12, 0)</f>
        <v>416667</v>
      </c>
      <c r="U23" s="1">
        <v>2300000</v>
      </c>
      <c r="V23" s="1" t="s">
        <v>207</v>
      </c>
      <c r="W23" s="1" t="s">
        <v>207</v>
      </c>
      <c r="X2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Chandrasekar  Nagarajan (1024729)</v>
      </c>
      <c r="Y23">
        <v>60000</v>
      </c>
      <c r="Z23" s="29">
        <f t="shared" ca="1" si="1"/>
        <v>54</v>
      </c>
      <c r="AA23">
        <f ca="1">IF(T_EMPLOYEES[[#This Row],[EMPLOYEE NUMBER]]="","",ROW(T_EMPLOYEES[[#This Row],[EMPLOYEE LABEL]])-ROW(T_EMPLOYEES[[#Headers],[EMPLOYEE LABEL]]))</f>
        <v>20</v>
      </c>
      <c r="AB23">
        <f ca="1">IF(T_EMPLOYEES[[#This Row],[EMPLOYEE NUMBER]]="","",IF(COUNTIF(T_EMPLOYEES[EMPLOYEE NUMBER],T_EMPLOYEES[[#This Row],[EMPLOYEE NUMBER]])&gt;1,1,0))</f>
        <v>0</v>
      </c>
      <c r="AC23">
        <f ca="1">IF(T_EMPLOYEES[[#This Row],[EMPLOYEE NUMBER]]="","",IF(AND(T_EMPLOYEES[[#This Row],[DATE OF BIRTH]]&gt;0,T_EMPLOYEES[[#This Row],[DATE OF BIRTH]]&lt;TODAY()),0,1))</f>
        <v>0</v>
      </c>
      <c r="AD23">
        <f ca="1">IF(T_EMPLOYEES[[#This Row],[EMPLOYEE NUMBER]]="","",IF(AND(T_EMPLOYEES[[#This Row],[START DATE]]&gt;0,T_EMPLOYEES[[#This Row],[START DATE]]&lt;TODAY()+60),0,1))</f>
        <v>0</v>
      </c>
      <c r="AE23">
        <f ca="1">IF(T_EMPLOYEES[[#This Row],[EMPLOYEE NUMBER]]="","",MATCH(T_EMPLOYEES[[#This Row],[GENDER]],L_GENDER,0))</f>
        <v>1</v>
      </c>
      <c r="AF23">
        <f ca="1">IF(T_EMPLOYEES[[#This Row],[EMPLOYEE NUMBER]]="","",MATCH(T_EMPLOYEES[[#This Row],[HIRE SOURCE]],L_HIRESOURCE,0))</f>
        <v>4</v>
      </c>
      <c r="AG23">
        <f ca="1">IF(T_EMPLOYEES[[#This Row],[EMPLOYEE NUMBER]]="","",MATCH(T_EMPLOYEES[[#This Row],[ETHNICITY]],L_ETHNICITY,0))</f>
        <v>3</v>
      </c>
      <c r="AH23">
        <f ca="1">IF(T_EMPLOYEES[[#This Row],[EMPLOYEE NUMBER]]="","",MATCH(T_EMPLOYEES[[#This Row],[LOCATION]],L_LOCATION,0))</f>
        <v>2</v>
      </c>
      <c r="AI23">
        <f ca="1">IF(T_EMPLOYEES[[#This Row],[EMPLOYEE NUMBER]]="","",MATCH(T_EMPLOYEES[[#This Row],[DEPARTMENT]],L_DEPARTMENT,0))</f>
        <v>2</v>
      </c>
      <c r="AJ23">
        <f ca="1">IF(T_EMPLOYEES[[#This Row],[EMPLOYEE NUMBER]]="","",MATCH(T_EMPLOYEES[[#This Row],[JOB TYPE]],L_JOBTYPE,0))</f>
        <v>2</v>
      </c>
      <c r="AK23">
        <f ca="1">IF(T_EMPLOYEES[[#This Row],[EMPLOYEE NUMBER]]="","",MATCH(T_EMPLOYEES[[#This Row],[JOB CATEGORY]],L_JOBCATEGORY,0))</f>
        <v>14</v>
      </c>
      <c r="AL23">
        <f ca="1">IF(T_EMPLOYEES[[#This Row],[EMPLOYEE NUMBER]]="","",MATCH(T_EMPLOYEES[[#This Row],[JOB LEVEL]],L_JOBLEVEL,0))</f>
        <v>4</v>
      </c>
      <c r="AM23">
        <f ca="1">IF(T_EMPLOYEES[[#This Row],[EMPLOYEE NUMBER]]="","",MATCH(T_EMPLOYEES[[#This Row],[JOB TITLE]],L_JOBTITLE,0))</f>
        <v>14</v>
      </c>
      <c r="AN23">
        <f ca="1">IF(T_EMPLOYEES[[#This Row],[EMPLOYEE NUMBER]]="","",MATCH(T_EMPLOYEES[[#This Row],[MANAGER]],L_EMPLABELS,0))</f>
        <v>62</v>
      </c>
      <c r="AO23">
        <f ca="1">IF(T_EMPLOYEES[[#This Row],[EMPLOYEE NUMBER]]="","",IF(T_EMPLOYEES[[#This Row],[ERROR]]="",0,1))</f>
        <v>0</v>
      </c>
      <c r="AP2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" spans="1:42">
      <c r="A24" t="s">
        <v>273</v>
      </c>
      <c r="B24" t="s">
        <v>274</v>
      </c>
      <c r="C24">
        <v>1029447</v>
      </c>
      <c r="D24" t="s">
        <v>275</v>
      </c>
      <c r="E24" s="26">
        <v>27969</v>
      </c>
      <c r="F24" s="26">
        <v>44746</v>
      </c>
      <c r="G24" s="26">
        <v>45212</v>
      </c>
      <c r="H24" t="s">
        <v>27</v>
      </c>
      <c r="I24" t="s">
        <v>54</v>
      </c>
      <c r="J24" t="s">
        <v>64</v>
      </c>
      <c r="K24" t="s">
        <v>43</v>
      </c>
      <c r="L24" s="27" t="s">
        <v>45</v>
      </c>
      <c r="M24" t="s">
        <v>46</v>
      </c>
      <c r="N24" t="s">
        <v>128</v>
      </c>
      <c r="O24" t="s">
        <v>60</v>
      </c>
      <c r="P24" t="s">
        <v>128</v>
      </c>
      <c r="Q24" t="s">
        <v>276</v>
      </c>
      <c r="R24" s="27">
        <v>2</v>
      </c>
      <c r="S24" s="1">
        <v>5000000</v>
      </c>
      <c r="T24" s="1">
        <f ca="1">ROUND(T_EMPLOYEES[[#This Row],[EMP_CTC1]]/12, 0)</f>
        <v>416667</v>
      </c>
      <c r="U24" s="1">
        <v>2300000</v>
      </c>
      <c r="V24" s="1" t="s">
        <v>207</v>
      </c>
      <c r="W24" s="1" t="s">
        <v>207</v>
      </c>
      <c r="X2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Kamuju Srikanth (1029447)</v>
      </c>
      <c r="Y24">
        <v>60000</v>
      </c>
      <c r="Z24" s="29">
        <f t="shared" ca="1" si="1"/>
        <v>54</v>
      </c>
      <c r="AA24">
        <f ca="1">IF(T_EMPLOYEES[[#This Row],[EMPLOYEE NUMBER]]="","",ROW(T_EMPLOYEES[[#This Row],[EMPLOYEE LABEL]])-ROW(T_EMPLOYEES[[#Headers],[EMPLOYEE LABEL]]))</f>
        <v>21</v>
      </c>
      <c r="AB24">
        <f ca="1">IF(T_EMPLOYEES[[#This Row],[EMPLOYEE NUMBER]]="","",IF(COUNTIF(T_EMPLOYEES[EMPLOYEE NUMBER],T_EMPLOYEES[[#This Row],[EMPLOYEE NUMBER]])&gt;1,1,0))</f>
        <v>0</v>
      </c>
      <c r="AC24">
        <f ca="1">IF(T_EMPLOYEES[[#This Row],[EMPLOYEE NUMBER]]="","",IF(AND(T_EMPLOYEES[[#This Row],[DATE OF BIRTH]]&gt;0,T_EMPLOYEES[[#This Row],[DATE OF BIRTH]]&lt;TODAY()),0,1))</f>
        <v>0</v>
      </c>
      <c r="AD24">
        <f ca="1">IF(T_EMPLOYEES[[#This Row],[EMPLOYEE NUMBER]]="","",IF(AND(T_EMPLOYEES[[#This Row],[START DATE]]&gt;0,T_EMPLOYEES[[#This Row],[START DATE]]&lt;TODAY()+60),0,1))</f>
        <v>0</v>
      </c>
      <c r="AE24">
        <f ca="1">IF(T_EMPLOYEES[[#This Row],[EMPLOYEE NUMBER]]="","",MATCH(T_EMPLOYEES[[#This Row],[GENDER]],L_GENDER,0))</f>
        <v>1</v>
      </c>
      <c r="AF24">
        <f ca="1">IF(T_EMPLOYEES[[#This Row],[EMPLOYEE NUMBER]]="","",MATCH(T_EMPLOYEES[[#This Row],[HIRE SOURCE]],L_HIRESOURCE,0))</f>
        <v>4</v>
      </c>
      <c r="AG24">
        <f ca="1">IF(T_EMPLOYEES[[#This Row],[EMPLOYEE NUMBER]]="","",MATCH(T_EMPLOYEES[[#This Row],[ETHNICITY]],L_ETHNICITY,0))</f>
        <v>3</v>
      </c>
      <c r="AH24">
        <f ca="1">IF(T_EMPLOYEES[[#This Row],[EMPLOYEE NUMBER]]="","",MATCH(T_EMPLOYEES[[#This Row],[LOCATION]],L_LOCATION,0))</f>
        <v>2</v>
      </c>
      <c r="AI24">
        <f ca="1">IF(T_EMPLOYEES[[#This Row],[EMPLOYEE NUMBER]]="","",MATCH(T_EMPLOYEES[[#This Row],[DEPARTMENT]],L_DEPARTMENT,0))</f>
        <v>2</v>
      </c>
      <c r="AJ24">
        <f ca="1">IF(T_EMPLOYEES[[#This Row],[EMPLOYEE NUMBER]]="","",MATCH(T_EMPLOYEES[[#This Row],[JOB TYPE]],L_JOBTYPE,0))</f>
        <v>2</v>
      </c>
      <c r="AK24">
        <f ca="1">IF(T_EMPLOYEES[[#This Row],[EMPLOYEE NUMBER]]="","",MATCH(T_EMPLOYEES[[#This Row],[JOB CATEGORY]],L_JOBCATEGORY,0))</f>
        <v>15</v>
      </c>
      <c r="AL24">
        <f ca="1">IF(T_EMPLOYEES[[#This Row],[EMPLOYEE NUMBER]]="","",MATCH(T_EMPLOYEES[[#This Row],[JOB LEVEL]],L_JOBLEVEL,0))</f>
        <v>3</v>
      </c>
      <c r="AM24">
        <f ca="1">IF(T_EMPLOYEES[[#This Row],[EMPLOYEE NUMBER]]="","",MATCH(T_EMPLOYEES[[#This Row],[JOB TITLE]],L_JOBTITLE,0))</f>
        <v>15</v>
      </c>
      <c r="AN24">
        <f ca="1">IF(T_EMPLOYEES[[#This Row],[EMPLOYEE NUMBER]]="","",MATCH(T_EMPLOYEES[[#This Row],[MANAGER]],L_EMPLABELS,0))</f>
        <v>8</v>
      </c>
      <c r="AO24">
        <f ca="1">IF(T_EMPLOYEES[[#This Row],[EMPLOYEE NUMBER]]="","",IF(T_EMPLOYEES[[#This Row],[ERROR]]="",0,1))</f>
        <v>0</v>
      </c>
      <c r="AP2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" spans="1:42">
      <c r="A25" t="s">
        <v>277</v>
      </c>
      <c r="B25" t="s">
        <v>278</v>
      </c>
      <c r="C25">
        <v>1022524</v>
      </c>
      <c r="D25" t="s">
        <v>279</v>
      </c>
      <c r="E25" s="26">
        <v>28295</v>
      </c>
      <c r="F25" s="26">
        <v>43703</v>
      </c>
      <c r="G25" s="26">
        <v>45213</v>
      </c>
      <c r="H25" t="s">
        <v>40</v>
      </c>
      <c r="I25" t="s">
        <v>54</v>
      </c>
      <c r="J25" t="s">
        <v>64</v>
      </c>
      <c r="K25" t="s">
        <v>43</v>
      </c>
      <c r="L25" s="27" t="s">
        <v>45</v>
      </c>
      <c r="M25" t="s">
        <v>46</v>
      </c>
      <c r="N25" t="s">
        <v>81</v>
      </c>
      <c r="O25" t="s">
        <v>82</v>
      </c>
      <c r="P25" t="s">
        <v>81</v>
      </c>
      <c r="Q25" t="s">
        <v>280</v>
      </c>
      <c r="R25">
        <v>6</v>
      </c>
      <c r="S25" s="1">
        <v>5000000</v>
      </c>
      <c r="T25" s="1">
        <f ca="1">ROUND(T_EMPLOYEES[[#This Row],[EMP_CTC1]]/12, 0)</f>
        <v>416667</v>
      </c>
      <c r="U25" s="1">
        <v>2300000</v>
      </c>
      <c r="V25" s="1" t="s">
        <v>207</v>
      </c>
      <c r="W25" s="1" t="s">
        <v>207</v>
      </c>
      <c r="X2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Deepa  Balachandra (1022524)</v>
      </c>
      <c r="Y25">
        <v>60000</v>
      </c>
      <c r="Z25" s="29">
        <f t="shared" ca="1" si="1"/>
        <v>54</v>
      </c>
      <c r="AA25">
        <f ca="1">IF(T_EMPLOYEES[[#This Row],[EMPLOYEE NUMBER]]="","",ROW(T_EMPLOYEES[[#This Row],[EMPLOYEE LABEL]])-ROW(T_EMPLOYEES[[#Headers],[EMPLOYEE LABEL]]))</f>
        <v>22</v>
      </c>
      <c r="AB25">
        <f ca="1">IF(T_EMPLOYEES[[#This Row],[EMPLOYEE NUMBER]]="","",IF(COUNTIF(T_EMPLOYEES[EMPLOYEE NUMBER],T_EMPLOYEES[[#This Row],[EMPLOYEE NUMBER]])&gt;1,1,0))</f>
        <v>0</v>
      </c>
      <c r="AC25">
        <f ca="1">IF(T_EMPLOYEES[[#This Row],[EMPLOYEE NUMBER]]="","",IF(AND(T_EMPLOYEES[[#This Row],[DATE OF BIRTH]]&gt;0,T_EMPLOYEES[[#This Row],[DATE OF BIRTH]]&lt;TODAY()),0,1))</f>
        <v>0</v>
      </c>
      <c r="AD25">
        <f ca="1">IF(T_EMPLOYEES[[#This Row],[EMPLOYEE NUMBER]]="","",IF(AND(T_EMPLOYEES[[#This Row],[START DATE]]&gt;0,T_EMPLOYEES[[#This Row],[START DATE]]&lt;TODAY()+60),0,1))</f>
        <v>0</v>
      </c>
      <c r="AE25">
        <f ca="1">IF(T_EMPLOYEES[[#This Row],[EMPLOYEE NUMBER]]="","",MATCH(T_EMPLOYEES[[#This Row],[GENDER]],L_GENDER,0))</f>
        <v>2</v>
      </c>
      <c r="AF25">
        <f ca="1">IF(T_EMPLOYEES[[#This Row],[EMPLOYEE NUMBER]]="","",MATCH(T_EMPLOYEES[[#This Row],[HIRE SOURCE]],L_HIRESOURCE,0))</f>
        <v>4</v>
      </c>
      <c r="AG25">
        <f ca="1">IF(T_EMPLOYEES[[#This Row],[EMPLOYEE NUMBER]]="","",MATCH(T_EMPLOYEES[[#This Row],[ETHNICITY]],L_ETHNICITY,0))</f>
        <v>3</v>
      </c>
      <c r="AH25">
        <f ca="1">IF(T_EMPLOYEES[[#This Row],[EMPLOYEE NUMBER]]="","",MATCH(T_EMPLOYEES[[#This Row],[LOCATION]],L_LOCATION,0))</f>
        <v>2</v>
      </c>
      <c r="AI25">
        <f ca="1">IF(T_EMPLOYEES[[#This Row],[EMPLOYEE NUMBER]]="","",MATCH(T_EMPLOYEES[[#This Row],[DEPARTMENT]],L_DEPARTMENT,0))</f>
        <v>2</v>
      </c>
      <c r="AJ25">
        <f ca="1">IF(T_EMPLOYEES[[#This Row],[EMPLOYEE NUMBER]]="","",MATCH(T_EMPLOYEES[[#This Row],[JOB TYPE]],L_JOBTYPE,0))</f>
        <v>2</v>
      </c>
      <c r="AK25">
        <f ca="1">IF(T_EMPLOYEES[[#This Row],[EMPLOYEE NUMBER]]="","",MATCH(T_EMPLOYEES[[#This Row],[JOB CATEGORY]],L_JOBCATEGORY,0))</f>
        <v>5</v>
      </c>
      <c r="AL25">
        <f ca="1">IF(T_EMPLOYEES[[#This Row],[EMPLOYEE NUMBER]]="","",MATCH(T_EMPLOYEES[[#This Row],[JOB LEVEL]],L_JOBLEVEL,0))</f>
        <v>5</v>
      </c>
      <c r="AM25">
        <f ca="1">IF(T_EMPLOYEES[[#This Row],[EMPLOYEE NUMBER]]="","",MATCH(T_EMPLOYEES[[#This Row],[JOB TITLE]],L_JOBTITLE,0))</f>
        <v>5</v>
      </c>
      <c r="AN25">
        <f ca="1">IF(T_EMPLOYEES[[#This Row],[EMPLOYEE NUMBER]]="","",MATCH(T_EMPLOYEES[[#This Row],[MANAGER]],L_EMPLABELS,0))</f>
        <v>86</v>
      </c>
      <c r="AO25">
        <f ca="1">IF(T_EMPLOYEES[[#This Row],[EMPLOYEE NUMBER]]="","",IF(T_EMPLOYEES[[#This Row],[ERROR]]="",0,1))</f>
        <v>0</v>
      </c>
      <c r="AP2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" spans="1:42">
      <c r="A26" t="s">
        <v>281</v>
      </c>
      <c r="B26" t="s">
        <v>282</v>
      </c>
      <c r="C26">
        <v>1023801</v>
      </c>
      <c r="D26" t="s">
        <v>283</v>
      </c>
      <c r="E26" s="26">
        <v>28295</v>
      </c>
      <c r="F26" s="26">
        <v>44081</v>
      </c>
      <c r="G26" s="26">
        <v>44848</v>
      </c>
      <c r="H26" t="s">
        <v>27</v>
      </c>
      <c r="I26" t="s">
        <v>54</v>
      </c>
      <c r="J26" t="s">
        <v>64</v>
      </c>
      <c r="K26" t="s">
        <v>43</v>
      </c>
      <c r="L26" s="27" t="s">
        <v>45</v>
      </c>
      <c r="M26" t="s">
        <v>46</v>
      </c>
      <c r="N26" t="s">
        <v>81</v>
      </c>
      <c r="O26" t="s">
        <v>82</v>
      </c>
      <c r="P26" t="s">
        <v>81</v>
      </c>
      <c r="Q26" t="s">
        <v>284</v>
      </c>
      <c r="R26" s="27">
        <v>6</v>
      </c>
      <c r="S26" s="1">
        <v>5000000</v>
      </c>
      <c r="T26" s="1">
        <f ca="1">ROUND(T_EMPLOYEES[[#This Row],[EMP_CTC1]]/12, 0)</f>
        <v>416667</v>
      </c>
      <c r="U26" s="1">
        <v>2300000</v>
      </c>
      <c r="V26" s="1" t="s">
        <v>207</v>
      </c>
      <c r="W26" s="1" t="s">
        <v>207</v>
      </c>
      <c r="X2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Jallipalli  Nagaraju (1023801)</v>
      </c>
      <c r="Y26">
        <v>60000</v>
      </c>
      <c r="Z26" s="29">
        <f t="shared" ca="1" si="1"/>
        <v>54</v>
      </c>
      <c r="AA26">
        <f ca="1">IF(T_EMPLOYEES[[#This Row],[EMPLOYEE NUMBER]]="","",ROW(T_EMPLOYEES[[#This Row],[EMPLOYEE LABEL]])-ROW(T_EMPLOYEES[[#Headers],[EMPLOYEE LABEL]]))</f>
        <v>23</v>
      </c>
      <c r="AB26">
        <f ca="1">IF(T_EMPLOYEES[[#This Row],[EMPLOYEE NUMBER]]="","",IF(COUNTIF(T_EMPLOYEES[EMPLOYEE NUMBER],T_EMPLOYEES[[#This Row],[EMPLOYEE NUMBER]])&gt;1,1,0))</f>
        <v>0</v>
      </c>
      <c r="AC26">
        <f ca="1">IF(T_EMPLOYEES[[#This Row],[EMPLOYEE NUMBER]]="","",IF(AND(T_EMPLOYEES[[#This Row],[DATE OF BIRTH]]&gt;0,T_EMPLOYEES[[#This Row],[DATE OF BIRTH]]&lt;TODAY()),0,1))</f>
        <v>0</v>
      </c>
      <c r="AD26">
        <f ca="1">IF(T_EMPLOYEES[[#This Row],[EMPLOYEE NUMBER]]="","",IF(AND(T_EMPLOYEES[[#This Row],[START DATE]]&gt;0,T_EMPLOYEES[[#This Row],[START DATE]]&lt;TODAY()+60),0,1))</f>
        <v>0</v>
      </c>
      <c r="AE26">
        <f ca="1">IF(T_EMPLOYEES[[#This Row],[EMPLOYEE NUMBER]]="","",MATCH(T_EMPLOYEES[[#This Row],[GENDER]],L_GENDER,0))</f>
        <v>1</v>
      </c>
      <c r="AF26">
        <f ca="1">IF(T_EMPLOYEES[[#This Row],[EMPLOYEE NUMBER]]="","",MATCH(T_EMPLOYEES[[#This Row],[HIRE SOURCE]],L_HIRESOURCE,0))</f>
        <v>4</v>
      </c>
      <c r="AG26">
        <f ca="1">IF(T_EMPLOYEES[[#This Row],[EMPLOYEE NUMBER]]="","",MATCH(T_EMPLOYEES[[#This Row],[ETHNICITY]],L_ETHNICITY,0))</f>
        <v>3</v>
      </c>
      <c r="AH26">
        <f ca="1">IF(T_EMPLOYEES[[#This Row],[EMPLOYEE NUMBER]]="","",MATCH(T_EMPLOYEES[[#This Row],[LOCATION]],L_LOCATION,0))</f>
        <v>2</v>
      </c>
      <c r="AI26">
        <f ca="1">IF(T_EMPLOYEES[[#This Row],[EMPLOYEE NUMBER]]="","",MATCH(T_EMPLOYEES[[#This Row],[DEPARTMENT]],L_DEPARTMENT,0))</f>
        <v>2</v>
      </c>
      <c r="AJ26">
        <f ca="1">IF(T_EMPLOYEES[[#This Row],[EMPLOYEE NUMBER]]="","",MATCH(T_EMPLOYEES[[#This Row],[JOB TYPE]],L_JOBTYPE,0))</f>
        <v>2</v>
      </c>
      <c r="AK26">
        <f ca="1">IF(T_EMPLOYEES[[#This Row],[EMPLOYEE NUMBER]]="","",MATCH(T_EMPLOYEES[[#This Row],[JOB CATEGORY]],L_JOBCATEGORY,0))</f>
        <v>5</v>
      </c>
      <c r="AL26">
        <f ca="1">IF(T_EMPLOYEES[[#This Row],[EMPLOYEE NUMBER]]="","",MATCH(T_EMPLOYEES[[#This Row],[JOB LEVEL]],L_JOBLEVEL,0))</f>
        <v>5</v>
      </c>
      <c r="AM26">
        <f ca="1">IF(T_EMPLOYEES[[#This Row],[EMPLOYEE NUMBER]]="","",MATCH(T_EMPLOYEES[[#This Row],[JOB TITLE]],L_JOBTITLE,0))</f>
        <v>5</v>
      </c>
      <c r="AN26">
        <f ca="1">IF(T_EMPLOYEES[[#This Row],[EMPLOYEE NUMBER]]="","",MATCH(T_EMPLOYEES[[#This Row],[MANAGER]],L_EMPLABELS,0))</f>
        <v>96</v>
      </c>
      <c r="AO26">
        <f ca="1">IF(T_EMPLOYEES[[#This Row],[EMPLOYEE NUMBER]]="","",IF(T_EMPLOYEES[[#This Row],[ERROR]]="",0,1))</f>
        <v>0</v>
      </c>
      <c r="AP2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" spans="1:42">
      <c r="A27" t="s">
        <v>285</v>
      </c>
      <c r="B27" t="s">
        <v>286</v>
      </c>
      <c r="C27">
        <v>1031854</v>
      </c>
      <c r="D27" t="s">
        <v>287</v>
      </c>
      <c r="E27" s="26">
        <v>28310</v>
      </c>
      <c r="F27" s="26">
        <v>44914</v>
      </c>
      <c r="G27" s="26">
        <v>45214</v>
      </c>
      <c r="H27" t="s">
        <v>27</v>
      </c>
      <c r="I27" t="s">
        <v>54</v>
      </c>
      <c r="J27" t="s">
        <v>64</v>
      </c>
      <c r="K27" t="s">
        <v>43</v>
      </c>
      <c r="L27" s="27" t="s">
        <v>45</v>
      </c>
      <c r="M27" t="s">
        <v>46</v>
      </c>
      <c r="N27" t="s">
        <v>81</v>
      </c>
      <c r="O27" t="s">
        <v>82</v>
      </c>
      <c r="P27" t="s">
        <v>81</v>
      </c>
      <c r="Q27" t="s">
        <v>288</v>
      </c>
      <c r="R27">
        <v>5</v>
      </c>
      <c r="S27" s="1">
        <v>5000000</v>
      </c>
      <c r="T27" s="1">
        <f ca="1">ROUND(T_EMPLOYEES[[#This Row],[EMP_CTC1]]/12, 0)</f>
        <v>416667</v>
      </c>
      <c r="U27" s="1">
        <v>2300000</v>
      </c>
      <c r="V27" s="1" t="s">
        <v>207</v>
      </c>
      <c r="W27" s="1" t="s">
        <v>207</v>
      </c>
      <c r="X2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Sreekanth V Pillai (1031854)</v>
      </c>
      <c r="Y27">
        <v>60000</v>
      </c>
      <c r="Z27" s="29">
        <f t="shared" ca="1" si="1"/>
        <v>54</v>
      </c>
      <c r="AA27">
        <f ca="1">IF(T_EMPLOYEES[[#This Row],[EMPLOYEE NUMBER]]="","",ROW(T_EMPLOYEES[[#This Row],[EMPLOYEE LABEL]])-ROW(T_EMPLOYEES[[#Headers],[EMPLOYEE LABEL]]))</f>
        <v>24</v>
      </c>
      <c r="AB27">
        <f ca="1">IF(T_EMPLOYEES[[#This Row],[EMPLOYEE NUMBER]]="","",IF(COUNTIF(T_EMPLOYEES[EMPLOYEE NUMBER],T_EMPLOYEES[[#This Row],[EMPLOYEE NUMBER]])&gt;1,1,0))</f>
        <v>0</v>
      </c>
      <c r="AC27">
        <f ca="1">IF(T_EMPLOYEES[[#This Row],[EMPLOYEE NUMBER]]="","",IF(AND(T_EMPLOYEES[[#This Row],[DATE OF BIRTH]]&gt;0,T_EMPLOYEES[[#This Row],[DATE OF BIRTH]]&lt;TODAY()),0,1))</f>
        <v>0</v>
      </c>
      <c r="AD27">
        <f ca="1">IF(T_EMPLOYEES[[#This Row],[EMPLOYEE NUMBER]]="","",IF(AND(T_EMPLOYEES[[#This Row],[START DATE]]&gt;0,T_EMPLOYEES[[#This Row],[START DATE]]&lt;TODAY()+60),0,1))</f>
        <v>0</v>
      </c>
      <c r="AE27">
        <f ca="1">IF(T_EMPLOYEES[[#This Row],[EMPLOYEE NUMBER]]="","",MATCH(T_EMPLOYEES[[#This Row],[GENDER]],L_GENDER,0))</f>
        <v>1</v>
      </c>
      <c r="AF27">
        <f ca="1">IF(T_EMPLOYEES[[#This Row],[EMPLOYEE NUMBER]]="","",MATCH(T_EMPLOYEES[[#This Row],[HIRE SOURCE]],L_HIRESOURCE,0))</f>
        <v>4</v>
      </c>
      <c r="AG27">
        <f ca="1">IF(T_EMPLOYEES[[#This Row],[EMPLOYEE NUMBER]]="","",MATCH(T_EMPLOYEES[[#This Row],[ETHNICITY]],L_ETHNICITY,0))</f>
        <v>3</v>
      </c>
      <c r="AH27">
        <f ca="1">IF(T_EMPLOYEES[[#This Row],[EMPLOYEE NUMBER]]="","",MATCH(T_EMPLOYEES[[#This Row],[LOCATION]],L_LOCATION,0))</f>
        <v>2</v>
      </c>
      <c r="AI27">
        <f ca="1">IF(T_EMPLOYEES[[#This Row],[EMPLOYEE NUMBER]]="","",MATCH(T_EMPLOYEES[[#This Row],[DEPARTMENT]],L_DEPARTMENT,0))</f>
        <v>2</v>
      </c>
      <c r="AJ27">
        <f ca="1">IF(T_EMPLOYEES[[#This Row],[EMPLOYEE NUMBER]]="","",MATCH(T_EMPLOYEES[[#This Row],[JOB TYPE]],L_JOBTYPE,0))</f>
        <v>2</v>
      </c>
      <c r="AK27">
        <f ca="1">IF(T_EMPLOYEES[[#This Row],[EMPLOYEE NUMBER]]="","",MATCH(T_EMPLOYEES[[#This Row],[JOB CATEGORY]],L_JOBCATEGORY,0))</f>
        <v>5</v>
      </c>
      <c r="AL27">
        <f ca="1">IF(T_EMPLOYEES[[#This Row],[EMPLOYEE NUMBER]]="","",MATCH(T_EMPLOYEES[[#This Row],[JOB LEVEL]],L_JOBLEVEL,0))</f>
        <v>5</v>
      </c>
      <c r="AM27">
        <f ca="1">IF(T_EMPLOYEES[[#This Row],[EMPLOYEE NUMBER]]="","",MATCH(T_EMPLOYEES[[#This Row],[JOB TITLE]],L_JOBTITLE,0))</f>
        <v>5</v>
      </c>
      <c r="AN27">
        <f ca="1">IF(T_EMPLOYEES[[#This Row],[EMPLOYEE NUMBER]]="","",MATCH(T_EMPLOYEES[[#This Row],[MANAGER]],L_EMPLABELS,0))</f>
        <v>52</v>
      </c>
      <c r="AO27">
        <f ca="1">IF(T_EMPLOYEES[[#This Row],[EMPLOYEE NUMBER]]="","",IF(T_EMPLOYEES[[#This Row],[ERROR]]="",0,1))</f>
        <v>0</v>
      </c>
      <c r="AP2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" spans="1:42">
      <c r="A28" t="s">
        <v>289</v>
      </c>
      <c r="B28" t="s">
        <v>290</v>
      </c>
      <c r="C28">
        <v>1021379</v>
      </c>
      <c r="D28" t="s">
        <v>291</v>
      </c>
      <c r="E28" s="26">
        <v>28328</v>
      </c>
      <c r="F28" s="26">
        <v>43467</v>
      </c>
      <c r="G28" s="26">
        <v>44850</v>
      </c>
      <c r="H28" t="s">
        <v>27</v>
      </c>
      <c r="I28" t="s">
        <v>54</v>
      </c>
      <c r="J28" t="s">
        <v>64</v>
      </c>
      <c r="K28" t="s">
        <v>43</v>
      </c>
      <c r="L28" s="27" t="s">
        <v>114</v>
      </c>
      <c r="M28" t="s">
        <v>46</v>
      </c>
      <c r="N28" t="s">
        <v>111</v>
      </c>
      <c r="O28" t="s">
        <v>71</v>
      </c>
      <c r="P28" t="s">
        <v>111</v>
      </c>
      <c r="Q28" t="s">
        <v>206</v>
      </c>
      <c r="R28" s="27">
        <v>5</v>
      </c>
      <c r="S28" s="1">
        <v>5000000</v>
      </c>
      <c r="T28" s="1">
        <f ca="1">ROUND(T_EMPLOYEES[[#This Row],[EMP_CTC1]]/12, 0)</f>
        <v>416667</v>
      </c>
      <c r="U28" s="1">
        <v>2300000</v>
      </c>
      <c r="V28" s="1" t="s">
        <v>207</v>
      </c>
      <c r="W28" s="1" t="s">
        <v>207</v>
      </c>
      <c r="X2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Mohammed Vaniyambadi Ahmed Rafeeq (1021379)</v>
      </c>
      <c r="Y28">
        <v>60000</v>
      </c>
      <c r="Z28" s="29">
        <f t="shared" ca="1" si="1"/>
        <v>54</v>
      </c>
      <c r="AA28">
        <f ca="1">IF(T_EMPLOYEES[[#This Row],[EMPLOYEE NUMBER]]="","",ROW(T_EMPLOYEES[[#This Row],[EMPLOYEE LABEL]])-ROW(T_EMPLOYEES[[#Headers],[EMPLOYEE LABEL]]))</f>
        <v>25</v>
      </c>
      <c r="AB28">
        <f ca="1">IF(T_EMPLOYEES[[#This Row],[EMPLOYEE NUMBER]]="","",IF(COUNTIF(T_EMPLOYEES[EMPLOYEE NUMBER],T_EMPLOYEES[[#This Row],[EMPLOYEE NUMBER]])&gt;1,1,0))</f>
        <v>0</v>
      </c>
      <c r="AC28">
        <f ca="1">IF(T_EMPLOYEES[[#This Row],[EMPLOYEE NUMBER]]="","",IF(AND(T_EMPLOYEES[[#This Row],[DATE OF BIRTH]]&gt;0,T_EMPLOYEES[[#This Row],[DATE OF BIRTH]]&lt;TODAY()),0,1))</f>
        <v>0</v>
      </c>
      <c r="AD28">
        <f ca="1">IF(T_EMPLOYEES[[#This Row],[EMPLOYEE NUMBER]]="","",IF(AND(T_EMPLOYEES[[#This Row],[START DATE]]&gt;0,T_EMPLOYEES[[#This Row],[START DATE]]&lt;TODAY()+60),0,1))</f>
        <v>0</v>
      </c>
      <c r="AE28">
        <f ca="1">IF(T_EMPLOYEES[[#This Row],[EMPLOYEE NUMBER]]="","",MATCH(T_EMPLOYEES[[#This Row],[GENDER]],L_GENDER,0))</f>
        <v>1</v>
      </c>
      <c r="AF28">
        <f ca="1">IF(T_EMPLOYEES[[#This Row],[EMPLOYEE NUMBER]]="","",MATCH(T_EMPLOYEES[[#This Row],[HIRE SOURCE]],L_HIRESOURCE,0))</f>
        <v>4</v>
      </c>
      <c r="AG28">
        <f ca="1">IF(T_EMPLOYEES[[#This Row],[EMPLOYEE NUMBER]]="","",MATCH(T_EMPLOYEES[[#This Row],[ETHNICITY]],L_ETHNICITY,0))</f>
        <v>3</v>
      </c>
      <c r="AH28">
        <f ca="1">IF(T_EMPLOYEES[[#This Row],[EMPLOYEE NUMBER]]="","",MATCH(T_EMPLOYEES[[#This Row],[LOCATION]],L_LOCATION,0))</f>
        <v>2</v>
      </c>
      <c r="AI28">
        <f ca="1">IF(T_EMPLOYEES[[#This Row],[EMPLOYEE NUMBER]]="","",MATCH(T_EMPLOYEES[[#This Row],[DEPARTMENT]],L_DEPARTMENT,0))</f>
        <v>11</v>
      </c>
      <c r="AJ28">
        <f ca="1">IF(T_EMPLOYEES[[#This Row],[EMPLOYEE NUMBER]]="","",MATCH(T_EMPLOYEES[[#This Row],[JOB TYPE]],L_JOBTYPE,0))</f>
        <v>2</v>
      </c>
      <c r="AK28">
        <f ca="1">IF(T_EMPLOYEES[[#This Row],[EMPLOYEE NUMBER]]="","",MATCH(T_EMPLOYEES[[#This Row],[JOB CATEGORY]],L_JOBCATEGORY,0))</f>
        <v>10</v>
      </c>
      <c r="AL28">
        <f ca="1">IF(T_EMPLOYEES[[#This Row],[EMPLOYEE NUMBER]]="","",MATCH(T_EMPLOYEES[[#This Row],[JOB LEVEL]],L_JOBLEVEL,0))</f>
        <v>4</v>
      </c>
      <c r="AM28">
        <f ca="1">IF(T_EMPLOYEES[[#This Row],[EMPLOYEE NUMBER]]="","",MATCH(T_EMPLOYEES[[#This Row],[JOB TITLE]],L_JOBTITLE,0))</f>
        <v>10</v>
      </c>
      <c r="AN28">
        <f ca="1">IF(T_EMPLOYEES[[#This Row],[EMPLOYEE NUMBER]]="","",MATCH(T_EMPLOYEES[[#This Row],[MANAGER]],L_EMPLABELS,0))</f>
        <v>6</v>
      </c>
      <c r="AO28">
        <f ca="1">IF(T_EMPLOYEES[[#This Row],[EMPLOYEE NUMBER]]="","",IF(T_EMPLOYEES[[#This Row],[ERROR]]="",0,1))</f>
        <v>0</v>
      </c>
      <c r="AP2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" spans="1:42">
      <c r="A29" t="s">
        <v>292</v>
      </c>
      <c r="B29" t="s">
        <v>293</v>
      </c>
      <c r="C29">
        <v>1030980</v>
      </c>
      <c r="D29" t="s">
        <v>294</v>
      </c>
      <c r="E29" s="26">
        <v>28341</v>
      </c>
      <c r="F29" s="26">
        <v>44869</v>
      </c>
      <c r="H29" t="s">
        <v>27</v>
      </c>
      <c r="I29" t="s">
        <v>54</v>
      </c>
      <c r="J29" t="s">
        <v>64</v>
      </c>
      <c r="K29" t="s">
        <v>43</v>
      </c>
      <c r="L29" s="27" t="s">
        <v>45</v>
      </c>
      <c r="M29" t="s">
        <v>46</v>
      </c>
      <c r="N29" t="s">
        <v>111</v>
      </c>
      <c r="O29" t="s">
        <v>71</v>
      </c>
      <c r="P29" t="s">
        <v>111</v>
      </c>
      <c r="Q29" t="s">
        <v>218</v>
      </c>
      <c r="R29">
        <v>5</v>
      </c>
      <c r="S29" s="1">
        <v>5000000</v>
      </c>
      <c r="T29" s="1">
        <f ca="1">ROUND(T_EMPLOYEES[[#This Row],[EMP_CTC1]]/12, 0)</f>
        <v>416667</v>
      </c>
      <c r="U29" s="1">
        <v>2300000</v>
      </c>
      <c r="V29" s="1" t="s">
        <v>207</v>
      </c>
      <c r="W29" s="1" t="s">
        <v>207</v>
      </c>
      <c r="X2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Vinit Kumar (1030980)</v>
      </c>
      <c r="Y29">
        <v>60000</v>
      </c>
      <c r="Z29" s="29">
        <f t="shared" ca="1" si="1"/>
        <v>54</v>
      </c>
      <c r="AA29">
        <f ca="1">IF(T_EMPLOYEES[[#This Row],[EMPLOYEE NUMBER]]="","",ROW(T_EMPLOYEES[[#This Row],[EMPLOYEE LABEL]])-ROW(T_EMPLOYEES[[#Headers],[EMPLOYEE LABEL]]))</f>
        <v>26</v>
      </c>
      <c r="AB29">
        <f ca="1">IF(T_EMPLOYEES[[#This Row],[EMPLOYEE NUMBER]]="","",IF(COUNTIF(T_EMPLOYEES[EMPLOYEE NUMBER],T_EMPLOYEES[[#This Row],[EMPLOYEE NUMBER]])&gt;1,1,0))</f>
        <v>0</v>
      </c>
      <c r="AC29">
        <f ca="1">IF(T_EMPLOYEES[[#This Row],[EMPLOYEE NUMBER]]="","",IF(AND(T_EMPLOYEES[[#This Row],[DATE OF BIRTH]]&gt;0,T_EMPLOYEES[[#This Row],[DATE OF BIRTH]]&lt;TODAY()),0,1))</f>
        <v>0</v>
      </c>
      <c r="AD29">
        <f ca="1">IF(T_EMPLOYEES[[#This Row],[EMPLOYEE NUMBER]]="","",IF(AND(T_EMPLOYEES[[#This Row],[START DATE]]&gt;0,T_EMPLOYEES[[#This Row],[START DATE]]&lt;TODAY()+60),0,1))</f>
        <v>0</v>
      </c>
      <c r="AE29">
        <f ca="1">IF(T_EMPLOYEES[[#This Row],[EMPLOYEE NUMBER]]="","",MATCH(T_EMPLOYEES[[#This Row],[GENDER]],L_GENDER,0))</f>
        <v>1</v>
      </c>
      <c r="AF29">
        <f ca="1">IF(T_EMPLOYEES[[#This Row],[EMPLOYEE NUMBER]]="","",MATCH(T_EMPLOYEES[[#This Row],[HIRE SOURCE]],L_HIRESOURCE,0))</f>
        <v>4</v>
      </c>
      <c r="AG29">
        <f ca="1">IF(T_EMPLOYEES[[#This Row],[EMPLOYEE NUMBER]]="","",MATCH(T_EMPLOYEES[[#This Row],[ETHNICITY]],L_ETHNICITY,0))</f>
        <v>3</v>
      </c>
      <c r="AH29">
        <f ca="1">IF(T_EMPLOYEES[[#This Row],[EMPLOYEE NUMBER]]="","",MATCH(T_EMPLOYEES[[#This Row],[LOCATION]],L_LOCATION,0))</f>
        <v>2</v>
      </c>
      <c r="AI29">
        <f ca="1">IF(T_EMPLOYEES[[#This Row],[EMPLOYEE NUMBER]]="","",MATCH(T_EMPLOYEES[[#This Row],[DEPARTMENT]],L_DEPARTMENT,0))</f>
        <v>2</v>
      </c>
      <c r="AJ29">
        <f ca="1">IF(T_EMPLOYEES[[#This Row],[EMPLOYEE NUMBER]]="","",MATCH(T_EMPLOYEES[[#This Row],[JOB TYPE]],L_JOBTYPE,0))</f>
        <v>2</v>
      </c>
      <c r="AK29">
        <f ca="1">IF(T_EMPLOYEES[[#This Row],[EMPLOYEE NUMBER]]="","",MATCH(T_EMPLOYEES[[#This Row],[JOB CATEGORY]],L_JOBCATEGORY,0))</f>
        <v>10</v>
      </c>
      <c r="AL29">
        <f ca="1">IF(T_EMPLOYEES[[#This Row],[EMPLOYEE NUMBER]]="","",MATCH(T_EMPLOYEES[[#This Row],[JOB LEVEL]],L_JOBLEVEL,0))</f>
        <v>4</v>
      </c>
      <c r="AM29">
        <f ca="1">IF(T_EMPLOYEES[[#This Row],[EMPLOYEE NUMBER]]="","",MATCH(T_EMPLOYEES[[#This Row],[JOB TITLE]],L_JOBTITLE,0))</f>
        <v>10</v>
      </c>
      <c r="AN29">
        <f ca="1">IF(T_EMPLOYEES[[#This Row],[EMPLOYEE NUMBER]]="","",MATCH(T_EMPLOYEES[[#This Row],[MANAGER]],L_EMPLABELS,0))</f>
        <v>43</v>
      </c>
      <c r="AO29">
        <f ca="1">IF(T_EMPLOYEES[[#This Row],[EMPLOYEE NUMBER]]="","",IF(T_EMPLOYEES[[#This Row],[ERROR]]="",0,1))</f>
        <v>0</v>
      </c>
      <c r="AP2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" spans="1:42">
      <c r="A30" t="s">
        <v>295</v>
      </c>
      <c r="B30" t="s">
        <v>296</v>
      </c>
      <c r="C30">
        <v>1022458</v>
      </c>
      <c r="D30" t="s">
        <v>297</v>
      </c>
      <c r="E30" s="26">
        <v>28402</v>
      </c>
      <c r="F30" s="26">
        <v>43682</v>
      </c>
      <c r="H30" t="s">
        <v>27</v>
      </c>
      <c r="I30" t="s">
        <v>54</v>
      </c>
      <c r="J30" t="s">
        <v>64</v>
      </c>
      <c r="K30" t="s">
        <v>30</v>
      </c>
      <c r="L30" s="27" t="s">
        <v>45</v>
      </c>
      <c r="M30" t="s">
        <v>46</v>
      </c>
      <c r="N30" t="s">
        <v>47</v>
      </c>
      <c r="O30" t="s">
        <v>90</v>
      </c>
      <c r="P30" t="s">
        <v>47</v>
      </c>
      <c r="Q30" t="s">
        <v>232</v>
      </c>
      <c r="R30" s="27">
        <v>7</v>
      </c>
      <c r="S30" s="1">
        <v>5000000</v>
      </c>
      <c r="T30" s="1">
        <f ca="1">ROUND(T_EMPLOYEES[[#This Row],[EMP_CTC1]]/12, 0)</f>
        <v>416667</v>
      </c>
      <c r="U30" s="1">
        <v>2300000</v>
      </c>
      <c r="V30" s="1" t="s">
        <v>207</v>
      </c>
      <c r="W30" s="1" t="s">
        <v>207</v>
      </c>
      <c r="X3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Gangadhar Chiluka (1022458)</v>
      </c>
      <c r="Y30">
        <v>60000</v>
      </c>
      <c r="Z30" s="29">
        <f t="shared" ca="1" si="1"/>
        <v>54</v>
      </c>
      <c r="AA30">
        <f ca="1">IF(T_EMPLOYEES[[#This Row],[EMPLOYEE NUMBER]]="","",ROW(T_EMPLOYEES[[#This Row],[EMPLOYEE LABEL]])-ROW(T_EMPLOYEES[[#Headers],[EMPLOYEE LABEL]]))</f>
        <v>27</v>
      </c>
      <c r="AB30">
        <f ca="1">IF(T_EMPLOYEES[[#This Row],[EMPLOYEE NUMBER]]="","",IF(COUNTIF(T_EMPLOYEES[EMPLOYEE NUMBER],T_EMPLOYEES[[#This Row],[EMPLOYEE NUMBER]])&gt;1,1,0))</f>
        <v>0</v>
      </c>
      <c r="AC30">
        <f ca="1">IF(T_EMPLOYEES[[#This Row],[EMPLOYEE NUMBER]]="","",IF(AND(T_EMPLOYEES[[#This Row],[DATE OF BIRTH]]&gt;0,T_EMPLOYEES[[#This Row],[DATE OF BIRTH]]&lt;TODAY()),0,1))</f>
        <v>0</v>
      </c>
      <c r="AD30">
        <f ca="1">IF(T_EMPLOYEES[[#This Row],[EMPLOYEE NUMBER]]="","",IF(AND(T_EMPLOYEES[[#This Row],[START DATE]]&gt;0,T_EMPLOYEES[[#This Row],[START DATE]]&lt;TODAY()+60),0,1))</f>
        <v>0</v>
      </c>
      <c r="AE30">
        <f ca="1">IF(T_EMPLOYEES[[#This Row],[EMPLOYEE NUMBER]]="","",MATCH(T_EMPLOYEES[[#This Row],[GENDER]],L_GENDER,0))</f>
        <v>1</v>
      </c>
      <c r="AF30">
        <f ca="1">IF(T_EMPLOYEES[[#This Row],[EMPLOYEE NUMBER]]="","",MATCH(T_EMPLOYEES[[#This Row],[HIRE SOURCE]],L_HIRESOURCE,0))</f>
        <v>4</v>
      </c>
      <c r="AG30">
        <f ca="1">IF(T_EMPLOYEES[[#This Row],[EMPLOYEE NUMBER]]="","",MATCH(T_EMPLOYEES[[#This Row],[ETHNICITY]],L_ETHNICITY,0))</f>
        <v>3</v>
      </c>
      <c r="AH30">
        <f ca="1">IF(T_EMPLOYEES[[#This Row],[EMPLOYEE NUMBER]]="","",MATCH(T_EMPLOYEES[[#This Row],[LOCATION]],L_LOCATION,0))</f>
        <v>1</v>
      </c>
      <c r="AI30">
        <f ca="1">IF(T_EMPLOYEES[[#This Row],[EMPLOYEE NUMBER]]="","",MATCH(T_EMPLOYEES[[#This Row],[DEPARTMENT]],L_DEPARTMENT,0))</f>
        <v>2</v>
      </c>
      <c r="AJ30">
        <f ca="1">IF(T_EMPLOYEES[[#This Row],[EMPLOYEE NUMBER]]="","",MATCH(T_EMPLOYEES[[#This Row],[JOB TYPE]],L_JOBTYPE,0))</f>
        <v>2</v>
      </c>
      <c r="AK30">
        <f ca="1">IF(T_EMPLOYEES[[#This Row],[EMPLOYEE NUMBER]]="","",MATCH(T_EMPLOYEES[[#This Row],[JOB CATEGORY]],L_JOBCATEGORY,0))</f>
        <v>2</v>
      </c>
      <c r="AL30">
        <f ca="1">IF(T_EMPLOYEES[[#This Row],[EMPLOYEE NUMBER]]="","",MATCH(T_EMPLOYEES[[#This Row],[JOB LEVEL]],L_JOBLEVEL,0))</f>
        <v>6</v>
      </c>
      <c r="AM30">
        <f ca="1">IF(T_EMPLOYEES[[#This Row],[EMPLOYEE NUMBER]]="","",MATCH(T_EMPLOYEES[[#This Row],[JOB TITLE]],L_JOBTITLE,0))</f>
        <v>2</v>
      </c>
      <c r="AN30">
        <f ca="1">IF(T_EMPLOYEES[[#This Row],[EMPLOYEE NUMBER]]="","",MATCH(T_EMPLOYEES[[#This Row],[MANAGER]],L_EMPLABELS,0))</f>
        <v>19</v>
      </c>
      <c r="AO30">
        <f ca="1">IF(T_EMPLOYEES[[#This Row],[EMPLOYEE NUMBER]]="","",IF(T_EMPLOYEES[[#This Row],[ERROR]]="",0,1))</f>
        <v>0</v>
      </c>
      <c r="AP3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" spans="1:42">
      <c r="A31" t="s">
        <v>298</v>
      </c>
      <c r="B31" t="s">
        <v>299</v>
      </c>
      <c r="C31">
        <v>1004044</v>
      </c>
      <c r="D31" t="s">
        <v>300</v>
      </c>
      <c r="E31" s="26">
        <v>28542</v>
      </c>
      <c r="F31" s="26">
        <v>39461</v>
      </c>
      <c r="G31" s="26">
        <v>44177</v>
      </c>
      <c r="H31" t="s">
        <v>27</v>
      </c>
      <c r="I31" t="s">
        <v>54</v>
      </c>
      <c r="J31" t="s">
        <v>64</v>
      </c>
      <c r="K31" t="s">
        <v>43</v>
      </c>
      <c r="L31" s="27" t="s">
        <v>45</v>
      </c>
      <c r="M31" t="s">
        <v>46</v>
      </c>
      <c r="N31" t="s">
        <v>111</v>
      </c>
      <c r="O31" t="s">
        <v>71</v>
      </c>
      <c r="P31" t="s">
        <v>111</v>
      </c>
      <c r="Q31" t="s">
        <v>284</v>
      </c>
      <c r="R31">
        <v>5</v>
      </c>
      <c r="S31" s="1">
        <v>5000000</v>
      </c>
      <c r="T31" s="1">
        <f ca="1">ROUND(T_EMPLOYEES[[#This Row],[EMP_CTC1]]/12, 0)</f>
        <v>416667</v>
      </c>
      <c r="U31" s="1">
        <v>2300000</v>
      </c>
      <c r="V31" s="1" t="s">
        <v>207</v>
      </c>
      <c r="W31" s="1" t="s">
        <v>207</v>
      </c>
      <c r="X3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Umakanta  Rath (1004044)</v>
      </c>
      <c r="Y31">
        <v>60000</v>
      </c>
      <c r="Z31" s="29">
        <f t="shared" ca="1" si="1"/>
        <v>54</v>
      </c>
      <c r="AA31">
        <f ca="1">IF(T_EMPLOYEES[[#This Row],[EMPLOYEE NUMBER]]="","",ROW(T_EMPLOYEES[[#This Row],[EMPLOYEE LABEL]])-ROW(T_EMPLOYEES[[#Headers],[EMPLOYEE LABEL]]))</f>
        <v>28</v>
      </c>
      <c r="AB31">
        <f ca="1">IF(T_EMPLOYEES[[#This Row],[EMPLOYEE NUMBER]]="","",IF(COUNTIF(T_EMPLOYEES[EMPLOYEE NUMBER],T_EMPLOYEES[[#This Row],[EMPLOYEE NUMBER]])&gt;1,1,0))</f>
        <v>0</v>
      </c>
      <c r="AC31">
        <f ca="1">IF(T_EMPLOYEES[[#This Row],[EMPLOYEE NUMBER]]="","",IF(AND(T_EMPLOYEES[[#This Row],[DATE OF BIRTH]]&gt;0,T_EMPLOYEES[[#This Row],[DATE OF BIRTH]]&lt;TODAY()),0,1))</f>
        <v>0</v>
      </c>
      <c r="AD31">
        <f ca="1">IF(T_EMPLOYEES[[#This Row],[EMPLOYEE NUMBER]]="","",IF(AND(T_EMPLOYEES[[#This Row],[START DATE]]&gt;0,T_EMPLOYEES[[#This Row],[START DATE]]&lt;TODAY()+60),0,1))</f>
        <v>0</v>
      </c>
      <c r="AE31">
        <f ca="1">IF(T_EMPLOYEES[[#This Row],[EMPLOYEE NUMBER]]="","",MATCH(T_EMPLOYEES[[#This Row],[GENDER]],L_GENDER,0))</f>
        <v>1</v>
      </c>
      <c r="AF31">
        <f ca="1">IF(T_EMPLOYEES[[#This Row],[EMPLOYEE NUMBER]]="","",MATCH(T_EMPLOYEES[[#This Row],[HIRE SOURCE]],L_HIRESOURCE,0))</f>
        <v>4</v>
      </c>
      <c r="AG31">
        <f ca="1">IF(T_EMPLOYEES[[#This Row],[EMPLOYEE NUMBER]]="","",MATCH(T_EMPLOYEES[[#This Row],[ETHNICITY]],L_ETHNICITY,0))</f>
        <v>3</v>
      </c>
      <c r="AH31">
        <f ca="1">IF(T_EMPLOYEES[[#This Row],[EMPLOYEE NUMBER]]="","",MATCH(T_EMPLOYEES[[#This Row],[LOCATION]],L_LOCATION,0))</f>
        <v>2</v>
      </c>
      <c r="AI31">
        <f ca="1">IF(T_EMPLOYEES[[#This Row],[EMPLOYEE NUMBER]]="","",MATCH(T_EMPLOYEES[[#This Row],[DEPARTMENT]],L_DEPARTMENT,0))</f>
        <v>2</v>
      </c>
      <c r="AJ31">
        <f ca="1">IF(T_EMPLOYEES[[#This Row],[EMPLOYEE NUMBER]]="","",MATCH(T_EMPLOYEES[[#This Row],[JOB TYPE]],L_JOBTYPE,0))</f>
        <v>2</v>
      </c>
      <c r="AK31">
        <f ca="1">IF(T_EMPLOYEES[[#This Row],[EMPLOYEE NUMBER]]="","",MATCH(T_EMPLOYEES[[#This Row],[JOB CATEGORY]],L_JOBCATEGORY,0))</f>
        <v>10</v>
      </c>
      <c r="AL31">
        <f ca="1">IF(T_EMPLOYEES[[#This Row],[EMPLOYEE NUMBER]]="","",MATCH(T_EMPLOYEES[[#This Row],[JOB LEVEL]],L_JOBLEVEL,0))</f>
        <v>4</v>
      </c>
      <c r="AM31">
        <f ca="1">IF(T_EMPLOYEES[[#This Row],[EMPLOYEE NUMBER]]="","",MATCH(T_EMPLOYEES[[#This Row],[JOB TITLE]],L_JOBTITLE,0))</f>
        <v>10</v>
      </c>
      <c r="AN31">
        <f ca="1">IF(T_EMPLOYEES[[#This Row],[EMPLOYEE NUMBER]]="","",MATCH(T_EMPLOYEES[[#This Row],[MANAGER]],L_EMPLABELS,0))</f>
        <v>96</v>
      </c>
      <c r="AO31">
        <f ca="1">IF(T_EMPLOYEES[[#This Row],[EMPLOYEE NUMBER]]="","",IF(T_EMPLOYEES[[#This Row],[ERROR]]="",0,1))</f>
        <v>0</v>
      </c>
      <c r="AP3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" spans="1:42">
      <c r="A32" t="s">
        <v>301</v>
      </c>
      <c r="B32" t="s">
        <v>302</v>
      </c>
      <c r="C32">
        <v>1032204</v>
      </c>
      <c r="D32" t="s">
        <v>303</v>
      </c>
      <c r="E32" s="26">
        <v>28609</v>
      </c>
      <c r="F32" s="26">
        <v>44967</v>
      </c>
      <c r="H32" t="s">
        <v>40</v>
      </c>
      <c r="I32" t="s">
        <v>54</v>
      </c>
      <c r="J32" t="s">
        <v>64</v>
      </c>
      <c r="K32" t="s">
        <v>43</v>
      </c>
      <c r="L32" s="27" t="s">
        <v>45</v>
      </c>
      <c r="M32" t="s">
        <v>46</v>
      </c>
      <c r="N32" t="s">
        <v>131</v>
      </c>
      <c r="O32" t="s">
        <v>60</v>
      </c>
      <c r="P32" t="s">
        <v>131</v>
      </c>
      <c r="Q32" t="s">
        <v>304</v>
      </c>
      <c r="R32" s="27">
        <v>3</v>
      </c>
      <c r="S32" s="1">
        <v>5000000</v>
      </c>
      <c r="T32" s="1">
        <f ca="1">ROUND(T_EMPLOYEES[[#This Row],[EMP_CTC1]]/12, 0)</f>
        <v>416667</v>
      </c>
      <c r="U32" s="1">
        <v>2300000</v>
      </c>
      <c r="V32" s="1" t="s">
        <v>207</v>
      </c>
      <c r="W32" s="1" t="s">
        <v>207</v>
      </c>
      <c r="X3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Madhavi Latha Jamjanam (1032204)</v>
      </c>
      <c r="Y32">
        <v>60000</v>
      </c>
      <c r="Z32" s="29">
        <f t="shared" ca="1" si="1"/>
        <v>54</v>
      </c>
      <c r="AA32">
        <f ca="1">IF(T_EMPLOYEES[[#This Row],[EMPLOYEE NUMBER]]="","",ROW(T_EMPLOYEES[[#This Row],[EMPLOYEE LABEL]])-ROW(T_EMPLOYEES[[#Headers],[EMPLOYEE LABEL]]))</f>
        <v>29</v>
      </c>
      <c r="AB32">
        <f ca="1">IF(T_EMPLOYEES[[#This Row],[EMPLOYEE NUMBER]]="","",IF(COUNTIF(T_EMPLOYEES[EMPLOYEE NUMBER],T_EMPLOYEES[[#This Row],[EMPLOYEE NUMBER]])&gt;1,1,0))</f>
        <v>0</v>
      </c>
      <c r="AC32">
        <f ca="1">IF(T_EMPLOYEES[[#This Row],[EMPLOYEE NUMBER]]="","",IF(AND(T_EMPLOYEES[[#This Row],[DATE OF BIRTH]]&gt;0,T_EMPLOYEES[[#This Row],[DATE OF BIRTH]]&lt;TODAY()),0,1))</f>
        <v>0</v>
      </c>
      <c r="AD32">
        <f ca="1">IF(T_EMPLOYEES[[#This Row],[EMPLOYEE NUMBER]]="","",IF(AND(T_EMPLOYEES[[#This Row],[START DATE]]&gt;0,T_EMPLOYEES[[#This Row],[START DATE]]&lt;TODAY()+60),0,1))</f>
        <v>0</v>
      </c>
      <c r="AE32">
        <f ca="1">IF(T_EMPLOYEES[[#This Row],[EMPLOYEE NUMBER]]="","",MATCH(T_EMPLOYEES[[#This Row],[GENDER]],L_GENDER,0))</f>
        <v>2</v>
      </c>
      <c r="AF32">
        <f ca="1">IF(T_EMPLOYEES[[#This Row],[EMPLOYEE NUMBER]]="","",MATCH(T_EMPLOYEES[[#This Row],[HIRE SOURCE]],L_HIRESOURCE,0))</f>
        <v>4</v>
      </c>
      <c r="AG32">
        <f ca="1">IF(T_EMPLOYEES[[#This Row],[EMPLOYEE NUMBER]]="","",MATCH(T_EMPLOYEES[[#This Row],[ETHNICITY]],L_ETHNICITY,0))</f>
        <v>3</v>
      </c>
      <c r="AH32">
        <f ca="1">IF(T_EMPLOYEES[[#This Row],[EMPLOYEE NUMBER]]="","",MATCH(T_EMPLOYEES[[#This Row],[LOCATION]],L_LOCATION,0))</f>
        <v>2</v>
      </c>
      <c r="AI32">
        <f ca="1">IF(T_EMPLOYEES[[#This Row],[EMPLOYEE NUMBER]]="","",MATCH(T_EMPLOYEES[[#This Row],[DEPARTMENT]],L_DEPARTMENT,0))</f>
        <v>2</v>
      </c>
      <c r="AJ32">
        <f ca="1">IF(T_EMPLOYEES[[#This Row],[EMPLOYEE NUMBER]]="","",MATCH(T_EMPLOYEES[[#This Row],[JOB TYPE]],L_JOBTYPE,0))</f>
        <v>2</v>
      </c>
      <c r="AK32">
        <f ca="1">IF(T_EMPLOYEES[[#This Row],[EMPLOYEE NUMBER]]="","",MATCH(T_EMPLOYEES[[#This Row],[JOB CATEGORY]],L_JOBCATEGORY,0))</f>
        <v>16</v>
      </c>
      <c r="AL32">
        <f ca="1">IF(T_EMPLOYEES[[#This Row],[EMPLOYEE NUMBER]]="","",MATCH(T_EMPLOYEES[[#This Row],[JOB LEVEL]],L_JOBLEVEL,0))</f>
        <v>3</v>
      </c>
      <c r="AM32">
        <f ca="1">IF(T_EMPLOYEES[[#This Row],[EMPLOYEE NUMBER]]="","",MATCH(T_EMPLOYEES[[#This Row],[JOB TITLE]],L_JOBTITLE,0))</f>
        <v>16</v>
      </c>
      <c r="AN32">
        <f ca="1">IF(T_EMPLOYEES[[#This Row],[EMPLOYEE NUMBER]]="","",MATCH(T_EMPLOYEES[[#This Row],[MANAGER]],L_EMPLABELS,0))</f>
        <v>27</v>
      </c>
      <c r="AO32">
        <f ca="1">IF(T_EMPLOYEES[[#This Row],[EMPLOYEE NUMBER]]="","",IF(T_EMPLOYEES[[#This Row],[ERROR]]="",0,1))</f>
        <v>0</v>
      </c>
      <c r="AP3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" spans="1:42">
      <c r="A33" t="s">
        <v>305</v>
      </c>
      <c r="B33" t="s">
        <v>306</v>
      </c>
      <c r="C33">
        <v>1000900</v>
      </c>
      <c r="D33" t="s">
        <v>307</v>
      </c>
      <c r="E33" s="26">
        <v>28642</v>
      </c>
      <c r="F33" s="26">
        <v>38215</v>
      </c>
      <c r="G33" s="26">
        <v>44177</v>
      </c>
      <c r="H33" t="s">
        <v>27</v>
      </c>
      <c r="I33" t="s">
        <v>54</v>
      </c>
      <c r="J33" t="s">
        <v>64</v>
      </c>
      <c r="K33" t="s">
        <v>43</v>
      </c>
      <c r="L33" s="27" t="s">
        <v>45</v>
      </c>
      <c r="M33" t="s">
        <v>46</v>
      </c>
      <c r="N33" t="s">
        <v>134</v>
      </c>
      <c r="O33" t="s">
        <v>96</v>
      </c>
      <c r="P33" t="s">
        <v>134</v>
      </c>
      <c r="Q33" t="s">
        <v>215</v>
      </c>
      <c r="S33" s="1">
        <v>5000000</v>
      </c>
      <c r="T33" s="1">
        <f ca="1">ROUND(T_EMPLOYEES[[#This Row],[EMP_CTC1]]/12, 0)</f>
        <v>416667</v>
      </c>
      <c r="U33" s="1">
        <v>2300000</v>
      </c>
      <c r="V33" s="1" t="s">
        <v>207</v>
      </c>
      <c r="W33" s="1" t="s">
        <v>207</v>
      </c>
      <c r="X3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Rama Krishna Chakka (1000900)</v>
      </c>
      <c r="Y33">
        <v>60000</v>
      </c>
      <c r="Z33" s="29">
        <f t="shared" ca="1" si="1"/>
        <v>54</v>
      </c>
      <c r="AA33">
        <f ca="1">IF(T_EMPLOYEES[[#This Row],[EMPLOYEE NUMBER]]="","",ROW(T_EMPLOYEES[[#This Row],[EMPLOYEE LABEL]])-ROW(T_EMPLOYEES[[#Headers],[EMPLOYEE LABEL]]))</f>
        <v>30</v>
      </c>
      <c r="AB33">
        <f ca="1">IF(T_EMPLOYEES[[#This Row],[EMPLOYEE NUMBER]]="","",IF(COUNTIF(T_EMPLOYEES[EMPLOYEE NUMBER],T_EMPLOYEES[[#This Row],[EMPLOYEE NUMBER]])&gt;1,1,0))</f>
        <v>0</v>
      </c>
      <c r="AC33">
        <f ca="1">IF(T_EMPLOYEES[[#This Row],[EMPLOYEE NUMBER]]="","",IF(AND(T_EMPLOYEES[[#This Row],[DATE OF BIRTH]]&gt;0,T_EMPLOYEES[[#This Row],[DATE OF BIRTH]]&lt;TODAY()),0,1))</f>
        <v>0</v>
      </c>
      <c r="AD33">
        <f ca="1">IF(T_EMPLOYEES[[#This Row],[EMPLOYEE NUMBER]]="","",IF(AND(T_EMPLOYEES[[#This Row],[START DATE]]&gt;0,T_EMPLOYEES[[#This Row],[START DATE]]&lt;TODAY()+60),0,1))</f>
        <v>0</v>
      </c>
      <c r="AE33">
        <f ca="1">IF(T_EMPLOYEES[[#This Row],[EMPLOYEE NUMBER]]="","",MATCH(T_EMPLOYEES[[#This Row],[GENDER]],L_GENDER,0))</f>
        <v>1</v>
      </c>
      <c r="AF33">
        <f ca="1">IF(T_EMPLOYEES[[#This Row],[EMPLOYEE NUMBER]]="","",MATCH(T_EMPLOYEES[[#This Row],[HIRE SOURCE]],L_HIRESOURCE,0))</f>
        <v>4</v>
      </c>
      <c r="AG33">
        <f ca="1">IF(T_EMPLOYEES[[#This Row],[EMPLOYEE NUMBER]]="","",MATCH(T_EMPLOYEES[[#This Row],[ETHNICITY]],L_ETHNICITY,0))</f>
        <v>3</v>
      </c>
      <c r="AH33">
        <f ca="1">IF(T_EMPLOYEES[[#This Row],[EMPLOYEE NUMBER]]="","",MATCH(T_EMPLOYEES[[#This Row],[LOCATION]],L_LOCATION,0))</f>
        <v>2</v>
      </c>
      <c r="AI33">
        <f ca="1">IF(T_EMPLOYEES[[#This Row],[EMPLOYEE NUMBER]]="","",MATCH(T_EMPLOYEES[[#This Row],[DEPARTMENT]],L_DEPARTMENT,0))</f>
        <v>2</v>
      </c>
      <c r="AJ33">
        <f ca="1">IF(T_EMPLOYEES[[#This Row],[EMPLOYEE NUMBER]]="","",MATCH(T_EMPLOYEES[[#This Row],[JOB TYPE]],L_JOBTYPE,0))</f>
        <v>2</v>
      </c>
      <c r="AK33">
        <f ca="1">IF(T_EMPLOYEES[[#This Row],[EMPLOYEE NUMBER]]="","",MATCH(T_EMPLOYEES[[#This Row],[JOB CATEGORY]],L_JOBCATEGORY,0))</f>
        <v>17</v>
      </c>
      <c r="AL33">
        <f ca="1">IF(T_EMPLOYEES[[#This Row],[EMPLOYEE NUMBER]]="","",MATCH(T_EMPLOYEES[[#This Row],[JOB LEVEL]],L_JOBLEVEL,0))</f>
        <v>7</v>
      </c>
      <c r="AM33">
        <f ca="1">IF(T_EMPLOYEES[[#This Row],[EMPLOYEE NUMBER]]="","",MATCH(T_EMPLOYEES[[#This Row],[JOB TITLE]],L_JOBTITLE,0))</f>
        <v>17</v>
      </c>
      <c r="AN33">
        <f ca="1">IF(T_EMPLOYEES[[#This Row],[EMPLOYEE NUMBER]]="","",MATCH(T_EMPLOYEES[[#This Row],[MANAGER]],L_EMPLABELS,0))</f>
        <v>13</v>
      </c>
      <c r="AO33">
        <f ca="1">IF(T_EMPLOYEES[[#This Row],[EMPLOYEE NUMBER]]="","",IF(T_EMPLOYEES[[#This Row],[ERROR]]="",0,1))</f>
        <v>0</v>
      </c>
      <c r="AP3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" spans="1:42">
      <c r="A34" t="s">
        <v>308</v>
      </c>
      <c r="B34" t="s">
        <v>309</v>
      </c>
      <c r="C34">
        <v>1031110</v>
      </c>
      <c r="D34" t="s">
        <v>310</v>
      </c>
      <c r="E34" s="26">
        <v>28765</v>
      </c>
      <c r="F34" s="26">
        <v>44893</v>
      </c>
      <c r="H34" t="s">
        <v>27</v>
      </c>
      <c r="I34" t="s">
        <v>54</v>
      </c>
      <c r="J34" t="s">
        <v>64</v>
      </c>
      <c r="K34" t="s">
        <v>30</v>
      </c>
      <c r="L34" s="27" t="s">
        <v>45</v>
      </c>
      <c r="M34" t="s">
        <v>46</v>
      </c>
      <c r="N34" t="s">
        <v>101</v>
      </c>
      <c r="O34" t="s">
        <v>90</v>
      </c>
      <c r="P34" t="s">
        <v>101</v>
      </c>
      <c r="Q34" t="s">
        <v>311</v>
      </c>
      <c r="R34" s="27">
        <v>7</v>
      </c>
      <c r="S34" s="1">
        <v>5000000</v>
      </c>
      <c r="T34" s="1">
        <f ca="1">ROUND(T_EMPLOYEES[[#This Row],[EMP_CTC1]]/12, 0)</f>
        <v>416667</v>
      </c>
      <c r="U34" s="1">
        <v>2300000</v>
      </c>
      <c r="V34" s="1" t="s">
        <v>207</v>
      </c>
      <c r="W34" s="1" t="s">
        <v>207</v>
      </c>
      <c r="X3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Sudhakar  Channegowda (1031110)</v>
      </c>
      <c r="Y34">
        <v>60000</v>
      </c>
      <c r="Z34" s="29">
        <f t="shared" ca="1" si="1"/>
        <v>54</v>
      </c>
      <c r="AA34">
        <f ca="1">IF(T_EMPLOYEES[[#This Row],[EMPLOYEE NUMBER]]="","",ROW(T_EMPLOYEES[[#This Row],[EMPLOYEE LABEL]])-ROW(T_EMPLOYEES[[#Headers],[EMPLOYEE LABEL]]))</f>
        <v>31</v>
      </c>
      <c r="AB34">
        <f ca="1">IF(T_EMPLOYEES[[#This Row],[EMPLOYEE NUMBER]]="","",IF(COUNTIF(T_EMPLOYEES[EMPLOYEE NUMBER],T_EMPLOYEES[[#This Row],[EMPLOYEE NUMBER]])&gt;1,1,0))</f>
        <v>0</v>
      </c>
      <c r="AC34">
        <f ca="1">IF(T_EMPLOYEES[[#This Row],[EMPLOYEE NUMBER]]="","",IF(AND(T_EMPLOYEES[[#This Row],[DATE OF BIRTH]]&gt;0,T_EMPLOYEES[[#This Row],[DATE OF BIRTH]]&lt;TODAY()),0,1))</f>
        <v>0</v>
      </c>
      <c r="AD34">
        <f ca="1">IF(T_EMPLOYEES[[#This Row],[EMPLOYEE NUMBER]]="","",IF(AND(T_EMPLOYEES[[#This Row],[START DATE]]&gt;0,T_EMPLOYEES[[#This Row],[START DATE]]&lt;TODAY()+60),0,1))</f>
        <v>0</v>
      </c>
      <c r="AE34">
        <f ca="1">IF(T_EMPLOYEES[[#This Row],[EMPLOYEE NUMBER]]="","",MATCH(T_EMPLOYEES[[#This Row],[GENDER]],L_GENDER,0))</f>
        <v>1</v>
      </c>
      <c r="AF34">
        <f ca="1">IF(T_EMPLOYEES[[#This Row],[EMPLOYEE NUMBER]]="","",MATCH(T_EMPLOYEES[[#This Row],[HIRE SOURCE]],L_HIRESOURCE,0))</f>
        <v>4</v>
      </c>
      <c r="AG34">
        <f ca="1">IF(T_EMPLOYEES[[#This Row],[EMPLOYEE NUMBER]]="","",MATCH(T_EMPLOYEES[[#This Row],[ETHNICITY]],L_ETHNICITY,0))</f>
        <v>3</v>
      </c>
      <c r="AH34">
        <f ca="1">IF(T_EMPLOYEES[[#This Row],[EMPLOYEE NUMBER]]="","",MATCH(T_EMPLOYEES[[#This Row],[LOCATION]],L_LOCATION,0))</f>
        <v>1</v>
      </c>
      <c r="AI34">
        <f ca="1">IF(T_EMPLOYEES[[#This Row],[EMPLOYEE NUMBER]]="","",MATCH(T_EMPLOYEES[[#This Row],[DEPARTMENT]],L_DEPARTMENT,0))</f>
        <v>2</v>
      </c>
      <c r="AJ34">
        <f ca="1">IF(T_EMPLOYEES[[#This Row],[EMPLOYEE NUMBER]]="","",MATCH(T_EMPLOYEES[[#This Row],[JOB TYPE]],L_JOBTYPE,0))</f>
        <v>2</v>
      </c>
      <c r="AK34">
        <f ca="1">IF(T_EMPLOYEES[[#This Row],[EMPLOYEE NUMBER]]="","",MATCH(T_EMPLOYEES[[#This Row],[JOB CATEGORY]],L_JOBCATEGORY,0))</f>
        <v>8</v>
      </c>
      <c r="AL34">
        <f ca="1">IF(T_EMPLOYEES[[#This Row],[EMPLOYEE NUMBER]]="","",MATCH(T_EMPLOYEES[[#This Row],[JOB LEVEL]],L_JOBLEVEL,0))</f>
        <v>6</v>
      </c>
      <c r="AM34">
        <f ca="1">IF(T_EMPLOYEES[[#This Row],[EMPLOYEE NUMBER]]="","",MATCH(T_EMPLOYEES[[#This Row],[JOB TITLE]],L_JOBTITLE,0))</f>
        <v>8</v>
      </c>
      <c r="AN34">
        <f ca="1">IF(T_EMPLOYEES[[#This Row],[EMPLOYEE NUMBER]]="","",MATCH(T_EMPLOYEES[[#This Row],[MANAGER]],L_EMPLABELS,0))</f>
        <v>2</v>
      </c>
      <c r="AO34">
        <f ca="1">IF(T_EMPLOYEES[[#This Row],[EMPLOYEE NUMBER]]="","",IF(T_EMPLOYEES[[#This Row],[ERROR]]="",0,1))</f>
        <v>0</v>
      </c>
      <c r="AP3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" spans="1:42">
      <c r="A35" t="s">
        <v>312</v>
      </c>
      <c r="B35" t="s">
        <v>313</v>
      </c>
      <c r="C35">
        <v>1028542</v>
      </c>
      <c r="D35" t="s">
        <v>314</v>
      </c>
      <c r="E35" s="26">
        <v>28865</v>
      </c>
      <c r="F35" s="26">
        <v>44628</v>
      </c>
      <c r="H35" t="s">
        <v>27</v>
      </c>
      <c r="I35" t="s">
        <v>54</v>
      </c>
      <c r="J35" t="s">
        <v>64</v>
      </c>
      <c r="K35" t="s">
        <v>30</v>
      </c>
      <c r="L35" s="27" t="s">
        <v>45</v>
      </c>
      <c r="M35" t="s">
        <v>46</v>
      </c>
      <c r="N35" t="s">
        <v>47</v>
      </c>
      <c r="O35" t="s">
        <v>90</v>
      </c>
      <c r="P35" t="s">
        <v>47</v>
      </c>
      <c r="Q35" t="s">
        <v>315</v>
      </c>
      <c r="R35">
        <v>7</v>
      </c>
      <c r="S35" s="1">
        <v>5000000</v>
      </c>
      <c r="T35" s="1">
        <f ca="1">ROUND(T_EMPLOYEES[[#This Row],[EMP_CTC1]]/12, 0)</f>
        <v>416667</v>
      </c>
      <c r="U35" s="1">
        <v>2300000</v>
      </c>
      <c r="V35" s="1" t="s">
        <v>207</v>
      </c>
      <c r="W35" s="1" t="s">
        <v>207</v>
      </c>
      <c r="X3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Khushal Shankarrao Bodhale (1028542)</v>
      </c>
      <c r="Y35">
        <v>60000</v>
      </c>
      <c r="Z35" s="29">
        <f t="shared" ca="1" si="1"/>
        <v>54</v>
      </c>
      <c r="AA35">
        <f ca="1">IF(T_EMPLOYEES[[#This Row],[EMPLOYEE NUMBER]]="","",ROW(T_EMPLOYEES[[#This Row],[EMPLOYEE LABEL]])-ROW(T_EMPLOYEES[[#Headers],[EMPLOYEE LABEL]]))</f>
        <v>32</v>
      </c>
      <c r="AB35">
        <f ca="1">IF(T_EMPLOYEES[[#This Row],[EMPLOYEE NUMBER]]="","",IF(COUNTIF(T_EMPLOYEES[EMPLOYEE NUMBER],T_EMPLOYEES[[#This Row],[EMPLOYEE NUMBER]])&gt;1,1,0))</f>
        <v>0</v>
      </c>
      <c r="AC35">
        <f ca="1">IF(T_EMPLOYEES[[#This Row],[EMPLOYEE NUMBER]]="","",IF(AND(T_EMPLOYEES[[#This Row],[DATE OF BIRTH]]&gt;0,T_EMPLOYEES[[#This Row],[DATE OF BIRTH]]&lt;TODAY()),0,1))</f>
        <v>0</v>
      </c>
      <c r="AD35">
        <f ca="1">IF(T_EMPLOYEES[[#This Row],[EMPLOYEE NUMBER]]="","",IF(AND(T_EMPLOYEES[[#This Row],[START DATE]]&gt;0,T_EMPLOYEES[[#This Row],[START DATE]]&lt;TODAY()+60),0,1))</f>
        <v>0</v>
      </c>
      <c r="AE35">
        <f ca="1">IF(T_EMPLOYEES[[#This Row],[EMPLOYEE NUMBER]]="","",MATCH(T_EMPLOYEES[[#This Row],[GENDER]],L_GENDER,0))</f>
        <v>1</v>
      </c>
      <c r="AF35">
        <f ca="1">IF(T_EMPLOYEES[[#This Row],[EMPLOYEE NUMBER]]="","",MATCH(T_EMPLOYEES[[#This Row],[HIRE SOURCE]],L_HIRESOURCE,0))</f>
        <v>4</v>
      </c>
      <c r="AG35">
        <f ca="1">IF(T_EMPLOYEES[[#This Row],[EMPLOYEE NUMBER]]="","",MATCH(T_EMPLOYEES[[#This Row],[ETHNICITY]],L_ETHNICITY,0))</f>
        <v>3</v>
      </c>
      <c r="AH35">
        <f ca="1">IF(T_EMPLOYEES[[#This Row],[EMPLOYEE NUMBER]]="","",MATCH(T_EMPLOYEES[[#This Row],[LOCATION]],L_LOCATION,0))</f>
        <v>1</v>
      </c>
      <c r="AI35">
        <f ca="1">IF(T_EMPLOYEES[[#This Row],[EMPLOYEE NUMBER]]="","",MATCH(T_EMPLOYEES[[#This Row],[DEPARTMENT]],L_DEPARTMENT,0))</f>
        <v>2</v>
      </c>
      <c r="AJ35">
        <f ca="1">IF(T_EMPLOYEES[[#This Row],[EMPLOYEE NUMBER]]="","",MATCH(T_EMPLOYEES[[#This Row],[JOB TYPE]],L_JOBTYPE,0))</f>
        <v>2</v>
      </c>
      <c r="AK35">
        <f ca="1">IF(T_EMPLOYEES[[#This Row],[EMPLOYEE NUMBER]]="","",MATCH(T_EMPLOYEES[[#This Row],[JOB CATEGORY]],L_JOBCATEGORY,0))</f>
        <v>2</v>
      </c>
      <c r="AL35">
        <f ca="1">IF(T_EMPLOYEES[[#This Row],[EMPLOYEE NUMBER]]="","",MATCH(T_EMPLOYEES[[#This Row],[JOB LEVEL]],L_JOBLEVEL,0))</f>
        <v>6</v>
      </c>
      <c r="AM35">
        <f ca="1">IF(T_EMPLOYEES[[#This Row],[EMPLOYEE NUMBER]]="","",MATCH(T_EMPLOYEES[[#This Row],[JOB TITLE]],L_JOBTITLE,0))</f>
        <v>2</v>
      </c>
      <c r="AN35">
        <f ca="1">IF(T_EMPLOYEES[[#This Row],[EMPLOYEE NUMBER]]="","",MATCH(T_EMPLOYEES[[#This Row],[MANAGER]],L_EMPLABELS,0))</f>
        <v>179</v>
      </c>
      <c r="AO35">
        <f ca="1">IF(T_EMPLOYEES[[#This Row],[EMPLOYEE NUMBER]]="","",IF(T_EMPLOYEES[[#This Row],[ERROR]]="",0,1))</f>
        <v>0</v>
      </c>
      <c r="AP3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" spans="1:42">
      <c r="A36" t="s">
        <v>289</v>
      </c>
      <c r="B36" t="s">
        <v>316</v>
      </c>
      <c r="C36">
        <v>1019968</v>
      </c>
      <c r="D36" t="s">
        <v>317</v>
      </c>
      <c r="E36" s="26">
        <v>28951</v>
      </c>
      <c r="F36" s="26">
        <v>43052</v>
      </c>
      <c r="H36" t="s">
        <v>27</v>
      </c>
      <c r="I36" t="s">
        <v>54</v>
      </c>
      <c r="J36" t="s">
        <v>64</v>
      </c>
      <c r="K36" t="s">
        <v>43</v>
      </c>
      <c r="L36" s="27" t="s">
        <v>45</v>
      </c>
      <c r="M36" t="s">
        <v>46</v>
      </c>
      <c r="N36" t="s">
        <v>81</v>
      </c>
      <c r="O36" t="s">
        <v>82</v>
      </c>
      <c r="P36" t="s">
        <v>81</v>
      </c>
      <c r="Q36" t="s">
        <v>215</v>
      </c>
      <c r="R36" s="27">
        <v>7</v>
      </c>
      <c r="S36" s="1">
        <v>5000000</v>
      </c>
      <c r="T36" s="1">
        <f ca="1">ROUND(T_EMPLOYEES[[#This Row],[EMP_CTC1]]/12, 0)</f>
        <v>416667</v>
      </c>
      <c r="U36" s="1">
        <v>2300000</v>
      </c>
      <c r="V36" s="1" t="s">
        <v>207</v>
      </c>
      <c r="W36" s="1" t="s">
        <v>207</v>
      </c>
      <c r="X3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Mohammed Khaja Shaik (1019968)</v>
      </c>
      <c r="Y36">
        <v>60000</v>
      </c>
      <c r="Z36" s="29">
        <f t="shared" ca="1" si="1"/>
        <v>54</v>
      </c>
      <c r="AA36">
        <f ca="1">IF(T_EMPLOYEES[[#This Row],[EMPLOYEE NUMBER]]="","",ROW(T_EMPLOYEES[[#This Row],[EMPLOYEE LABEL]])-ROW(T_EMPLOYEES[[#Headers],[EMPLOYEE LABEL]]))</f>
        <v>33</v>
      </c>
      <c r="AB36">
        <f ca="1">IF(T_EMPLOYEES[[#This Row],[EMPLOYEE NUMBER]]="","",IF(COUNTIF(T_EMPLOYEES[EMPLOYEE NUMBER],T_EMPLOYEES[[#This Row],[EMPLOYEE NUMBER]])&gt;1,1,0))</f>
        <v>0</v>
      </c>
      <c r="AC36">
        <f ca="1">IF(T_EMPLOYEES[[#This Row],[EMPLOYEE NUMBER]]="","",IF(AND(T_EMPLOYEES[[#This Row],[DATE OF BIRTH]]&gt;0,T_EMPLOYEES[[#This Row],[DATE OF BIRTH]]&lt;TODAY()),0,1))</f>
        <v>0</v>
      </c>
      <c r="AD36">
        <f ca="1">IF(T_EMPLOYEES[[#This Row],[EMPLOYEE NUMBER]]="","",IF(AND(T_EMPLOYEES[[#This Row],[START DATE]]&gt;0,T_EMPLOYEES[[#This Row],[START DATE]]&lt;TODAY()+60),0,1))</f>
        <v>0</v>
      </c>
      <c r="AE36">
        <f ca="1">IF(T_EMPLOYEES[[#This Row],[EMPLOYEE NUMBER]]="","",MATCH(T_EMPLOYEES[[#This Row],[GENDER]],L_GENDER,0))</f>
        <v>1</v>
      </c>
      <c r="AF36">
        <f ca="1">IF(T_EMPLOYEES[[#This Row],[EMPLOYEE NUMBER]]="","",MATCH(T_EMPLOYEES[[#This Row],[HIRE SOURCE]],L_HIRESOURCE,0))</f>
        <v>4</v>
      </c>
      <c r="AG36">
        <f ca="1">IF(T_EMPLOYEES[[#This Row],[EMPLOYEE NUMBER]]="","",MATCH(T_EMPLOYEES[[#This Row],[ETHNICITY]],L_ETHNICITY,0))</f>
        <v>3</v>
      </c>
      <c r="AH36">
        <f ca="1">IF(T_EMPLOYEES[[#This Row],[EMPLOYEE NUMBER]]="","",MATCH(T_EMPLOYEES[[#This Row],[LOCATION]],L_LOCATION,0))</f>
        <v>2</v>
      </c>
      <c r="AI36">
        <f ca="1">IF(T_EMPLOYEES[[#This Row],[EMPLOYEE NUMBER]]="","",MATCH(T_EMPLOYEES[[#This Row],[DEPARTMENT]],L_DEPARTMENT,0))</f>
        <v>2</v>
      </c>
      <c r="AJ36">
        <f ca="1">IF(T_EMPLOYEES[[#This Row],[EMPLOYEE NUMBER]]="","",MATCH(T_EMPLOYEES[[#This Row],[JOB TYPE]],L_JOBTYPE,0))</f>
        <v>2</v>
      </c>
      <c r="AK36">
        <f ca="1">IF(T_EMPLOYEES[[#This Row],[EMPLOYEE NUMBER]]="","",MATCH(T_EMPLOYEES[[#This Row],[JOB CATEGORY]],L_JOBCATEGORY,0))</f>
        <v>5</v>
      </c>
      <c r="AL36">
        <f ca="1">IF(T_EMPLOYEES[[#This Row],[EMPLOYEE NUMBER]]="","",MATCH(T_EMPLOYEES[[#This Row],[JOB LEVEL]],L_JOBLEVEL,0))</f>
        <v>5</v>
      </c>
      <c r="AM36">
        <f ca="1">IF(T_EMPLOYEES[[#This Row],[EMPLOYEE NUMBER]]="","",MATCH(T_EMPLOYEES[[#This Row],[JOB TITLE]],L_JOBTITLE,0))</f>
        <v>5</v>
      </c>
      <c r="AN36">
        <f ca="1">IF(T_EMPLOYEES[[#This Row],[EMPLOYEE NUMBER]]="","",MATCH(T_EMPLOYEES[[#This Row],[MANAGER]],L_EMPLABELS,0))</f>
        <v>13</v>
      </c>
      <c r="AO36">
        <f ca="1">IF(T_EMPLOYEES[[#This Row],[EMPLOYEE NUMBER]]="","",IF(T_EMPLOYEES[[#This Row],[ERROR]]="",0,1))</f>
        <v>0</v>
      </c>
      <c r="AP3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" spans="1:42">
      <c r="A37" t="s">
        <v>318</v>
      </c>
      <c r="B37" t="s">
        <v>319</v>
      </c>
      <c r="C37">
        <v>1027276</v>
      </c>
      <c r="D37" t="s">
        <v>320</v>
      </c>
      <c r="E37" s="26">
        <v>28965</v>
      </c>
      <c r="F37" s="26">
        <v>44522</v>
      </c>
      <c r="H37" t="s">
        <v>27</v>
      </c>
      <c r="I37" t="s">
        <v>54</v>
      </c>
      <c r="J37" t="s">
        <v>64</v>
      </c>
      <c r="K37" t="s">
        <v>43</v>
      </c>
      <c r="L37" s="27" t="s">
        <v>45</v>
      </c>
      <c r="M37" t="s">
        <v>46</v>
      </c>
      <c r="N37" t="s">
        <v>81</v>
      </c>
      <c r="O37" t="s">
        <v>82</v>
      </c>
      <c r="P37" t="s">
        <v>81</v>
      </c>
      <c r="Q37" t="s">
        <v>321</v>
      </c>
      <c r="R37">
        <v>7</v>
      </c>
      <c r="S37" s="1">
        <v>5000000</v>
      </c>
      <c r="T37" s="1">
        <f ca="1">ROUND(T_EMPLOYEES[[#This Row],[EMP_CTC1]]/12, 0)</f>
        <v>416667</v>
      </c>
      <c r="U37" s="1">
        <v>2300000</v>
      </c>
      <c r="V37" s="1" t="s">
        <v>207</v>
      </c>
      <c r="W37" s="1" t="s">
        <v>207</v>
      </c>
      <c r="X3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Elango Krishnamoorthy (1027276)</v>
      </c>
      <c r="Y37">
        <v>60000</v>
      </c>
      <c r="Z37" s="29">
        <f t="shared" ca="1" si="1"/>
        <v>54</v>
      </c>
      <c r="AA37">
        <f ca="1">IF(T_EMPLOYEES[[#This Row],[EMPLOYEE NUMBER]]="","",ROW(T_EMPLOYEES[[#This Row],[EMPLOYEE LABEL]])-ROW(T_EMPLOYEES[[#Headers],[EMPLOYEE LABEL]]))</f>
        <v>34</v>
      </c>
      <c r="AB37">
        <f ca="1">IF(T_EMPLOYEES[[#This Row],[EMPLOYEE NUMBER]]="","",IF(COUNTIF(T_EMPLOYEES[EMPLOYEE NUMBER],T_EMPLOYEES[[#This Row],[EMPLOYEE NUMBER]])&gt;1,1,0))</f>
        <v>0</v>
      </c>
      <c r="AC37">
        <f ca="1">IF(T_EMPLOYEES[[#This Row],[EMPLOYEE NUMBER]]="","",IF(AND(T_EMPLOYEES[[#This Row],[DATE OF BIRTH]]&gt;0,T_EMPLOYEES[[#This Row],[DATE OF BIRTH]]&lt;TODAY()),0,1))</f>
        <v>0</v>
      </c>
      <c r="AD37">
        <f ca="1">IF(T_EMPLOYEES[[#This Row],[EMPLOYEE NUMBER]]="","",IF(AND(T_EMPLOYEES[[#This Row],[START DATE]]&gt;0,T_EMPLOYEES[[#This Row],[START DATE]]&lt;TODAY()+60),0,1))</f>
        <v>0</v>
      </c>
      <c r="AE37">
        <f ca="1">IF(T_EMPLOYEES[[#This Row],[EMPLOYEE NUMBER]]="","",MATCH(T_EMPLOYEES[[#This Row],[GENDER]],L_GENDER,0))</f>
        <v>1</v>
      </c>
      <c r="AF37">
        <f ca="1">IF(T_EMPLOYEES[[#This Row],[EMPLOYEE NUMBER]]="","",MATCH(T_EMPLOYEES[[#This Row],[HIRE SOURCE]],L_HIRESOURCE,0))</f>
        <v>4</v>
      </c>
      <c r="AG37">
        <f ca="1">IF(T_EMPLOYEES[[#This Row],[EMPLOYEE NUMBER]]="","",MATCH(T_EMPLOYEES[[#This Row],[ETHNICITY]],L_ETHNICITY,0))</f>
        <v>3</v>
      </c>
      <c r="AH37">
        <f ca="1">IF(T_EMPLOYEES[[#This Row],[EMPLOYEE NUMBER]]="","",MATCH(T_EMPLOYEES[[#This Row],[LOCATION]],L_LOCATION,0))</f>
        <v>2</v>
      </c>
      <c r="AI37">
        <f ca="1">IF(T_EMPLOYEES[[#This Row],[EMPLOYEE NUMBER]]="","",MATCH(T_EMPLOYEES[[#This Row],[DEPARTMENT]],L_DEPARTMENT,0))</f>
        <v>2</v>
      </c>
      <c r="AJ37">
        <f ca="1">IF(T_EMPLOYEES[[#This Row],[EMPLOYEE NUMBER]]="","",MATCH(T_EMPLOYEES[[#This Row],[JOB TYPE]],L_JOBTYPE,0))</f>
        <v>2</v>
      </c>
      <c r="AK37">
        <f ca="1">IF(T_EMPLOYEES[[#This Row],[EMPLOYEE NUMBER]]="","",MATCH(T_EMPLOYEES[[#This Row],[JOB CATEGORY]],L_JOBCATEGORY,0))</f>
        <v>5</v>
      </c>
      <c r="AL37">
        <f ca="1">IF(T_EMPLOYEES[[#This Row],[EMPLOYEE NUMBER]]="","",MATCH(T_EMPLOYEES[[#This Row],[JOB LEVEL]],L_JOBLEVEL,0))</f>
        <v>5</v>
      </c>
      <c r="AM37">
        <f ca="1">IF(T_EMPLOYEES[[#This Row],[EMPLOYEE NUMBER]]="","",MATCH(T_EMPLOYEES[[#This Row],[JOB TITLE]],L_JOBTITLE,0))</f>
        <v>5</v>
      </c>
      <c r="AN37">
        <f ca="1">IF(T_EMPLOYEES[[#This Row],[EMPLOYEE NUMBER]]="","",MATCH(T_EMPLOYEES[[#This Row],[MANAGER]],L_EMPLABELS,0))</f>
        <v>3</v>
      </c>
      <c r="AO37">
        <f ca="1">IF(T_EMPLOYEES[[#This Row],[EMPLOYEE NUMBER]]="","",IF(T_EMPLOYEES[[#This Row],[ERROR]]="",0,1))</f>
        <v>0</v>
      </c>
      <c r="AP3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" spans="1:42">
      <c r="A38" t="s">
        <v>322</v>
      </c>
      <c r="B38" t="s">
        <v>323</v>
      </c>
      <c r="C38">
        <v>1028474</v>
      </c>
      <c r="D38" t="s">
        <v>324</v>
      </c>
      <c r="E38" s="26">
        <v>29000</v>
      </c>
      <c r="F38" s="26">
        <v>44622</v>
      </c>
      <c r="H38" t="s">
        <v>27</v>
      </c>
      <c r="I38" t="s">
        <v>54</v>
      </c>
      <c r="J38" t="s">
        <v>64</v>
      </c>
      <c r="K38" t="s">
        <v>43</v>
      </c>
      <c r="L38" s="27" t="s">
        <v>45</v>
      </c>
      <c r="M38" t="s">
        <v>46</v>
      </c>
      <c r="N38" t="s">
        <v>59</v>
      </c>
      <c r="O38" t="s">
        <v>96</v>
      </c>
      <c r="P38" t="s">
        <v>59</v>
      </c>
      <c r="Q38" t="s">
        <v>211</v>
      </c>
      <c r="R38" s="27"/>
      <c r="S38" s="1">
        <v>5000000</v>
      </c>
      <c r="T38" s="1">
        <f ca="1">ROUND(T_EMPLOYEES[[#This Row],[EMP_CTC1]]/12, 0)</f>
        <v>416667</v>
      </c>
      <c r="U38" s="1">
        <v>2300000</v>
      </c>
      <c r="V38" s="1" t="s">
        <v>207</v>
      </c>
      <c r="W38" s="1" t="s">
        <v>207</v>
      </c>
      <c r="X3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Suparno Chowdhury (1028474)</v>
      </c>
      <c r="Y38">
        <v>60000</v>
      </c>
      <c r="Z38" s="29">
        <f t="shared" ca="1" si="1"/>
        <v>54</v>
      </c>
      <c r="AA38">
        <f ca="1">IF(T_EMPLOYEES[[#This Row],[EMPLOYEE NUMBER]]="","",ROW(T_EMPLOYEES[[#This Row],[EMPLOYEE LABEL]])-ROW(T_EMPLOYEES[[#Headers],[EMPLOYEE LABEL]]))</f>
        <v>35</v>
      </c>
      <c r="AB38">
        <f ca="1">IF(T_EMPLOYEES[[#This Row],[EMPLOYEE NUMBER]]="","",IF(COUNTIF(T_EMPLOYEES[EMPLOYEE NUMBER],T_EMPLOYEES[[#This Row],[EMPLOYEE NUMBER]])&gt;1,1,0))</f>
        <v>0</v>
      </c>
      <c r="AC38">
        <f ca="1">IF(T_EMPLOYEES[[#This Row],[EMPLOYEE NUMBER]]="","",IF(AND(T_EMPLOYEES[[#This Row],[DATE OF BIRTH]]&gt;0,T_EMPLOYEES[[#This Row],[DATE OF BIRTH]]&lt;TODAY()),0,1))</f>
        <v>0</v>
      </c>
      <c r="AD38">
        <f ca="1">IF(T_EMPLOYEES[[#This Row],[EMPLOYEE NUMBER]]="","",IF(AND(T_EMPLOYEES[[#This Row],[START DATE]]&gt;0,T_EMPLOYEES[[#This Row],[START DATE]]&lt;TODAY()+60),0,1))</f>
        <v>0</v>
      </c>
      <c r="AE38">
        <f ca="1">IF(T_EMPLOYEES[[#This Row],[EMPLOYEE NUMBER]]="","",MATCH(T_EMPLOYEES[[#This Row],[GENDER]],L_GENDER,0))</f>
        <v>1</v>
      </c>
      <c r="AF38">
        <f ca="1">IF(T_EMPLOYEES[[#This Row],[EMPLOYEE NUMBER]]="","",MATCH(T_EMPLOYEES[[#This Row],[HIRE SOURCE]],L_HIRESOURCE,0))</f>
        <v>4</v>
      </c>
      <c r="AG38">
        <f ca="1">IF(T_EMPLOYEES[[#This Row],[EMPLOYEE NUMBER]]="","",MATCH(T_EMPLOYEES[[#This Row],[ETHNICITY]],L_ETHNICITY,0))</f>
        <v>3</v>
      </c>
      <c r="AH38">
        <f ca="1">IF(T_EMPLOYEES[[#This Row],[EMPLOYEE NUMBER]]="","",MATCH(T_EMPLOYEES[[#This Row],[LOCATION]],L_LOCATION,0))</f>
        <v>2</v>
      </c>
      <c r="AI38">
        <f ca="1">IF(T_EMPLOYEES[[#This Row],[EMPLOYEE NUMBER]]="","",MATCH(T_EMPLOYEES[[#This Row],[DEPARTMENT]],L_DEPARTMENT,0))</f>
        <v>2</v>
      </c>
      <c r="AJ38">
        <f ca="1">IF(T_EMPLOYEES[[#This Row],[EMPLOYEE NUMBER]]="","",MATCH(T_EMPLOYEES[[#This Row],[JOB TYPE]],L_JOBTYPE,0))</f>
        <v>2</v>
      </c>
      <c r="AK38">
        <f ca="1">IF(T_EMPLOYEES[[#This Row],[EMPLOYEE NUMBER]]="","",MATCH(T_EMPLOYEES[[#This Row],[JOB CATEGORY]],L_JOBCATEGORY,0))</f>
        <v>3</v>
      </c>
      <c r="AL38">
        <f ca="1">IF(T_EMPLOYEES[[#This Row],[EMPLOYEE NUMBER]]="","",MATCH(T_EMPLOYEES[[#This Row],[JOB LEVEL]],L_JOBLEVEL,0))</f>
        <v>7</v>
      </c>
      <c r="AM38">
        <f ca="1">IF(T_EMPLOYEES[[#This Row],[EMPLOYEE NUMBER]]="","",MATCH(T_EMPLOYEES[[#This Row],[JOB TITLE]],L_JOBTITLE,0))</f>
        <v>3</v>
      </c>
      <c r="AN38">
        <f ca="1">IF(T_EMPLOYEES[[#This Row],[EMPLOYEE NUMBER]]="","",MATCH(T_EMPLOYEES[[#This Row],[MANAGER]],L_EMPLABELS,0))</f>
        <v>49</v>
      </c>
      <c r="AO38">
        <f ca="1">IF(T_EMPLOYEES[[#This Row],[EMPLOYEE NUMBER]]="","",IF(T_EMPLOYEES[[#This Row],[ERROR]]="",0,1))</f>
        <v>0</v>
      </c>
      <c r="AP3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" spans="1:42">
      <c r="A39" t="s">
        <v>289</v>
      </c>
      <c r="B39" t="s">
        <v>325</v>
      </c>
      <c r="C39">
        <v>1030739</v>
      </c>
      <c r="D39" t="s">
        <v>326</v>
      </c>
      <c r="E39" s="26">
        <v>29042</v>
      </c>
      <c r="F39" s="26">
        <v>44860</v>
      </c>
      <c r="H39" t="s">
        <v>27</v>
      </c>
      <c r="I39" t="s">
        <v>54</v>
      </c>
      <c r="J39" t="s">
        <v>64</v>
      </c>
      <c r="K39" t="s">
        <v>30</v>
      </c>
      <c r="L39" s="27" t="s">
        <v>45</v>
      </c>
      <c r="M39" t="s">
        <v>46</v>
      </c>
      <c r="N39" t="s">
        <v>47</v>
      </c>
      <c r="O39" t="s">
        <v>90</v>
      </c>
      <c r="P39" t="s">
        <v>47</v>
      </c>
      <c r="Q39" t="s">
        <v>236</v>
      </c>
      <c r="R39">
        <v>7</v>
      </c>
      <c r="S39" s="1">
        <v>5000000</v>
      </c>
      <c r="T39" s="1">
        <f ca="1">ROUND(T_EMPLOYEES[[#This Row],[EMP_CTC1]]/12, 0)</f>
        <v>416667</v>
      </c>
      <c r="U39" s="1">
        <v>2300000</v>
      </c>
      <c r="V39" s="1" t="s">
        <v>207</v>
      </c>
      <c r="W39" s="1" t="s">
        <v>207</v>
      </c>
      <c r="X3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Mohammed Abdul Azeem (1030739)</v>
      </c>
      <c r="Y39">
        <v>92000</v>
      </c>
      <c r="Z39" s="29">
        <f t="shared" ca="1" si="1"/>
        <v>54</v>
      </c>
      <c r="AA39">
        <f ca="1">IF(T_EMPLOYEES[[#This Row],[EMPLOYEE NUMBER]]="","",ROW(T_EMPLOYEES[[#This Row],[EMPLOYEE LABEL]])-ROW(T_EMPLOYEES[[#Headers],[EMPLOYEE LABEL]]))</f>
        <v>36</v>
      </c>
      <c r="AB39">
        <f ca="1">IF(T_EMPLOYEES[[#This Row],[EMPLOYEE NUMBER]]="","",IF(COUNTIF(T_EMPLOYEES[EMPLOYEE NUMBER],T_EMPLOYEES[[#This Row],[EMPLOYEE NUMBER]])&gt;1,1,0))</f>
        <v>0</v>
      </c>
      <c r="AC39">
        <f ca="1">IF(T_EMPLOYEES[[#This Row],[EMPLOYEE NUMBER]]="","",IF(AND(T_EMPLOYEES[[#This Row],[DATE OF BIRTH]]&gt;0,T_EMPLOYEES[[#This Row],[DATE OF BIRTH]]&lt;TODAY()),0,1))</f>
        <v>0</v>
      </c>
      <c r="AD39">
        <f ca="1">IF(T_EMPLOYEES[[#This Row],[EMPLOYEE NUMBER]]="","",IF(AND(T_EMPLOYEES[[#This Row],[START DATE]]&gt;0,T_EMPLOYEES[[#This Row],[START DATE]]&lt;TODAY()+60),0,1))</f>
        <v>0</v>
      </c>
      <c r="AE39">
        <f ca="1">IF(T_EMPLOYEES[[#This Row],[EMPLOYEE NUMBER]]="","",MATCH(T_EMPLOYEES[[#This Row],[GENDER]],L_GENDER,0))</f>
        <v>1</v>
      </c>
      <c r="AF39">
        <f ca="1">IF(T_EMPLOYEES[[#This Row],[EMPLOYEE NUMBER]]="","",MATCH(T_EMPLOYEES[[#This Row],[HIRE SOURCE]],L_HIRESOURCE,0))</f>
        <v>4</v>
      </c>
      <c r="AG39">
        <f ca="1">IF(T_EMPLOYEES[[#This Row],[EMPLOYEE NUMBER]]="","",MATCH(T_EMPLOYEES[[#This Row],[ETHNICITY]],L_ETHNICITY,0))</f>
        <v>3</v>
      </c>
      <c r="AH39">
        <f ca="1">IF(T_EMPLOYEES[[#This Row],[EMPLOYEE NUMBER]]="","",MATCH(T_EMPLOYEES[[#This Row],[LOCATION]],L_LOCATION,0))</f>
        <v>1</v>
      </c>
      <c r="AI39">
        <f ca="1">IF(T_EMPLOYEES[[#This Row],[EMPLOYEE NUMBER]]="","",MATCH(T_EMPLOYEES[[#This Row],[DEPARTMENT]],L_DEPARTMENT,0))</f>
        <v>2</v>
      </c>
      <c r="AJ39">
        <f ca="1">IF(T_EMPLOYEES[[#This Row],[EMPLOYEE NUMBER]]="","",MATCH(T_EMPLOYEES[[#This Row],[JOB TYPE]],L_JOBTYPE,0))</f>
        <v>2</v>
      </c>
      <c r="AK39">
        <f ca="1">IF(T_EMPLOYEES[[#This Row],[EMPLOYEE NUMBER]]="","",MATCH(T_EMPLOYEES[[#This Row],[JOB CATEGORY]],L_JOBCATEGORY,0))</f>
        <v>2</v>
      </c>
      <c r="AL39">
        <f ca="1">IF(T_EMPLOYEES[[#This Row],[EMPLOYEE NUMBER]]="","",MATCH(T_EMPLOYEES[[#This Row],[JOB LEVEL]],L_JOBLEVEL,0))</f>
        <v>6</v>
      </c>
      <c r="AM39">
        <f ca="1">IF(T_EMPLOYEES[[#This Row],[EMPLOYEE NUMBER]]="","",MATCH(T_EMPLOYEES[[#This Row],[JOB TITLE]],L_JOBTITLE,0))</f>
        <v>2</v>
      </c>
      <c r="AN39">
        <f ca="1">IF(T_EMPLOYEES[[#This Row],[EMPLOYEE NUMBER]]="","",MATCH(T_EMPLOYEES[[#This Row],[MANAGER]],L_EMPLABELS,0))</f>
        <v>60</v>
      </c>
      <c r="AO39">
        <f ca="1">IF(T_EMPLOYEES[[#This Row],[EMPLOYEE NUMBER]]="","",IF(T_EMPLOYEES[[#This Row],[ERROR]]="",0,1))</f>
        <v>0</v>
      </c>
      <c r="AP3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" spans="1:42">
      <c r="A40" t="s">
        <v>327</v>
      </c>
      <c r="B40" t="s">
        <v>328</v>
      </c>
      <c r="C40">
        <v>1022410</v>
      </c>
      <c r="D40" t="s">
        <v>329</v>
      </c>
      <c r="E40" s="26">
        <v>29048</v>
      </c>
      <c r="F40" s="26">
        <v>43668</v>
      </c>
      <c r="H40" t="s">
        <v>40</v>
      </c>
      <c r="I40" t="s">
        <v>54</v>
      </c>
      <c r="J40" t="s">
        <v>64</v>
      </c>
      <c r="K40" t="s">
        <v>43</v>
      </c>
      <c r="L40" s="27" t="s">
        <v>45</v>
      </c>
      <c r="M40" t="s">
        <v>46</v>
      </c>
      <c r="N40" t="s">
        <v>111</v>
      </c>
      <c r="O40" t="s">
        <v>71</v>
      </c>
      <c r="P40" t="s">
        <v>111</v>
      </c>
      <c r="Q40" t="s">
        <v>321</v>
      </c>
      <c r="R40" s="27">
        <v>5</v>
      </c>
      <c r="S40" s="1">
        <v>5000000</v>
      </c>
      <c r="T40" s="1">
        <f ca="1">ROUND(T_EMPLOYEES[[#This Row],[EMP_CTC1]]/12, 0)</f>
        <v>416667</v>
      </c>
      <c r="U40" s="1">
        <v>2300000</v>
      </c>
      <c r="V40" s="1" t="s">
        <v>207</v>
      </c>
      <c r="W40" s="1" t="s">
        <v>207</v>
      </c>
      <c r="X4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Macherla Sandhya  Rani (1022410)</v>
      </c>
      <c r="Y40">
        <v>92000</v>
      </c>
      <c r="Z40" s="29">
        <f t="shared" ca="1" si="1"/>
        <v>54</v>
      </c>
      <c r="AA40">
        <f ca="1">IF(T_EMPLOYEES[[#This Row],[EMPLOYEE NUMBER]]="","",ROW(T_EMPLOYEES[[#This Row],[EMPLOYEE LABEL]])-ROW(T_EMPLOYEES[[#Headers],[EMPLOYEE LABEL]]))</f>
        <v>37</v>
      </c>
      <c r="AB40">
        <f ca="1">IF(T_EMPLOYEES[[#This Row],[EMPLOYEE NUMBER]]="","",IF(COUNTIF(T_EMPLOYEES[EMPLOYEE NUMBER],T_EMPLOYEES[[#This Row],[EMPLOYEE NUMBER]])&gt;1,1,0))</f>
        <v>0</v>
      </c>
      <c r="AC40">
        <f ca="1">IF(T_EMPLOYEES[[#This Row],[EMPLOYEE NUMBER]]="","",IF(AND(T_EMPLOYEES[[#This Row],[DATE OF BIRTH]]&gt;0,T_EMPLOYEES[[#This Row],[DATE OF BIRTH]]&lt;TODAY()),0,1))</f>
        <v>0</v>
      </c>
      <c r="AD40">
        <f ca="1">IF(T_EMPLOYEES[[#This Row],[EMPLOYEE NUMBER]]="","",IF(AND(T_EMPLOYEES[[#This Row],[START DATE]]&gt;0,T_EMPLOYEES[[#This Row],[START DATE]]&lt;TODAY()+60),0,1))</f>
        <v>0</v>
      </c>
      <c r="AE40">
        <f ca="1">IF(T_EMPLOYEES[[#This Row],[EMPLOYEE NUMBER]]="","",MATCH(T_EMPLOYEES[[#This Row],[GENDER]],L_GENDER,0))</f>
        <v>2</v>
      </c>
      <c r="AF40">
        <f ca="1">IF(T_EMPLOYEES[[#This Row],[EMPLOYEE NUMBER]]="","",MATCH(T_EMPLOYEES[[#This Row],[HIRE SOURCE]],L_HIRESOURCE,0))</f>
        <v>4</v>
      </c>
      <c r="AG40">
        <f ca="1">IF(T_EMPLOYEES[[#This Row],[EMPLOYEE NUMBER]]="","",MATCH(T_EMPLOYEES[[#This Row],[ETHNICITY]],L_ETHNICITY,0))</f>
        <v>3</v>
      </c>
      <c r="AH40">
        <f ca="1">IF(T_EMPLOYEES[[#This Row],[EMPLOYEE NUMBER]]="","",MATCH(T_EMPLOYEES[[#This Row],[LOCATION]],L_LOCATION,0))</f>
        <v>2</v>
      </c>
      <c r="AI40">
        <f ca="1">IF(T_EMPLOYEES[[#This Row],[EMPLOYEE NUMBER]]="","",MATCH(T_EMPLOYEES[[#This Row],[DEPARTMENT]],L_DEPARTMENT,0))</f>
        <v>2</v>
      </c>
      <c r="AJ40">
        <f ca="1">IF(T_EMPLOYEES[[#This Row],[EMPLOYEE NUMBER]]="","",MATCH(T_EMPLOYEES[[#This Row],[JOB TYPE]],L_JOBTYPE,0))</f>
        <v>2</v>
      </c>
      <c r="AK40">
        <f ca="1">IF(T_EMPLOYEES[[#This Row],[EMPLOYEE NUMBER]]="","",MATCH(T_EMPLOYEES[[#This Row],[JOB CATEGORY]],L_JOBCATEGORY,0))</f>
        <v>10</v>
      </c>
      <c r="AL40">
        <f ca="1">IF(T_EMPLOYEES[[#This Row],[EMPLOYEE NUMBER]]="","",MATCH(T_EMPLOYEES[[#This Row],[JOB LEVEL]],L_JOBLEVEL,0))</f>
        <v>4</v>
      </c>
      <c r="AM40">
        <f ca="1">IF(T_EMPLOYEES[[#This Row],[EMPLOYEE NUMBER]]="","",MATCH(T_EMPLOYEES[[#This Row],[JOB TITLE]],L_JOBTITLE,0))</f>
        <v>10</v>
      </c>
      <c r="AN40">
        <f ca="1">IF(T_EMPLOYEES[[#This Row],[EMPLOYEE NUMBER]]="","",MATCH(T_EMPLOYEES[[#This Row],[MANAGER]],L_EMPLABELS,0))</f>
        <v>3</v>
      </c>
      <c r="AO40">
        <f ca="1">IF(T_EMPLOYEES[[#This Row],[EMPLOYEE NUMBER]]="","",IF(T_EMPLOYEES[[#This Row],[ERROR]]="",0,1))</f>
        <v>0</v>
      </c>
      <c r="AP4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" spans="1:42">
      <c r="A41" t="s">
        <v>330</v>
      </c>
      <c r="B41" t="s">
        <v>331</v>
      </c>
      <c r="C41">
        <v>1033431</v>
      </c>
      <c r="D41" t="s">
        <v>332</v>
      </c>
      <c r="E41" s="26">
        <v>29068</v>
      </c>
      <c r="F41" s="26">
        <v>45168</v>
      </c>
      <c r="H41" t="s">
        <v>27</v>
      </c>
      <c r="I41" t="s">
        <v>54</v>
      </c>
      <c r="J41" t="s">
        <v>64</v>
      </c>
      <c r="K41" t="s">
        <v>43</v>
      </c>
      <c r="L41" s="27" t="s">
        <v>45</v>
      </c>
      <c r="M41" t="s">
        <v>46</v>
      </c>
      <c r="N41" t="s">
        <v>136</v>
      </c>
      <c r="O41" t="s">
        <v>82</v>
      </c>
      <c r="P41" t="s">
        <v>136</v>
      </c>
      <c r="Q41" t="s">
        <v>333</v>
      </c>
      <c r="R41">
        <v>7</v>
      </c>
      <c r="S41" s="1">
        <v>5000000</v>
      </c>
      <c r="T41" s="1">
        <f ca="1">ROUND(T_EMPLOYEES[[#This Row],[EMP_CTC1]]/12, 0)</f>
        <v>416667</v>
      </c>
      <c r="U41" s="1">
        <v>2300000</v>
      </c>
      <c r="V41" s="1" t="s">
        <v>207</v>
      </c>
      <c r="W41" s="1" t="s">
        <v>207</v>
      </c>
      <c r="X4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Anupam Lal (1033431)</v>
      </c>
      <c r="Y41">
        <v>92000</v>
      </c>
      <c r="Z41" s="29">
        <f t="shared" ca="1" si="1"/>
        <v>54</v>
      </c>
      <c r="AA41">
        <f ca="1">IF(T_EMPLOYEES[[#This Row],[EMPLOYEE NUMBER]]="","",ROW(T_EMPLOYEES[[#This Row],[EMPLOYEE LABEL]])-ROW(T_EMPLOYEES[[#Headers],[EMPLOYEE LABEL]]))</f>
        <v>38</v>
      </c>
      <c r="AB41">
        <f ca="1">IF(T_EMPLOYEES[[#This Row],[EMPLOYEE NUMBER]]="","",IF(COUNTIF(T_EMPLOYEES[EMPLOYEE NUMBER],T_EMPLOYEES[[#This Row],[EMPLOYEE NUMBER]])&gt;1,1,0))</f>
        <v>0</v>
      </c>
      <c r="AC41">
        <f ca="1">IF(T_EMPLOYEES[[#This Row],[EMPLOYEE NUMBER]]="","",IF(AND(T_EMPLOYEES[[#This Row],[DATE OF BIRTH]]&gt;0,T_EMPLOYEES[[#This Row],[DATE OF BIRTH]]&lt;TODAY()),0,1))</f>
        <v>0</v>
      </c>
      <c r="AD41">
        <f ca="1">IF(T_EMPLOYEES[[#This Row],[EMPLOYEE NUMBER]]="","",IF(AND(T_EMPLOYEES[[#This Row],[START DATE]]&gt;0,T_EMPLOYEES[[#This Row],[START DATE]]&lt;TODAY()+60),0,1))</f>
        <v>0</v>
      </c>
      <c r="AE41">
        <f ca="1">IF(T_EMPLOYEES[[#This Row],[EMPLOYEE NUMBER]]="","",MATCH(T_EMPLOYEES[[#This Row],[GENDER]],L_GENDER,0))</f>
        <v>1</v>
      </c>
      <c r="AF41">
        <f ca="1">IF(T_EMPLOYEES[[#This Row],[EMPLOYEE NUMBER]]="","",MATCH(T_EMPLOYEES[[#This Row],[HIRE SOURCE]],L_HIRESOURCE,0))</f>
        <v>4</v>
      </c>
      <c r="AG41">
        <f ca="1">IF(T_EMPLOYEES[[#This Row],[EMPLOYEE NUMBER]]="","",MATCH(T_EMPLOYEES[[#This Row],[ETHNICITY]],L_ETHNICITY,0))</f>
        <v>3</v>
      </c>
      <c r="AH41">
        <f ca="1">IF(T_EMPLOYEES[[#This Row],[EMPLOYEE NUMBER]]="","",MATCH(T_EMPLOYEES[[#This Row],[LOCATION]],L_LOCATION,0))</f>
        <v>2</v>
      </c>
      <c r="AI41">
        <f ca="1">IF(T_EMPLOYEES[[#This Row],[EMPLOYEE NUMBER]]="","",MATCH(T_EMPLOYEES[[#This Row],[DEPARTMENT]],L_DEPARTMENT,0))</f>
        <v>2</v>
      </c>
      <c r="AJ41">
        <f ca="1">IF(T_EMPLOYEES[[#This Row],[EMPLOYEE NUMBER]]="","",MATCH(T_EMPLOYEES[[#This Row],[JOB TYPE]],L_JOBTYPE,0))</f>
        <v>2</v>
      </c>
      <c r="AK41">
        <f ca="1">IF(T_EMPLOYEES[[#This Row],[EMPLOYEE NUMBER]]="","",MATCH(T_EMPLOYEES[[#This Row],[JOB CATEGORY]],L_JOBCATEGORY,0))</f>
        <v>18</v>
      </c>
      <c r="AL41">
        <f ca="1">IF(T_EMPLOYEES[[#This Row],[EMPLOYEE NUMBER]]="","",MATCH(T_EMPLOYEES[[#This Row],[JOB LEVEL]],L_JOBLEVEL,0))</f>
        <v>5</v>
      </c>
      <c r="AM41">
        <f ca="1">IF(T_EMPLOYEES[[#This Row],[EMPLOYEE NUMBER]]="","",MATCH(T_EMPLOYEES[[#This Row],[JOB TITLE]],L_JOBTITLE,0))</f>
        <v>18</v>
      </c>
      <c r="AN41">
        <f ca="1">IF(T_EMPLOYEES[[#This Row],[EMPLOYEE NUMBER]]="","",MATCH(T_EMPLOYEES[[#This Row],[MANAGER]],L_EMPLABELS,0))</f>
        <v>17</v>
      </c>
      <c r="AO41">
        <f ca="1">IF(T_EMPLOYEES[[#This Row],[EMPLOYEE NUMBER]]="","",IF(T_EMPLOYEES[[#This Row],[ERROR]]="",0,1))</f>
        <v>0</v>
      </c>
      <c r="AP4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" spans="1:42">
      <c r="A42" t="s">
        <v>334</v>
      </c>
      <c r="B42" t="s">
        <v>335</v>
      </c>
      <c r="C42">
        <v>1003859</v>
      </c>
      <c r="D42" t="s">
        <v>336</v>
      </c>
      <c r="E42" s="26">
        <v>29073</v>
      </c>
      <c r="F42" s="26">
        <v>39248</v>
      </c>
      <c r="G42" s="26">
        <v>44177</v>
      </c>
      <c r="H42" t="s">
        <v>27</v>
      </c>
      <c r="I42" t="s">
        <v>54</v>
      </c>
      <c r="J42" t="s">
        <v>64</v>
      </c>
      <c r="K42" t="s">
        <v>30</v>
      </c>
      <c r="L42" t="s">
        <v>130</v>
      </c>
      <c r="M42" t="s">
        <v>46</v>
      </c>
      <c r="N42" t="s">
        <v>81</v>
      </c>
      <c r="O42" t="s">
        <v>82</v>
      </c>
      <c r="P42" t="s">
        <v>81</v>
      </c>
      <c r="Q42" t="s">
        <v>337</v>
      </c>
      <c r="R42" s="27">
        <v>7</v>
      </c>
      <c r="S42" s="1">
        <v>5000000</v>
      </c>
      <c r="T42" s="1">
        <f ca="1">ROUND(T_EMPLOYEES[[#This Row],[EMP_CTC1]]/12, 0)</f>
        <v>416667</v>
      </c>
      <c r="U42" s="1">
        <v>2300000</v>
      </c>
      <c r="V42" s="1" t="s">
        <v>207</v>
      </c>
      <c r="W42" s="1" t="s">
        <v>207</v>
      </c>
      <c r="X4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Kalyana Raju C S (1003859)</v>
      </c>
      <c r="Y42">
        <v>92000</v>
      </c>
      <c r="Z42" s="29">
        <f t="shared" ca="1" si="1"/>
        <v>54</v>
      </c>
      <c r="AA42">
        <f ca="1">IF(T_EMPLOYEES[[#This Row],[EMPLOYEE NUMBER]]="","",ROW(T_EMPLOYEES[[#This Row],[EMPLOYEE LABEL]])-ROW(T_EMPLOYEES[[#Headers],[EMPLOYEE LABEL]]))</f>
        <v>39</v>
      </c>
      <c r="AB42">
        <f ca="1">IF(T_EMPLOYEES[[#This Row],[EMPLOYEE NUMBER]]="","",IF(COUNTIF(T_EMPLOYEES[EMPLOYEE NUMBER],T_EMPLOYEES[[#This Row],[EMPLOYEE NUMBER]])&gt;1,1,0))</f>
        <v>0</v>
      </c>
      <c r="AC42">
        <f ca="1">IF(T_EMPLOYEES[[#This Row],[EMPLOYEE NUMBER]]="","",IF(AND(T_EMPLOYEES[[#This Row],[DATE OF BIRTH]]&gt;0,T_EMPLOYEES[[#This Row],[DATE OF BIRTH]]&lt;TODAY()),0,1))</f>
        <v>0</v>
      </c>
      <c r="AD42">
        <f ca="1">IF(T_EMPLOYEES[[#This Row],[EMPLOYEE NUMBER]]="","",IF(AND(T_EMPLOYEES[[#This Row],[START DATE]]&gt;0,T_EMPLOYEES[[#This Row],[START DATE]]&lt;TODAY()+60),0,1))</f>
        <v>0</v>
      </c>
      <c r="AE42">
        <f ca="1">IF(T_EMPLOYEES[[#This Row],[EMPLOYEE NUMBER]]="","",MATCH(T_EMPLOYEES[[#This Row],[GENDER]],L_GENDER,0))</f>
        <v>1</v>
      </c>
      <c r="AF42">
        <f ca="1">IF(T_EMPLOYEES[[#This Row],[EMPLOYEE NUMBER]]="","",MATCH(T_EMPLOYEES[[#This Row],[HIRE SOURCE]],L_HIRESOURCE,0))</f>
        <v>4</v>
      </c>
      <c r="AG42">
        <f ca="1">IF(T_EMPLOYEES[[#This Row],[EMPLOYEE NUMBER]]="","",MATCH(T_EMPLOYEES[[#This Row],[ETHNICITY]],L_ETHNICITY,0))</f>
        <v>3</v>
      </c>
      <c r="AH42">
        <f ca="1">IF(T_EMPLOYEES[[#This Row],[EMPLOYEE NUMBER]]="","",MATCH(T_EMPLOYEES[[#This Row],[LOCATION]],L_LOCATION,0))</f>
        <v>1</v>
      </c>
      <c r="AI42">
        <f ca="1">IF(T_EMPLOYEES[[#This Row],[EMPLOYEE NUMBER]]="","",MATCH(T_EMPLOYEES[[#This Row],[DEPARTMENT]],L_DEPARTMENT,0))</f>
        <v>16</v>
      </c>
      <c r="AJ42">
        <f ca="1">IF(T_EMPLOYEES[[#This Row],[EMPLOYEE NUMBER]]="","",MATCH(T_EMPLOYEES[[#This Row],[JOB TYPE]],L_JOBTYPE,0))</f>
        <v>2</v>
      </c>
      <c r="AK42">
        <f ca="1">IF(T_EMPLOYEES[[#This Row],[EMPLOYEE NUMBER]]="","",MATCH(T_EMPLOYEES[[#This Row],[JOB CATEGORY]],L_JOBCATEGORY,0))</f>
        <v>5</v>
      </c>
      <c r="AL42">
        <f ca="1">IF(T_EMPLOYEES[[#This Row],[EMPLOYEE NUMBER]]="","",MATCH(T_EMPLOYEES[[#This Row],[JOB LEVEL]],L_JOBLEVEL,0))</f>
        <v>5</v>
      </c>
      <c r="AM42">
        <f ca="1">IF(T_EMPLOYEES[[#This Row],[EMPLOYEE NUMBER]]="","",MATCH(T_EMPLOYEES[[#This Row],[JOB TITLE]],L_JOBTITLE,0))</f>
        <v>5</v>
      </c>
      <c r="AN42">
        <f ca="1">IF(T_EMPLOYEES[[#This Row],[EMPLOYEE NUMBER]]="","",MATCH(T_EMPLOYEES[[#This Row],[MANAGER]],L_EMPLABELS,0))</f>
        <v>48</v>
      </c>
      <c r="AO42">
        <f ca="1">IF(T_EMPLOYEES[[#This Row],[EMPLOYEE NUMBER]]="","",IF(T_EMPLOYEES[[#This Row],[ERROR]]="",0,1))</f>
        <v>0</v>
      </c>
      <c r="AP4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" spans="1:42">
      <c r="A43" t="s">
        <v>338</v>
      </c>
      <c r="B43" t="s">
        <v>339</v>
      </c>
      <c r="C43">
        <v>1028537</v>
      </c>
      <c r="D43" t="s">
        <v>340</v>
      </c>
      <c r="E43" s="26">
        <v>29076</v>
      </c>
      <c r="F43" s="26">
        <v>44628</v>
      </c>
      <c r="H43" t="s">
        <v>27</v>
      </c>
      <c r="I43" t="s">
        <v>54</v>
      </c>
      <c r="J43" t="s">
        <v>64</v>
      </c>
      <c r="K43" t="s">
        <v>43</v>
      </c>
      <c r="L43" s="27" t="s">
        <v>45</v>
      </c>
      <c r="M43" t="s">
        <v>46</v>
      </c>
      <c r="N43" t="s">
        <v>81</v>
      </c>
      <c r="O43" t="s">
        <v>82</v>
      </c>
      <c r="P43" t="s">
        <v>81</v>
      </c>
      <c r="Q43" t="s">
        <v>321</v>
      </c>
      <c r="R43">
        <v>7</v>
      </c>
      <c r="S43" s="1">
        <v>5000000</v>
      </c>
      <c r="T43" s="1">
        <f ca="1">ROUND(T_EMPLOYEES[[#This Row],[EMP_CTC1]]/12, 0)</f>
        <v>416667</v>
      </c>
      <c r="U43" s="1">
        <v>2300000</v>
      </c>
      <c r="V43" s="1" t="s">
        <v>207</v>
      </c>
      <c r="W43" s="1" t="s">
        <v>207</v>
      </c>
      <c r="X4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Ravi Kumar Muppana (1028537)</v>
      </c>
      <c r="Y43">
        <v>92000</v>
      </c>
      <c r="Z43" s="29">
        <f t="shared" ca="1" si="1"/>
        <v>54</v>
      </c>
      <c r="AA43">
        <f ca="1">IF(T_EMPLOYEES[[#This Row],[EMPLOYEE NUMBER]]="","",ROW(T_EMPLOYEES[[#This Row],[EMPLOYEE LABEL]])-ROW(T_EMPLOYEES[[#Headers],[EMPLOYEE LABEL]]))</f>
        <v>40</v>
      </c>
      <c r="AB43">
        <f ca="1">IF(T_EMPLOYEES[[#This Row],[EMPLOYEE NUMBER]]="","",IF(COUNTIF(T_EMPLOYEES[EMPLOYEE NUMBER],T_EMPLOYEES[[#This Row],[EMPLOYEE NUMBER]])&gt;1,1,0))</f>
        <v>0</v>
      </c>
      <c r="AC43">
        <f ca="1">IF(T_EMPLOYEES[[#This Row],[EMPLOYEE NUMBER]]="","",IF(AND(T_EMPLOYEES[[#This Row],[DATE OF BIRTH]]&gt;0,T_EMPLOYEES[[#This Row],[DATE OF BIRTH]]&lt;TODAY()),0,1))</f>
        <v>0</v>
      </c>
      <c r="AD43">
        <f ca="1">IF(T_EMPLOYEES[[#This Row],[EMPLOYEE NUMBER]]="","",IF(AND(T_EMPLOYEES[[#This Row],[START DATE]]&gt;0,T_EMPLOYEES[[#This Row],[START DATE]]&lt;TODAY()+60),0,1))</f>
        <v>0</v>
      </c>
      <c r="AE43">
        <f ca="1">IF(T_EMPLOYEES[[#This Row],[EMPLOYEE NUMBER]]="","",MATCH(T_EMPLOYEES[[#This Row],[GENDER]],L_GENDER,0))</f>
        <v>1</v>
      </c>
      <c r="AF43">
        <f ca="1">IF(T_EMPLOYEES[[#This Row],[EMPLOYEE NUMBER]]="","",MATCH(T_EMPLOYEES[[#This Row],[HIRE SOURCE]],L_HIRESOURCE,0))</f>
        <v>4</v>
      </c>
      <c r="AG43">
        <f ca="1">IF(T_EMPLOYEES[[#This Row],[EMPLOYEE NUMBER]]="","",MATCH(T_EMPLOYEES[[#This Row],[ETHNICITY]],L_ETHNICITY,0))</f>
        <v>3</v>
      </c>
      <c r="AH43">
        <f ca="1">IF(T_EMPLOYEES[[#This Row],[EMPLOYEE NUMBER]]="","",MATCH(T_EMPLOYEES[[#This Row],[LOCATION]],L_LOCATION,0))</f>
        <v>2</v>
      </c>
      <c r="AI43">
        <f ca="1">IF(T_EMPLOYEES[[#This Row],[EMPLOYEE NUMBER]]="","",MATCH(T_EMPLOYEES[[#This Row],[DEPARTMENT]],L_DEPARTMENT,0))</f>
        <v>2</v>
      </c>
      <c r="AJ43">
        <f ca="1">IF(T_EMPLOYEES[[#This Row],[EMPLOYEE NUMBER]]="","",MATCH(T_EMPLOYEES[[#This Row],[JOB TYPE]],L_JOBTYPE,0))</f>
        <v>2</v>
      </c>
      <c r="AK43">
        <f ca="1">IF(T_EMPLOYEES[[#This Row],[EMPLOYEE NUMBER]]="","",MATCH(T_EMPLOYEES[[#This Row],[JOB CATEGORY]],L_JOBCATEGORY,0))</f>
        <v>5</v>
      </c>
      <c r="AL43">
        <f ca="1">IF(T_EMPLOYEES[[#This Row],[EMPLOYEE NUMBER]]="","",MATCH(T_EMPLOYEES[[#This Row],[JOB LEVEL]],L_JOBLEVEL,0))</f>
        <v>5</v>
      </c>
      <c r="AM43">
        <f ca="1">IF(T_EMPLOYEES[[#This Row],[EMPLOYEE NUMBER]]="","",MATCH(T_EMPLOYEES[[#This Row],[JOB TITLE]],L_JOBTITLE,0))</f>
        <v>5</v>
      </c>
      <c r="AN43">
        <f ca="1">IF(T_EMPLOYEES[[#This Row],[EMPLOYEE NUMBER]]="","",MATCH(T_EMPLOYEES[[#This Row],[MANAGER]],L_EMPLABELS,0))</f>
        <v>3</v>
      </c>
      <c r="AO43">
        <f ca="1">IF(T_EMPLOYEES[[#This Row],[EMPLOYEE NUMBER]]="","",IF(T_EMPLOYEES[[#This Row],[ERROR]]="",0,1))</f>
        <v>0</v>
      </c>
      <c r="AP4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" spans="1:42">
      <c r="A44" t="s">
        <v>341</v>
      </c>
      <c r="B44" t="s">
        <v>342</v>
      </c>
      <c r="C44">
        <v>1033097</v>
      </c>
      <c r="D44" t="s">
        <v>343</v>
      </c>
      <c r="E44" s="26">
        <v>29143</v>
      </c>
      <c r="F44" s="26">
        <v>45131</v>
      </c>
      <c r="H44" t="s">
        <v>27</v>
      </c>
      <c r="I44" t="s">
        <v>54</v>
      </c>
      <c r="J44" t="s">
        <v>64</v>
      </c>
      <c r="K44" t="s">
        <v>30</v>
      </c>
      <c r="L44" s="27" t="s">
        <v>110</v>
      </c>
      <c r="M44" t="s">
        <v>46</v>
      </c>
      <c r="N44" t="s">
        <v>89</v>
      </c>
      <c r="O44" t="s">
        <v>60</v>
      </c>
      <c r="P44" t="s">
        <v>89</v>
      </c>
      <c r="Q44" t="s">
        <v>344</v>
      </c>
      <c r="R44" s="27">
        <v>3</v>
      </c>
      <c r="S44" s="1">
        <v>320000</v>
      </c>
      <c r="T44" s="1">
        <f ca="1">ROUND(T_EMPLOYEES[[#This Row],[EMP_CTC1]]/12, 0)</f>
        <v>26667</v>
      </c>
      <c r="U44" s="1">
        <v>72000</v>
      </c>
      <c r="V44" s="1" t="s">
        <v>207</v>
      </c>
      <c r="W44" s="1" t="s">
        <v>207</v>
      </c>
      <c r="X4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Kalyan Krishna Kora (1033097)</v>
      </c>
      <c r="Y44">
        <v>92000</v>
      </c>
      <c r="Z44" s="29">
        <f t="shared" ca="1" si="1"/>
        <v>77.5</v>
      </c>
      <c r="AA44">
        <f ca="1">IF(T_EMPLOYEES[[#This Row],[EMPLOYEE NUMBER]]="","",ROW(T_EMPLOYEES[[#This Row],[EMPLOYEE LABEL]])-ROW(T_EMPLOYEES[[#Headers],[EMPLOYEE LABEL]]))</f>
        <v>41</v>
      </c>
      <c r="AB44">
        <f ca="1">IF(T_EMPLOYEES[[#This Row],[EMPLOYEE NUMBER]]="","",IF(COUNTIF(T_EMPLOYEES[EMPLOYEE NUMBER],T_EMPLOYEES[[#This Row],[EMPLOYEE NUMBER]])&gt;1,1,0))</f>
        <v>0</v>
      </c>
      <c r="AC44">
        <f ca="1">IF(T_EMPLOYEES[[#This Row],[EMPLOYEE NUMBER]]="","",IF(AND(T_EMPLOYEES[[#This Row],[DATE OF BIRTH]]&gt;0,T_EMPLOYEES[[#This Row],[DATE OF BIRTH]]&lt;TODAY()),0,1))</f>
        <v>0</v>
      </c>
      <c r="AD44">
        <f ca="1">IF(T_EMPLOYEES[[#This Row],[EMPLOYEE NUMBER]]="","",IF(AND(T_EMPLOYEES[[#This Row],[START DATE]]&gt;0,T_EMPLOYEES[[#This Row],[START DATE]]&lt;TODAY()+60),0,1))</f>
        <v>0</v>
      </c>
      <c r="AE44">
        <f ca="1">IF(T_EMPLOYEES[[#This Row],[EMPLOYEE NUMBER]]="","",MATCH(T_EMPLOYEES[[#This Row],[GENDER]],L_GENDER,0))</f>
        <v>1</v>
      </c>
      <c r="AF44">
        <f ca="1">IF(T_EMPLOYEES[[#This Row],[EMPLOYEE NUMBER]]="","",MATCH(T_EMPLOYEES[[#This Row],[HIRE SOURCE]],L_HIRESOURCE,0))</f>
        <v>4</v>
      </c>
      <c r="AG44">
        <f ca="1">IF(T_EMPLOYEES[[#This Row],[EMPLOYEE NUMBER]]="","",MATCH(T_EMPLOYEES[[#This Row],[ETHNICITY]],L_ETHNICITY,0))</f>
        <v>3</v>
      </c>
      <c r="AH44">
        <f ca="1">IF(T_EMPLOYEES[[#This Row],[EMPLOYEE NUMBER]]="","",MATCH(T_EMPLOYEES[[#This Row],[LOCATION]],L_LOCATION,0))</f>
        <v>1</v>
      </c>
      <c r="AI44">
        <f ca="1">IF(T_EMPLOYEES[[#This Row],[EMPLOYEE NUMBER]]="","",MATCH(T_EMPLOYEES[[#This Row],[DEPARTMENT]],L_DEPARTMENT,0))</f>
        <v>10</v>
      </c>
      <c r="AJ44">
        <f ca="1">IF(T_EMPLOYEES[[#This Row],[EMPLOYEE NUMBER]]="","",MATCH(T_EMPLOYEES[[#This Row],[JOB TYPE]],L_JOBTYPE,0))</f>
        <v>2</v>
      </c>
      <c r="AK44">
        <f ca="1">IF(T_EMPLOYEES[[#This Row],[EMPLOYEE NUMBER]]="","",MATCH(T_EMPLOYEES[[#This Row],[JOB CATEGORY]],L_JOBCATEGORY,0))</f>
        <v>6</v>
      </c>
      <c r="AL44">
        <f ca="1">IF(T_EMPLOYEES[[#This Row],[EMPLOYEE NUMBER]]="","",MATCH(T_EMPLOYEES[[#This Row],[JOB LEVEL]],L_JOBLEVEL,0))</f>
        <v>3</v>
      </c>
      <c r="AM44">
        <f ca="1">IF(T_EMPLOYEES[[#This Row],[EMPLOYEE NUMBER]]="","",MATCH(T_EMPLOYEES[[#This Row],[JOB TITLE]],L_JOBTITLE,0))</f>
        <v>6</v>
      </c>
      <c r="AN44">
        <f ca="1">IF(T_EMPLOYEES[[#This Row],[EMPLOYEE NUMBER]]="","",MATCH(T_EMPLOYEES[[#This Row],[MANAGER]],L_EMPLABELS,0))</f>
        <v>12</v>
      </c>
      <c r="AO44">
        <f ca="1">IF(T_EMPLOYEES[[#This Row],[EMPLOYEE NUMBER]]="","",IF(T_EMPLOYEES[[#This Row],[ERROR]]="",0,1))</f>
        <v>0</v>
      </c>
      <c r="AP4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" spans="1:42">
      <c r="A45" t="s">
        <v>345</v>
      </c>
      <c r="B45" t="s">
        <v>346</v>
      </c>
      <c r="C45">
        <v>1020723</v>
      </c>
      <c r="D45" t="s">
        <v>347</v>
      </c>
      <c r="E45" s="26">
        <v>29218</v>
      </c>
      <c r="F45" s="26">
        <v>43304</v>
      </c>
      <c r="G45" s="26">
        <v>44177</v>
      </c>
      <c r="H45" t="s">
        <v>27</v>
      </c>
      <c r="I45" t="s">
        <v>54</v>
      </c>
      <c r="J45" t="s">
        <v>64</v>
      </c>
      <c r="K45" t="s">
        <v>30</v>
      </c>
      <c r="L45" s="27" t="s">
        <v>45</v>
      </c>
      <c r="M45" t="s">
        <v>46</v>
      </c>
      <c r="N45" t="s">
        <v>81</v>
      </c>
      <c r="O45" t="s">
        <v>82</v>
      </c>
      <c r="P45" t="s">
        <v>81</v>
      </c>
      <c r="Q45" t="s">
        <v>315</v>
      </c>
      <c r="R45">
        <v>7</v>
      </c>
      <c r="S45" s="1">
        <v>320000</v>
      </c>
      <c r="T45" s="1">
        <f ca="1">ROUND(T_EMPLOYEES[[#This Row],[EMP_CTC1]]/12, 0)</f>
        <v>26667</v>
      </c>
      <c r="U45" s="1">
        <v>72000</v>
      </c>
      <c r="V45" s="1" t="s">
        <v>207</v>
      </c>
      <c r="W45" s="1" t="s">
        <v>207</v>
      </c>
      <c r="X4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Manjunath U M (1020723)</v>
      </c>
      <c r="Y45">
        <v>92000</v>
      </c>
      <c r="Z45" s="29">
        <f t="shared" ca="1" si="1"/>
        <v>77.5</v>
      </c>
      <c r="AA45">
        <f ca="1">IF(T_EMPLOYEES[[#This Row],[EMPLOYEE NUMBER]]="","",ROW(T_EMPLOYEES[[#This Row],[EMPLOYEE LABEL]])-ROW(T_EMPLOYEES[[#Headers],[EMPLOYEE LABEL]]))</f>
        <v>42</v>
      </c>
      <c r="AB45">
        <f ca="1">IF(T_EMPLOYEES[[#This Row],[EMPLOYEE NUMBER]]="","",IF(COUNTIF(T_EMPLOYEES[EMPLOYEE NUMBER],T_EMPLOYEES[[#This Row],[EMPLOYEE NUMBER]])&gt;1,1,0))</f>
        <v>0</v>
      </c>
      <c r="AC45">
        <f ca="1">IF(T_EMPLOYEES[[#This Row],[EMPLOYEE NUMBER]]="","",IF(AND(T_EMPLOYEES[[#This Row],[DATE OF BIRTH]]&gt;0,T_EMPLOYEES[[#This Row],[DATE OF BIRTH]]&lt;TODAY()),0,1))</f>
        <v>0</v>
      </c>
      <c r="AD45">
        <f ca="1">IF(T_EMPLOYEES[[#This Row],[EMPLOYEE NUMBER]]="","",IF(AND(T_EMPLOYEES[[#This Row],[START DATE]]&gt;0,T_EMPLOYEES[[#This Row],[START DATE]]&lt;TODAY()+60),0,1))</f>
        <v>0</v>
      </c>
      <c r="AE45">
        <f ca="1">IF(T_EMPLOYEES[[#This Row],[EMPLOYEE NUMBER]]="","",MATCH(T_EMPLOYEES[[#This Row],[GENDER]],L_GENDER,0))</f>
        <v>1</v>
      </c>
      <c r="AF45">
        <f ca="1">IF(T_EMPLOYEES[[#This Row],[EMPLOYEE NUMBER]]="","",MATCH(T_EMPLOYEES[[#This Row],[HIRE SOURCE]],L_HIRESOURCE,0))</f>
        <v>4</v>
      </c>
      <c r="AG45">
        <f ca="1">IF(T_EMPLOYEES[[#This Row],[EMPLOYEE NUMBER]]="","",MATCH(T_EMPLOYEES[[#This Row],[ETHNICITY]],L_ETHNICITY,0))</f>
        <v>3</v>
      </c>
      <c r="AH45">
        <f ca="1">IF(T_EMPLOYEES[[#This Row],[EMPLOYEE NUMBER]]="","",MATCH(T_EMPLOYEES[[#This Row],[LOCATION]],L_LOCATION,0))</f>
        <v>1</v>
      </c>
      <c r="AI45">
        <f ca="1">IF(T_EMPLOYEES[[#This Row],[EMPLOYEE NUMBER]]="","",MATCH(T_EMPLOYEES[[#This Row],[DEPARTMENT]],L_DEPARTMENT,0))</f>
        <v>2</v>
      </c>
      <c r="AJ45">
        <f ca="1">IF(T_EMPLOYEES[[#This Row],[EMPLOYEE NUMBER]]="","",MATCH(T_EMPLOYEES[[#This Row],[JOB TYPE]],L_JOBTYPE,0))</f>
        <v>2</v>
      </c>
      <c r="AK45">
        <f ca="1">IF(T_EMPLOYEES[[#This Row],[EMPLOYEE NUMBER]]="","",MATCH(T_EMPLOYEES[[#This Row],[JOB CATEGORY]],L_JOBCATEGORY,0))</f>
        <v>5</v>
      </c>
      <c r="AL45">
        <f ca="1">IF(T_EMPLOYEES[[#This Row],[EMPLOYEE NUMBER]]="","",MATCH(T_EMPLOYEES[[#This Row],[JOB LEVEL]],L_JOBLEVEL,0))</f>
        <v>5</v>
      </c>
      <c r="AM45">
        <f ca="1">IF(T_EMPLOYEES[[#This Row],[EMPLOYEE NUMBER]]="","",MATCH(T_EMPLOYEES[[#This Row],[JOB TITLE]],L_JOBTITLE,0))</f>
        <v>5</v>
      </c>
      <c r="AN45">
        <f ca="1">IF(T_EMPLOYEES[[#This Row],[EMPLOYEE NUMBER]]="","",MATCH(T_EMPLOYEES[[#This Row],[MANAGER]],L_EMPLABELS,0))</f>
        <v>179</v>
      </c>
      <c r="AO45">
        <f ca="1">IF(T_EMPLOYEES[[#This Row],[EMPLOYEE NUMBER]]="","",IF(T_EMPLOYEES[[#This Row],[ERROR]]="",0,1))</f>
        <v>0</v>
      </c>
      <c r="AP4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" spans="1:42">
      <c r="A46" t="s">
        <v>348</v>
      </c>
      <c r="B46" t="s">
        <v>293</v>
      </c>
      <c r="C46">
        <v>1027551</v>
      </c>
      <c r="D46" t="s">
        <v>349</v>
      </c>
      <c r="E46" s="26">
        <v>29281</v>
      </c>
      <c r="F46" s="26">
        <v>44536</v>
      </c>
      <c r="H46" t="s">
        <v>27</v>
      </c>
      <c r="I46" t="s">
        <v>54</v>
      </c>
      <c r="J46" t="s">
        <v>64</v>
      </c>
      <c r="K46" t="s">
        <v>43</v>
      </c>
      <c r="L46" s="27" t="s">
        <v>45</v>
      </c>
      <c r="M46" t="s">
        <v>46</v>
      </c>
      <c r="N46" t="s">
        <v>70</v>
      </c>
      <c r="O46" t="s">
        <v>96</v>
      </c>
      <c r="P46" t="s">
        <v>70</v>
      </c>
      <c r="Q46" t="s">
        <v>232</v>
      </c>
      <c r="R46" s="27"/>
      <c r="S46" s="1">
        <v>320000</v>
      </c>
      <c r="T46" s="1">
        <f ca="1">ROUND(T_EMPLOYEES[[#This Row],[EMP_CTC1]]/12, 0)</f>
        <v>26667</v>
      </c>
      <c r="U46" s="1">
        <v>72000</v>
      </c>
      <c r="V46" s="1" t="s">
        <v>207</v>
      </c>
      <c r="W46" s="1" t="s">
        <v>207</v>
      </c>
      <c r="X4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Siddharth Kumar (1027551)</v>
      </c>
      <c r="Y46">
        <v>92000</v>
      </c>
      <c r="Z46" s="29">
        <f t="shared" ca="1" si="1"/>
        <v>77.5</v>
      </c>
      <c r="AA46">
        <f ca="1">IF(T_EMPLOYEES[[#This Row],[EMPLOYEE NUMBER]]="","",ROW(T_EMPLOYEES[[#This Row],[EMPLOYEE LABEL]])-ROW(T_EMPLOYEES[[#Headers],[EMPLOYEE LABEL]]))</f>
        <v>43</v>
      </c>
      <c r="AB46">
        <f ca="1">IF(T_EMPLOYEES[[#This Row],[EMPLOYEE NUMBER]]="","",IF(COUNTIF(T_EMPLOYEES[EMPLOYEE NUMBER],T_EMPLOYEES[[#This Row],[EMPLOYEE NUMBER]])&gt;1,1,0))</f>
        <v>0</v>
      </c>
      <c r="AC46">
        <f ca="1">IF(T_EMPLOYEES[[#This Row],[EMPLOYEE NUMBER]]="","",IF(AND(T_EMPLOYEES[[#This Row],[DATE OF BIRTH]]&gt;0,T_EMPLOYEES[[#This Row],[DATE OF BIRTH]]&lt;TODAY()),0,1))</f>
        <v>0</v>
      </c>
      <c r="AD46">
        <f ca="1">IF(T_EMPLOYEES[[#This Row],[EMPLOYEE NUMBER]]="","",IF(AND(T_EMPLOYEES[[#This Row],[START DATE]]&gt;0,T_EMPLOYEES[[#This Row],[START DATE]]&lt;TODAY()+60),0,1))</f>
        <v>0</v>
      </c>
      <c r="AE46">
        <f ca="1">IF(T_EMPLOYEES[[#This Row],[EMPLOYEE NUMBER]]="","",MATCH(T_EMPLOYEES[[#This Row],[GENDER]],L_GENDER,0))</f>
        <v>1</v>
      </c>
      <c r="AF46">
        <f ca="1">IF(T_EMPLOYEES[[#This Row],[EMPLOYEE NUMBER]]="","",MATCH(T_EMPLOYEES[[#This Row],[HIRE SOURCE]],L_HIRESOURCE,0))</f>
        <v>4</v>
      </c>
      <c r="AG46">
        <f ca="1">IF(T_EMPLOYEES[[#This Row],[EMPLOYEE NUMBER]]="","",MATCH(T_EMPLOYEES[[#This Row],[ETHNICITY]],L_ETHNICITY,0))</f>
        <v>3</v>
      </c>
      <c r="AH46">
        <f ca="1">IF(T_EMPLOYEES[[#This Row],[EMPLOYEE NUMBER]]="","",MATCH(T_EMPLOYEES[[#This Row],[LOCATION]],L_LOCATION,0))</f>
        <v>2</v>
      </c>
      <c r="AI46">
        <f ca="1">IF(T_EMPLOYEES[[#This Row],[EMPLOYEE NUMBER]]="","",MATCH(T_EMPLOYEES[[#This Row],[DEPARTMENT]],L_DEPARTMENT,0))</f>
        <v>2</v>
      </c>
      <c r="AJ46">
        <f ca="1">IF(T_EMPLOYEES[[#This Row],[EMPLOYEE NUMBER]]="","",MATCH(T_EMPLOYEES[[#This Row],[JOB TYPE]],L_JOBTYPE,0))</f>
        <v>2</v>
      </c>
      <c r="AK46">
        <f ca="1">IF(T_EMPLOYEES[[#This Row],[EMPLOYEE NUMBER]]="","",MATCH(T_EMPLOYEES[[#This Row],[JOB CATEGORY]],L_JOBCATEGORY,0))</f>
        <v>4</v>
      </c>
      <c r="AL46">
        <f ca="1">IF(T_EMPLOYEES[[#This Row],[EMPLOYEE NUMBER]]="","",MATCH(T_EMPLOYEES[[#This Row],[JOB LEVEL]],L_JOBLEVEL,0))</f>
        <v>7</v>
      </c>
      <c r="AM46">
        <f ca="1">IF(T_EMPLOYEES[[#This Row],[EMPLOYEE NUMBER]]="","",MATCH(T_EMPLOYEES[[#This Row],[JOB TITLE]],L_JOBTITLE,0))</f>
        <v>4</v>
      </c>
      <c r="AN46">
        <f ca="1">IF(T_EMPLOYEES[[#This Row],[EMPLOYEE NUMBER]]="","",MATCH(T_EMPLOYEES[[#This Row],[MANAGER]],L_EMPLABELS,0))</f>
        <v>19</v>
      </c>
      <c r="AO46">
        <f ca="1">IF(T_EMPLOYEES[[#This Row],[EMPLOYEE NUMBER]]="","",IF(T_EMPLOYEES[[#This Row],[ERROR]]="",0,1))</f>
        <v>0</v>
      </c>
      <c r="AP4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" spans="1:42">
      <c r="A47" t="s">
        <v>350</v>
      </c>
      <c r="B47" t="s">
        <v>351</v>
      </c>
      <c r="C47">
        <v>1033925</v>
      </c>
      <c r="D47" t="s">
        <v>352</v>
      </c>
      <c r="E47" s="26">
        <v>29335</v>
      </c>
      <c r="F47" s="26">
        <v>45247</v>
      </c>
      <c r="H47" t="s">
        <v>27</v>
      </c>
      <c r="I47" t="s">
        <v>54</v>
      </c>
      <c r="J47" t="s">
        <v>64</v>
      </c>
      <c r="K47" t="s">
        <v>43</v>
      </c>
      <c r="L47" s="27" t="s">
        <v>118</v>
      </c>
      <c r="M47" t="s">
        <v>46</v>
      </c>
      <c r="N47" t="s">
        <v>111</v>
      </c>
      <c r="O47" t="s">
        <v>71</v>
      </c>
      <c r="P47" t="s">
        <v>111</v>
      </c>
      <c r="Q47" t="s">
        <v>353</v>
      </c>
      <c r="R47">
        <v>5</v>
      </c>
      <c r="S47" s="1">
        <v>320000</v>
      </c>
      <c r="T47" s="1">
        <f ca="1">ROUND(T_EMPLOYEES[[#This Row],[EMP_CTC1]]/12, 0)</f>
        <v>26667</v>
      </c>
      <c r="U47" s="1">
        <v>72000</v>
      </c>
      <c r="V47" s="1" t="s">
        <v>207</v>
      </c>
      <c r="W47" s="1" t="s">
        <v>207</v>
      </c>
      <c r="X4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Jithender  M (1033925)</v>
      </c>
      <c r="Y47">
        <v>92000</v>
      </c>
      <c r="Z47" s="29">
        <f t="shared" ca="1" si="1"/>
        <v>77.5</v>
      </c>
      <c r="AA47">
        <f ca="1">IF(T_EMPLOYEES[[#This Row],[EMPLOYEE NUMBER]]="","",ROW(T_EMPLOYEES[[#This Row],[EMPLOYEE LABEL]])-ROW(T_EMPLOYEES[[#Headers],[EMPLOYEE LABEL]]))</f>
        <v>44</v>
      </c>
      <c r="AB47">
        <f ca="1">IF(T_EMPLOYEES[[#This Row],[EMPLOYEE NUMBER]]="","",IF(COUNTIF(T_EMPLOYEES[EMPLOYEE NUMBER],T_EMPLOYEES[[#This Row],[EMPLOYEE NUMBER]])&gt;1,1,0))</f>
        <v>0</v>
      </c>
      <c r="AC47">
        <f ca="1">IF(T_EMPLOYEES[[#This Row],[EMPLOYEE NUMBER]]="","",IF(AND(T_EMPLOYEES[[#This Row],[DATE OF BIRTH]]&gt;0,T_EMPLOYEES[[#This Row],[DATE OF BIRTH]]&lt;TODAY()),0,1))</f>
        <v>0</v>
      </c>
      <c r="AD47">
        <f ca="1">IF(T_EMPLOYEES[[#This Row],[EMPLOYEE NUMBER]]="","",IF(AND(T_EMPLOYEES[[#This Row],[START DATE]]&gt;0,T_EMPLOYEES[[#This Row],[START DATE]]&lt;TODAY()+60),0,1))</f>
        <v>0</v>
      </c>
      <c r="AE47">
        <f ca="1">IF(T_EMPLOYEES[[#This Row],[EMPLOYEE NUMBER]]="","",MATCH(T_EMPLOYEES[[#This Row],[GENDER]],L_GENDER,0))</f>
        <v>1</v>
      </c>
      <c r="AF47">
        <f ca="1">IF(T_EMPLOYEES[[#This Row],[EMPLOYEE NUMBER]]="","",MATCH(T_EMPLOYEES[[#This Row],[HIRE SOURCE]],L_HIRESOURCE,0))</f>
        <v>4</v>
      </c>
      <c r="AG47">
        <f ca="1">IF(T_EMPLOYEES[[#This Row],[EMPLOYEE NUMBER]]="","",MATCH(T_EMPLOYEES[[#This Row],[ETHNICITY]],L_ETHNICITY,0))</f>
        <v>3</v>
      </c>
      <c r="AH47">
        <f ca="1">IF(T_EMPLOYEES[[#This Row],[EMPLOYEE NUMBER]]="","",MATCH(T_EMPLOYEES[[#This Row],[LOCATION]],L_LOCATION,0))</f>
        <v>2</v>
      </c>
      <c r="AI47">
        <f ca="1">IF(T_EMPLOYEES[[#This Row],[EMPLOYEE NUMBER]]="","",MATCH(T_EMPLOYEES[[#This Row],[DEPARTMENT]],L_DEPARTMENT,0))</f>
        <v>12</v>
      </c>
      <c r="AJ47">
        <f ca="1">IF(T_EMPLOYEES[[#This Row],[EMPLOYEE NUMBER]]="","",MATCH(T_EMPLOYEES[[#This Row],[JOB TYPE]],L_JOBTYPE,0))</f>
        <v>2</v>
      </c>
      <c r="AK47">
        <f ca="1">IF(T_EMPLOYEES[[#This Row],[EMPLOYEE NUMBER]]="","",MATCH(T_EMPLOYEES[[#This Row],[JOB CATEGORY]],L_JOBCATEGORY,0))</f>
        <v>10</v>
      </c>
      <c r="AL47">
        <f ca="1">IF(T_EMPLOYEES[[#This Row],[EMPLOYEE NUMBER]]="","",MATCH(T_EMPLOYEES[[#This Row],[JOB LEVEL]],L_JOBLEVEL,0))</f>
        <v>4</v>
      </c>
      <c r="AM47">
        <f ca="1">IF(T_EMPLOYEES[[#This Row],[EMPLOYEE NUMBER]]="","",MATCH(T_EMPLOYEES[[#This Row],[JOB TITLE]],L_JOBTITLE,0))</f>
        <v>10</v>
      </c>
      <c r="AN47">
        <f ca="1">IF(T_EMPLOYEES[[#This Row],[EMPLOYEE NUMBER]]="","",MATCH(T_EMPLOYEES[[#This Row],[MANAGER]],L_EMPLABELS,0))</f>
        <v>137</v>
      </c>
      <c r="AO47">
        <f ca="1">IF(T_EMPLOYEES[[#This Row],[EMPLOYEE NUMBER]]="","",IF(T_EMPLOYEES[[#This Row],[ERROR]]="",0,1))</f>
        <v>0</v>
      </c>
      <c r="AP4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" spans="1:42">
      <c r="A48" t="s">
        <v>354</v>
      </c>
      <c r="B48" t="s">
        <v>355</v>
      </c>
      <c r="C48">
        <v>1026354</v>
      </c>
      <c r="D48" t="s">
        <v>356</v>
      </c>
      <c r="E48" s="26">
        <v>29347</v>
      </c>
      <c r="F48" s="26">
        <v>44445</v>
      </c>
      <c r="H48" t="s">
        <v>27</v>
      </c>
      <c r="I48" t="s">
        <v>54</v>
      </c>
      <c r="J48" t="s">
        <v>64</v>
      </c>
      <c r="K48" t="s">
        <v>43</v>
      </c>
      <c r="L48" s="27" t="s">
        <v>45</v>
      </c>
      <c r="M48" t="s">
        <v>46</v>
      </c>
      <c r="N48" t="s">
        <v>111</v>
      </c>
      <c r="O48" t="s">
        <v>71</v>
      </c>
      <c r="P48" t="s">
        <v>111</v>
      </c>
      <c r="Q48" t="s">
        <v>218</v>
      </c>
      <c r="R48" s="27">
        <v>5</v>
      </c>
      <c r="S48" s="1">
        <v>320000</v>
      </c>
      <c r="T48" s="1">
        <f ca="1">ROUND(T_EMPLOYEES[[#This Row],[EMP_CTC1]]/12, 0)</f>
        <v>26667</v>
      </c>
      <c r="U48" s="1">
        <v>72000</v>
      </c>
      <c r="V48" s="1" t="s">
        <v>207</v>
      </c>
      <c r="W48" s="1" t="s">
        <v>207</v>
      </c>
      <c r="X4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Sathish Kappaganti (1026354)</v>
      </c>
      <c r="Y48">
        <v>92000</v>
      </c>
      <c r="Z48" s="29">
        <f t="shared" ca="1" si="1"/>
        <v>77.5</v>
      </c>
      <c r="AA48">
        <f ca="1">IF(T_EMPLOYEES[[#This Row],[EMPLOYEE NUMBER]]="","",ROW(T_EMPLOYEES[[#This Row],[EMPLOYEE LABEL]])-ROW(T_EMPLOYEES[[#Headers],[EMPLOYEE LABEL]]))</f>
        <v>45</v>
      </c>
      <c r="AB48">
        <f ca="1">IF(T_EMPLOYEES[[#This Row],[EMPLOYEE NUMBER]]="","",IF(COUNTIF(T_EMPLOYEES[EMPLOYEE NUMBER],T_EMPLOYEES[[#This Row],[EMPLOYEE NUMBER]])&gt;1,1,0))</f>
        <v>0</v>
      </c>
      <c r="AC48">
        <f ca="1">IF(T_EMPLOYEES[[#This Row],[EMPLOYEE NUMBER]]="","",IF(AND(T_EMPLOYEES[[#This Row],[DATE OF BIRTH]]&gt;0,T_EMPLOYEES[[#This Row],[DATE OF BIRTH]]&lt;TODAY()),0,1))</f>
        <v>0</v>
      </c>
      <c r="AD48">
        <f ca="1">IF(T_EMPLOYEES[[#This Row],[EMPLOYEE NUMBER]]="","",IF(AND(T_EMPLOYEES[[#This Row],[START DATE]]&gt;0,T_EMPLOYEES[[#This Row],[START DATE]]&lt;TODAY()+60),0,1))</f>
        <v>0</v>
      </c>
      <c r="AE48">
        <f ca="1">IF(T_EMPLOYEES[[#This Row],[EMPLOYEE NUMBER]]="","",MATCH(T_EMPLOYEES[[#This Row],[GENDER]],L_GENDER,0))</f>
        <v>1</v>
      </c>
      <c r="AF48">
        <f ca="1">IF(T_EMPLOYEES[[#This Row],[EMPLOYEE NUMBER]]="","",MATCH(T_EMPLOYEES[[#This Row],[HIRE SOURCE]],L_HIRESOURCE,0))</f>
        <v>4</v>
      </c>
      <c r="AG48">
        <f ca="1">IF(T_EMPLOYEES[[#This Row],[EMPLOYEE NUMBER]]="","",MATCH(T_EMPLOYEES[[#This Row],[ETHNICITY]],L_ETHNICITY,0))</f>
        <v>3</v>
      </c>
      <c r="AH48">
        <f ca="1">IF(T_EMPLOYEES[[#This Row],[EMPLOYEE NUMBER]]="","",MATCH(T_EMPLOYEES[[#This Row],[LOCATION]],L_LOCATION,0))</f>
        <v>2</v>
      </c>
      <c r="AI48">
        <f ca="1">IF(T_EMPLOYEES[[#This Row],[EMPLOYEE NUMBER]]="","",MATCH(T_EMPLOYEES[[#This Row],[DEPARTMENT]],L_DEPARTMENT,0))</f>
        <v>2</v>
      </c>
      <c r="AJ48">
        <f ca="1">IF(T_EMPLOYEES[[#This Row],[EMPLOYEE NUMBER]]="","",MATCH(T_EMPLOYEES[[#This Row],[JOB TYPE]],L_JOBTYPE,0))</f>
        <v>2</v>
      </c>
      <c r="AK48">
        <f ca="1">IF(T_EMPLOYEES[[#This Row],[EMPLOYEE NUMBER]]="","",MATCH(T_EMPLOYEES[[#This Row],[JOB CATEGORY]],L_JOBCATEGORY,0))</f>
        <v>10</v>
      </c>
      <c r="AL48">
        <f ca="1">IF(T_EMPLOYEES[[#This Row],[EMPLOYEE NUMBER]]="","",MATCH(T_EMPLOYEES[[#This Row],[JOB LEVEL]],L_JOBLEVEL,0))</f>
        <v>4</v>
      </c>
      <c r="AM48">
        <f ca="1">IF(T_EMPLOYEES[[#This Row],[EMPLOYEE NUMBER]]="","",MATCH(T_EMPLOYEES[[#This Row],[JOB TITLE]],L_JOBTITLE,0))</f>
        <v>10</v>
      </c>
      <c r="AN48">
        <f ca="1">IF(T_EMPLOYEES[[#This Row],[EMPLOYEE NUMBER]]="","",MATCH(T_EMPLOYEES[[#This Row],[MANAGER]],L_EMPLABELS,0))</f>
        <v>43</v>
      </c>
      <c r="AO48">
        <f ca="1">IF(T_EMPLOYEES[[#This Row],[EMPLOYEE NUMBER]]="","",IF(T_EMPLOYEES[[#This Row],[ERROR]]="",0,1))</f>
        <v>0</v>
      </c>
      <c r="AP4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" spans="1:42">
      <c r="A49" t="s">
        <v>357</v>
      </c>
      <c r="B49" t="s">
        <v>358</v>
      </c>
      <c r="C49">
        <v>1029023</v>
      </c>
      <c r="D49" t="s">
        <v>359</v>
      </c>
      <c r="E49" s="26">
        <v>29364</v>
      </c>
      <c r="F49" s="26">
        <v>44692</v>
      </c>
      <c r="H49" t="s">
        <v>27</v>
      </c>
      <c r="I49" t="s">
        <v>54</v>
      </c>
      <c r="J49" t="s">
        <v>64</v>
      </c>
      <c r="K49" t="s">
        <v>43</v>
      </c>
      <c r="L49" s="27" t="s">
        <v>45</v>
      </c>
      <c r="M49" t="s">
        <v>46</v>
      </c>
      <c r="N49" t="s">
        <v>134</v>
      </c>
      <c r="O49" t="s">
        <v>96</v>
      </c>
      <c r="P49" t="s">
        <v>134</v>
      </c>
      <c r="Q49" t="s">
        <v>215</v>
      </c>
      <c r="S49" s="1">
        <v>320000</v>
      </c>
      <c r="T49" s="1">
        <f ca="1">ROUND(T_EMPLOYEES[[#This Row],[EMP_CTC1]]/12, 0)</f>
        <v>26667</v>
      </c>
      <c r="U49" s="1">
        <v>72000</v>
      </c>
      <c r="V49" s="1" t="s">
        <v>207</v>
      </c>
      <c r="W49" s="1" t="s">
        <v>207</v>
      </c>
      <c r="X4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Mahesh M Mogali (1029023)</v>
      </c>
      <c r="Y49">
        <v>92000</v>
      </c>
      <c r="Z49" s="29">
        <f t="shared" ca="1" si="1"/>
        <v>77.5</v>
      </c>
      <c r="AA49">
        <f ca="1">IF(T_EMPLOYEES[[#This Row],[EMPLOYEE NUMBER]]="","",ROW(T_EMPLOYEES[[#This Row],[EMPLOYEE LABEL]])-ROW(T_EMPLOYEES[[#Headers],[EMPLOYEE LABEL]]))</f>
        <v>46</v>
      </c>
      <c r="AB49">
        <f ca="1">IF(T_EMPLOYEES[[#This Row],[EMPLOYEE NUMBER]]="","",IF(COUNTIF(T_EMPLOYEES[EMPLOYEE NUMBER],T_EMPLOYEES[[#This Row],[EMPLOYEE NUMBER]])&gt;1,1,0))</f>
        <v>0</v>
      </c>
      <c r="AC49">
        <f ca="1">IF(T_EMPLOYEES[[#This Row],[EMPLOYEE NUMBER]]="","",IF(AND(T_EMPLOYEES[[#This Row],[DATE OF BIRTH]]&gt;0,T_EMPLOYEES[[#This Row],[DATE OF BIRTH]]&lt;TODAY()),0,1))</f>
        <v>0</v>
      </c>
      <c r="AD49">
        <f ca="1">IF(T_EMPLOYEES[[#This Row],[EMPLOYEE NUMBER]]="","",IF(AND(T_EMPLOYEES[[#This Row],[START DATE]]&gt;0,T_EMPLOYEES[[#This Row],[START DATE]]&lt;TODAY()+60),0,1))</f>
        <v>0</v>
      </c>
      <c r="AE49">
        <f ca="1">IF(T_EMPLOYEES[[#This Row],[EMPLOYEE NUMBER]]="","",MATCH(T_EMPLOYEES[[#This Row],[GENDER]],L_GENDER,0))</f>
        <v>1</v>
      </c>
      <c r="AF49">
        <f ca="1">IF(T_EMPLOYEES[[#This Row],[EMPLOYEE NUMBER]]="","",MATCH(T_EMPLOYEES[[#This Row],[HIRE SOURCE]],L_HIRESOURCE,0))</f>
        <v>4</v>
      </c>
      <c r="AG49">
        <f ca="1">IF(T_EMPLOYEES[[#This Row],[EMPLOYEE NUMBER]]="","",MATCH(T_EMPLOYEES[[#This Row],[ETHNICITY]],L_ETHNICITY,0))</f>
        <v>3</v>
      </c>
      <c r="AH49">
        <f ca="1">IF(T_EMPLOYEES[[#This Row],[EMPLOYEE NUMBER]]="","",MATCH(T_EMPLOYEES[[#This Row],[LOCATION]],L_LOCATION,0))</f>
        <v>2</v>
      </c>
      <c r="AI49">
        <f ca="1">IF(T_EMPLOYEES[[#This Row],[EMPLOYEE NUMBER]]="","",MATCH(T_EMPLOYEES[[#This Row],[DEPARTMENT]],L_DEPARTMENT,0))</f>
        <v>2</v>
      </c>
      <c r="AJ49">
        <f ca="1">IF(T_EMPLOYEES[[#This Row],[EMPLOYEE NUMBER]]="","",MATCH(T_EMPLOYEES[[#This Row],[JOB TYPE]],L_JOBTYPE,0))</f>
        <v>2</v>
      </c>
      <c r="AK49">
        <f ca="1">IF(T_EMPLOYEES[[#This Row],[EMPLOYEE NUMBER]]="","",MATCH(T_EMPLOYEES[[#This Row],[JOB CATEGORY]],L_JOBCATEGORY,0))</f>
        <v>17</v>
      </c>
      <c r="AL49">
        <f ca="1">IF(T_EMPLOYEES[[#This Row],[EMPLOYEE NUMBER]]="","",MATCH(T_EMPLOYEES[[#This Row],[JOB LEVEL]],L_JOBLEVEL,0))</f>
        <v>7</v>
      </c>
      <c r="AM49">
        <f ca="1">IF(T_EMPLOYEES[[#This Row],[EMPLOYEE NUMBER]]="","",MATCH(T_EMPLOYEES[[#This Row],[JOB TITLE]],L_JOBTITLE,0))</f>
        <v>17</v>
      </c>
      <c r="AN49">
        <f ca="1">IF(T_EMPLOYEES[[#This Row],[EMPLOYEE NUMBER]]="","",MATCH(T_EMPLOYEES[[#This Row],[MANAGER]],L_EMPLABELS,0))</f>
        <v>13</v>
      </c>
      <c r="AO49">
        <f ca="1">IF(T_EMPLOYEES[[#This Row],[EMPLOYEE NUMBER]]="","",IF(T_EMPLOYEES[[#This Row],[ERROR]]="",0,1))</f>
        <v>0</v>
      </c>
      <c r="AP4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" spans="1:42">
      <c r="A50" t="s">
        <v>360</v>
      </c>
      <c r="B50" t="s">
        <v>361</v>
      </c>
      <c r="C50">
        <v>1028583</v>
      </c>
      <c r="D50" t="s">
        <v>362</v>
      </c>
      <c r="E50" s="26">
        <v>29384</v>
      </c>
      <c r="F50" s="26">
        <v>44635</v>
      </c>
      <c r="H50" t="s">
        <v>27</v>
      </c>
      <c r="I50" t="s">
        <v>54</v>
      </c>
      <c r="J50" t="s">
        <v>64</v>
      </c>
      <c r="K50" t="s">
        <v>30</v>
      </c>
      <c r="L50" s="27" t="s">
        <v>45</v>
      </c>
      <c r="M50" t="s">
        <v>46</v>
      </c>
      <c r="N50" t="s">
        <v>111</v>
      </c>
      <c r="O50" t="s">
        <v>71</v>
      </c>
      <c r="P50" t="s">
        <v>111</v>
      </c>
      <c r="Q50" t="s">
        <v>284</v>
      </c>
      <c r="R50" s="27">
        <v>5</v>
      </c>
      <c r="S50" s="1">
        <v>320000</v>
      </c>
      <c r="T50" s="1">
        <f ca="1">ROUND(T_EMPLOYEES[[#This Row],[EMP_CTC1]]/12, 0)</f>
        <v>26667</v>
      </c>
      <c r="U50" s="1">
        <v>72000</v>
      </c>
      <c r="V50" s="1" t="s">
        <v>207</v>
      </c>
      <c r="W50" s="1" t="s">
        <v>207</v>
      </c>
      <c r="X5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Senthilkumar T (1028583)</v>
      </c>
      <c r="Y50">
        <v>92000</v>
      </c>
      <c r="Z50" s="29">
        <f t="shared" ca="1" si="1"/>
        <v>77.5</v>
      </c>
      <c r="AA50">
        <f ca="1">IF(T_EMPLOYEES[[#This Row],[EMPLOYEE NUMBER]]="","",ROW(T_EMPLOYEES[[#This Row],[EMPLOYEE LABEL]])-ROW(T_EMPLOYEES[[#Headers],[EMPLOYEE LABEL]]))</f>
        <v>47</v>
      </c>
      <c r="AB50">
        <f ca="1">IF(T_EMPLOYEES[[#This Row],[EMPLOYEE NUMBER]]="","",IF(COUNTIF(T_EMPLOYEES[EMPLOYEE NUMBER],T_EMPLOYEES[[#This Row],[EMPLOYEE NUMBER]])&gt;1,1,0))</f>
        <v>0</v>
      </c>
      <c r="AC50">
        <f ca="1">IF(T_EMPLOYEES[[#This Row],[EMPLOYEE NUMBER]]="","",IF(AND(T_EMPLOYEES[[#This Row],[DATE OF BIRTH]]&gt;0,T_EMPLOYEES[[#This Row],[DATE OF BIRTH]]&lt;TODAY()),0,1))</f>
        <v>0</v>
      </c>
      <c r="AD50">
        <f ca="1">IF(T_EMPLOYEES[[#This Row],[EMPLOYEE NUMBER]]="","",IF(AND(T_EMPLOYEES[[#This Row],[START DATE]]&gt;0,T_EMPLOYEES[[#This Row],[START DATE]]&lt;TODAY()+60),0,1))</f>
        <v>0</v>
      </c>
      <c r="AE50">
        <f ca="1">IF(T_EMPLOYEES[[#This Row],[EMPLOYEE NUMBER]]="","",MATCH(T_EMPLOYEES[[#This Row],[GENDER]],L_GENDER,0))</f>
        <v>1</v>
      </c>
      <c r="AF50">
        <f ca="1">IF(T_EMPLOYEES[[#This Row],[EMPLOYEE NUMBER]]="","",MATCH(T_EMPLOYEES[[#This Row],[HIRE SOURCE]],L_HIRESOURCE,0))</f>
        <v>4</v>
      </c>
      <c r="AG50">
        <f ca="1">IF(T_EMPLOYEES[[#This Row],[EMPLOYEE NUMBER]]="","",MATCH(T_EMPLOYEES[[#This Row],[ETHNICITY]],L_ETHNICITY,0))</f>
        <v>3</v>
      </c>
      <c r="AH50">
        <f ca="1">IF(T_EMPLOYEES[[#This Row],[EMPLOYEE NUMBER]]="","",MATCH(T_EMPLOYEES[[#This Row],[LOCATION]],L_LOCATION,0))</f>
        <v>1</v>
      </c>
      <c r="AI50">
        <f ca="1">IF(T_EMPLOYEES[[#This Row],[EMPLOYEE NUMBER]]="","",MATCH(T_EMPLOYEES[[#This Row],[DEPARTMENT]],L_DEPARTMENT,0))</f>
        <v>2</v>
      </c>
      <c r="AJ50">
        <f ca="1">IF(T_EMPLOYEES[[#This Row],[EMPLOYEE NUMBER]]="","",MATCH(T_EMPLOYEES[[#This Row],[JOB TYPE]],L_JOBTYPE,0))</f>
        <v>2</v>
      </c>
      <c r="AK50">
        <f ca="1">IF(T_EMPLOYEES[[#This Row],[EMPLOYEE NUMBER]]="","",MATCH(T_EMPLOYEES[[#This Row],[JOB CATEGORY]],L_JOBCATEGORY,0))</f>
        <v>10</v>
      </c>
      <c r="AL50">
        <f ca="1">IF(T_EMPLOYEES[[#This Row],[EMPLOYEE NUMBER]]="","",MATCH(T_EMPLOYEES[[#This Row],[JOB LEVEL]],L_JOBLEVEL,0))</f>
        <v>4</v>
      </c>
      <c r="AM50">
        <f ca="1">IF(T_EMPLOYEES[[#This Row],[EMPLOYEE NUMBER]]="","",MATCH(T_EMPLOYEES[[#This Row],[JOB TITLE]],L_JOBTITLE,0))</f>
        <v>10</v>
      </c>
      <c r="AN50">
        <f ca="1">IF(T_EMPLOYEES[[#This Row],[EMPLOYEE NUMBER]]="","",MATCH(T_EMPLOYEES[[#This Row],[MANAGER]],L_EMPLABELS,0))</f>
        <v>96</v>
      </c>
      <c r="AO50">
        <f ca="1">IF(T_EMPLOYEES[[#This Row],[EMPLOYEE NUMBER]]="","",IF(T_EMPLOYEES[[#This Row],[ERROR]]="",0,1))</f>
        <v>0</v>
      </c>
      <c r="AP5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" spans="1:42">
      <c r="A51" t="s">
        <v>226</v>
      </c>
      <c r="B51" t="s">
        <v>363</v>
      </c>
      <c r="C51">
        <v>1026864</v>
      </c>
      <c r="D51" t="s">
        <v>364</v>
      </c>
      <c r="E51" s="26">
        <v>29424</v>
      </c>
      <c r="F51" s="26">
        <v>44482</v>
      </c>
      <c r="H51" t="s">
        <v>27</v>
      </c>
      <c r="I51" t="s">
        <v>54</v>
      </c>
      <c r="J51" t="s">
        <v>64</v>
      </c>
      <c r="K51" t="s">
        <v>30</v>
      </c>
      <c r="L51" s="27" t="s">
        <v>45</v>
      </c>
      <c r="M51" t="s">
        <v>46</v>
      </c>
      <c r="N51" t="s">
        <v>47</v>
      </c>
      <c r="O51" t="s">
        <v>90</v>
      </c>
      <c r="P51" t="s">
        <v>47</v>
      </c>
      <c r="Q51" t="s">
        <v>211</v>
      </c>
      <c r="R51">
        <v>7</v>
      </c>
      <c r="S51" s="1">
        <v>320000</v>
      </c>
      <c r="T51" s="1">
        <f ca="1">ROUND(T_EMPLOYEES[[#This Row],[EMP_CTC1]]/12, 0)</f>
        <v>26667</v>
      </c>
      <c r="U51" s="1">
        <v>72000</v>
      </c>
      <c r="V51" s="1" t="s">
        <v>207</v>
      </c>
      <c r="W51" s="1" t="s">
        <v>207</v>
      </c>
      <c r="X5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  Saikumar (1026864)</v>
      </c>
      <c r="Y51">
        <v>92000</v>
      </c>
      <c r="Z51" s="29">
        <f t="shared" ca="1" si="1"/>
        <v>77.5</v>
      </c>
      <c r="AA51">
        <f ca="1">IF(T_EMPLOYEES[[#This Row],[EMPLOYEE NUMBER]]="","",ROW(T_EMPLOYEES[[#This Row],[EMPLOYEE LABEL]])-ROW(T_EMPLOYEES[[#Headers],[EMPLOYEE LABEL]]))</f>
        <v>48</v>
      </c>
      <c r="AB51">
        <f ca="1">IF(T_EMPLOYEES[[#This Row],[EMPLOYEE NUMBER]]="","",IF(COUNTIF(T_EMPLOYEES[EMPLOYEE NUMBER],T_EMPLOYEES[[#This Row],[EMPLOYEE NUMBER]])&gt;1,1,0))</f>
        <v>0</v>
      </c>
      <c r="AC51">
        <f ca="1">IF(T_EMPLOYEES[[#This Row],[EMPLOYEE NUMBER]]="","",IF(AND(T_EMPLOYEES[[#This Row],[DATE OF BIRTH]]&gt;0,T_EMPLOYEES[[#This Row],[DATE OF BIRTH]]&lt;TODAY()),0,1))</f>
        <v>0</v>
      </c>
      <c r="AD51">
        <f ca="1">IF(T_EMPLOYEES[[#This Row],[EMPLOYEE NUMBER]]="","",IF(AND(T_EMPLOYEES[[#This Row],[START DATE]]&gt;0,T_EMPLOYEES[[#This Row],[START DATE]]&lt;TODAY()+60),0,1))</f>
        <v>0</v>
      </c>
      <c r="AE51">
        <f ca="1">IF(T_EMPLOYEES[[#This Row],[EMPLOYEE NUMBER]]="","",MATCH(T_EMPLOYEES[[#This Row],[GENDER]],L_GENDER,0))</f>
        <v>1</v>
      </c>
      <c r="AF51">
        <f ca="1">IF(T_EMPLOYEES[[#This Row],[EMPLOYEE NUMBER]]="","",MATCH(T_EMPLOYEES[[#This Row],[HIRE SOURCE]],L_HIRESOURCE,0))</f>
        <v>4</v>
      </c>
      <c r="AG51">
        <f ca="1">IF(T_EMPLOYEES[[#This Row],[EMPLOYEE NUMBER]]="","",MATCH(T_EMPLOYEES[[#This Row],[ETHNICITY]],L_ETHNICITY,0))</f>
        <v>3</v>
      </c>
      <c r="AH51">
        <f ca="1">IF(T_EMPLOYEES[[#This Row],[EMPLOYEE NUMBER]]="","",MATCH(T_EMPLOYEES[[#This Row],[LOCATION]],L_LOCATION,0))</f>
        <v>1</v>
      </c>
      <c r="AI51">
        <f ca="1">IF(T_EMPLOYEES[[#This Row],[EMPLOYEE NUMBER]]="","",MATCH(T_EMPLOYEES[[#This Row],[DEPARTMENT]],L_DEPARTMENT,0))</f>
        <v>2</v>
      </c>
      <c r="AJ51">
        <f ca="1">IF(T_EMPLOYEES[[#This Row],[EMPLOYEE NUMBER]]="","",MATCH(T_EMPLOYEES[[#This Row],[JOB TYPE]],L_JOBTYPE,0))</f>
        <v>2</v>
      </c>
      <c r="AK51">
        <f ca="1">IF(T_EMPLOYEES[[#This Row],[EMPLOYEE NUMBER]]="","",MATCH(T_EMPLOYEES[[#This Row],[JOB CATEGORY]],L_JOBCATEGORY,0))</f>
        <v>2</v>
      </c>
      <c r="AL51">
        <f ca="1">IF(T_EMPLOYEES[[#This Row],[EMPLOYEE NUMBER]]="","",MATCH(T_EMPLOYEES[[#This Row],[JOB LEVEL]],L_JOBLEVEL,0))</f>
        <v>6</v>
      </c>
      <c r="AM51">
        <f ca="1">IF(T_EMPLOYEES[[#This Row],[EMPLOYEE NUMBER]]="","",MATCH(T_EMPLOYEES[[#This Row],[JOB TITLE]],L_JOBTITLE,0))</f>
        <v>2</v>
      </c>
      <c r="AN51">
        <f ca="1">IF(T_EMPLOYEES[[#This Row],[EMPLOYEE NUMBER]]="","",MATCH(T_EMPLOYEES[[#This Row],[MANAGER]],L_EMPLABELS,0))</f>
        <v>49</v>
      </c>
      <c r="AO51">
        <f ca="1">IF(T_EMPLOYEES[[#This Row],[EMPLOYEE NUMBER]]="","",IF(T_EMPLOYEES[[#This Row],[ERROR]]="",0,1))</f>
        <v>0</v>
      </c>
      <c r="AP5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" spans="1:42">
      <c r="A52" t="s">
        <v>365</v>
      </c>
      <c r="B52" t="s">
        <v>226</v>
      </c>
      <c r="C52">
        <v>1019672</v>
      </c>
      <c r="D52" t="s">
        <v>366</v>
      </c>
      <c r="E52" s="26">
        <v>29428</v>
      </c>
      <c r="F52" s="26">
        <v>42940</v>
      </c>
      <c r="H52" t="s">
        <v>27</v>
      </c>
      <c r="I52" t="s">
        <v>54</v>
      </c>
      <c r="J52" t="s">
        <v>64</v>
      </c>
      <c r="K52" t="s">
        <v>43</v>
      </c>
      <c r="L52" s="27" t="s">
        <v>45</v>
      </c>
      <c r="M52" t="s">
        <v>46</v>
      </c>
      <c r="N52" t="s">
        <v>138</v>
      </c>
      <c r="O52" t="s">
        <v>106</v>
      </c>
      <c r="P52" t="s">
        <v>138</v>
      </c>
      <c r="Q52" t="s">
        <v>215</v>
      </c>
      <c r="R52" s="27">
        <v>10</v>
      </c>
      <c r="S52" s="1">
        <v>320000</v>
      </c>
      <c r="T52" s="1">
        <f ca="1">ROUND(T_EMPLOYEES[[#This Row],[EMP_CTC1]]/12, 0)</f>
        <v>26667</v>
      </c>
      <c r="U52" s="1">
        <v>72000</v>
      </c>
      <c r="V52" s="1" t="s">
        <v>207</v>
      </c>
      <c r="W52" s="1" t="s">
        <v>207</v>
      </c>
      <c r="X5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Nagarajan K (1019672)</v>
      </c>
      <c r="Y52">
        <v>92000</v>
      </c>
      <c r="Z52" s="29">
        <f t="shared" ca="1" si="1"/>
        <v>77.5</v>
      </c>
      <c r="AA52">
        <f ca="1">IF(T_EMPLOYEES[[#This Row],[EMPLOYEE NUMBER]]="","",ROW(T_EMPLOYEES[[#This Row],[EMPLOYEE LABEL]])-ROW(T_EMPLOYEES[[#Headers],[EMPLOYEE LABEL]]))</f>
        <v>49</v>
      </c>
      <c r="AB52">
        <f ca="1">IF(T_EMPLOYEES[[#This Row],[EMPLOYEE NUMBER]]="","",IF(COUNTIF(T_EMPLOYEES[EMPLOYEE NUMBER],T_EMPLOYEES[[#This Row],[EMPLOYEE NUMBER]])&gt;1,1,0))</f>
        <v>0</v>
      </c>
      <c r="AC52">
        <f ca="1">IF(T_EMPLOYEES[[#This Row],[EMPLOYEE NUMBER]]="","",IF(AND(T_EMPLOYEES[[#This Row],[DATE OF BIRTH]]&gt;0,T_EMPLOYEES[[#This Row],[DATE OF BIRTH]]&lt;TODAY()),0,1))</f>
        <v>0</v>
      </c>
      <c r="AD52">
        <f ca="1">IF(T_EMPLOYEES[[#This Row],[EMPLOYEE NUMBER]]="","",IF(AND(T_EMPLOYEES[[#This Row],[START DATE]]&gt;0,T_EMPLOYEES[[#This Row],[START DATE]]&lt;TODAY()+60),0,1))</f>
        <v>0</v>
      </c>
      <c r="AE52">
        <f ca="1">IF(T_EMPLOYEES[[#This Row],[EMPLOYEE NUMBER]]="","",MATCH(T_EMPLOYEES[[#This Row],[GENDER]],L_GENDER,0))</f>
        <v>1</v>
      </c>
      <c r="AF52">
        <f ca="1">IF(T_EMPLOYEES[[#This Row],[EMPLOYEE NUMBER]]="","",MATCH(T_EMPLOYEES[[#This Row],[HIRE SOURCE]],L_HIRESOURCE,0))</f>
        <v>4</v>
      </c>
      <c r="AG52">
        <f ca="1">IF(T_EMPLOYEES[[#This Row],[EMPLOYEE NUMBER]]="","",MATCH(T_EMPLOYEES[[#This Row],[ETHNICITY]],L_ETHNICITY,0))</f>
        <v>3</v>
      </c>
      <c r="AH52">
        <f ca="1">IF(T_EMPLOYEES[[#This Row],[EMPLOYEE NUMBER]]="","",MATCH(T_EMPLOYEES[[#This Row],[LOCATION]],L_LOCATION,0))</f>
        <v>2</v>
      </c>
      <c r="AI52">
        <f ca="1">IF(T_EMPLOYEES[[#This Row],[EMPLOYEE NUMBER]]="","",MATCH(T_EMPLOYEES[[#This Row],[DEPARTMENT]],L_DEPARTMENT,0))</f>
        <v>2</v>
      </c>
      <c r="AJ52">
        <f ca="1">IF(T_EMPLOYEES[[#This Row],[EMPLOYEE NUMBER]]="","",MATCH(T_EMPLOYEES[[#This Row],[JOB TYPE]],L_JOBTYPE,0))</f>
        <v>2</v>
      </c>
      <c r="AK52">
        <f ca="1">IF(T_EMPLOYEES[[#This Row],[EMPLOYEE NUMBER]]="","",MATCH(T_EMPLOYEES[[#This Row],[JOB CATEGORY]],L_JOBCATEGORY,0))</f>
        <v>19</v>
      </c>
      <c r="AL52">
        <f ca="1">IF(T_EMPLOYEES[[#This Row],[EMPLOYEE NUMBER]]="","",MATCH(T_EMPLOYEES[[#This Row],[JOB LEVEL]],L_JOBLEVEL,0))</f>
        <v>9</v>
      </c>
      <c r="AM52">
        <f ca="1">IF(T_EMPLOYEES[[#This Row],[EMPLOYEE NUMBER]]="","",MATCH(T_EMPLOYEES[[#This Row],[JOB TITLE]],L_JOBTITLE,0))</f>
        <v>19</v>
      </c>
      <c r="AN52">
        <f ca="1">IF(T_EMPLOYEES[[#This Row],[EMPLOYEE NUMBER]]="","",MATCH(T_EMPLOYEES[[#This Row],[MANAGER]],L_EMPLABELS,0))</f>
        <v>13</v>
      </c>
      <c r="AO52">
        <f ca="1">IF(T_EMPLOYEES[[#This Row],[EMPLOYEE NUMBER]]="","",IF(T_EMPLOYEES[[#This Row],[ERROR]]="",0,1))</f>
        <v>0</v>
      </c>
      <c r="AP5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" spans="1:42">
      <c r="A53" t="s">
        <v>367</v>
      </c>
      <c r="B53" t="s">
        <v>368</v>
      </c>
      <c r="C53">
        <v>1031825</v>
      </c>
      <c r="D53" t="s">
        <v>369</v>
      </c>
      <c r="E53" s="26">
        <v>29452</v>
      </c>
      <c r="F53" s="26">
        <v>44909</v>
      </c>
      <c r="H53" t="s">
        <v>27</v>
      </c>
      <c r="I53" t="s">
        <v>54</v>
      </c>
      <c r="J53" t="s">
        <v>64</v>
      </c>
      <c r="K53" t="s">
        <v>30</v>
      </c>
      <c r="L53" s="27" t="s">
        <v>45</v>
      </c>
      <c r="M53" t="s">
        <v>46</v>
      </c>
      <c r="N53" t="s">
        <v>140</v>
      </c>
      <c r="O53" t="s">
        <v>82</v>
      </c>
      <c r="P53" t="s">
        <v>140</v>
      </c>
      <c r="Q53" t="s">
        <v>236</v>
      </c>
      <c r="R53">
        <v>7</v>
      </c>
      <c r="S53" s="1">
        <v>320000</v>
      </c>
      <c r="T53" s="1">
        <f ca="1">ROUND(T_EMPLOYEES[[#This Row],[EMP_CTC1]]/12, 0)</f>
        <v>26667</v>
      </c>
      <c r="U53" s="1">
        <v>72000</v>
      </c>
      <c r="V53" s="1" t="s">
        <v>207</v>
      </c>
      <c r="W53" s="1" t="s">
        <v>207</v>
      </c>
      <c r="X5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Sunduru Arun  Jayant (1031825)</v>
      </c>
      <c r="Y53">
        <v>92000</v>
      </c>
      <c r="Z53" s="29">
        <f t="shared" ca="1" si="1"/>
        <v>77.5</v>
      </c>
      <c r="AA53">
        <f ca="1">IF(T_EMPLOYEES[[#This Row],[EMPLOYEE NUMBER]]="","",ROW(T_EMPLOYEES[[#This Row],[EMPLOYEE LABEL]])-ROW(T_EMPLOYEES[[#Headers],[EMPLOYEE LABEL]]))</f>
        <v>50</v>
      </c>
      <c r="AB53">
        <f ca="1">IF(T_EMPLOYEES[[#This Row],[EMPLOYEE NUMBER]]="","",IF(COUNTIF(T_EMPLOYEES[EMPLOYEE NUMBER],T_EMPLOYEES[[#This Row],[EMPLOYEE NUMBER]])&gt;1,1,0))</f>
        <v>0</v>
      </c>
      <c r="AC53">
        <f ca="1">IF(T_EMPLOYEES[[#This Row],[EMPLOYEE NUMBER]]="","",IF(AND(T_EMPLOYEES[[#This Row],[DATE OF BIRTH]]&gt;0,T_EMPLOYEES[[#This Row],[DATE OF BIRTH]]&lt;TODAY()),0,1))</f>
        <v>0</v>
      </c>
      <c r="AD53">
        <f ca="1">IF(T_EMPLOYEES[[#This Row],[EMPLOYEE NUMBER]]="","",IF(AND(T_EMPLOYEES[[#This Row],[START DATE]]&gt;0,T_EMPLOYEES[[#This Row],[START DATE]]&lt;TODAY()+60),0,1))</f>
        <v>0</v>
      </c>
      <c r="AE53">
        <f ca="1">IF(T_EMPLOYEES[[#This Row],[EMPLOYEE NUMBER]]="","",MATCH(T_EMPLOYEES[[#This Row],[GENDER]],L_GENDER,0))</f>
        <v>1</v>
      </c>
      <c r="AF53">
        <f ca="1">IF(T_EMPLOYEES[[#This Row],[EMPLOYEE NUMBER]]="","",MATCH(T_EMPLOYEES[[#This Row],[HIRE SOURCE]],L_HIRESOURCE,0))</f>
        <v>4</v>
      </c>
      <c r="AG53">
        <f ca="1">IF(T_EMPLOYEES[[#This Row],[EMPLOYEE NUMBER]]="","",MATCH(T_EMPLOYEES[[#This Row],[ETHNICITY]],L_ETHNICITY,0))</f>
        <v>3</v>
      </c>
      <c r="AH53">
        <f ca="1">IF(T_EMPLOYEES[[#This Row],[EMPLOYEE NUMBER]]="","",MATCH(T_EMPLOYEES[[#This Row],[LOCATION]],L_LOCATION,0))</f>
        <v>1</v>
      </c>
      <c r="AI53">
        <f ca="1">IF(T_EMPLOYEES[[#This Row],[EMPLOYEE NUMBER]]="","",MATCH(T_EMPLOYEES[[#This Row],[DEPARTMENT]],L_DEPARTMENT,0))</f>
        <v>2</v>
      </c>
      <c r="AJ53">
        <f ca="1">IF(T_EMPLOYEES[[#This Row],[EMPLOYEE NUMBER]]="","",MATCH(T_EMPLOYEES[[#This Row],[JOB TYPE]],L_JOBTYPE,0))</f>
        <v>2</v>
      </c>
      <c r="AK53">
        <f ca="1">IF(T_EMPLOYEES[[#This Row],[EMPLOYEE NUMBER]]="","",MATCH(T_EMPLOYEES[[#This Row],[JOB CATEGORY]],L_JOBCATEGORY,0))</f>
        <v>20</v>
      </c>
      <c r="AL53">
        <f ca="1">IF(T_EMPLOYEES[[#This Row],[EMPLOYEE NUMBER]]="","",MATCH(T_EMPLOYEES[[#This Row],[JOB LEVEL]],L_JOBLEVEL,0))</f>
        <v>5</v>
      </c>
      <c r="AM53">
        <f ca="1">IF(T_EMPLOYEES[[#This Row],[EMPLOYEE NUMBER]]="","",MATCH(T_EMPLOYEES[[#This Row],[JOB TITLE]],L_JOBTITLE,0))</f>
        <v>20</v>
      </c>
      <c r="AN53">
        <f ca="1">IF(T_EMPLOYEES[[#This Row],[EMPLOYEE NUMBER]]="","",MATCH(T_EMPLOYEES[[#This Row],[MANAGER]],L_EMPLABELS,0))</f>
        <v>60</v>
      </c>
      <c r="AO53">
        <f ca="1">IF(T_EMPLOYEES[[#This Row],[EMPLOYEE NUMBER]]="","",IF(T_EMPLOYEES[[#This Row],[ERROR]]="",0,1))</f>
        <v>0</v>
      </c>
      <c r="AP5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" spans="1:42">
      <c r="A54" t="s">
        <v>370</v>
      </c>
      <c r="B54" t="s">
        <v>371</v>
      </c>
      <c r="C54">
        <v>1018271</v>
      </c>
      <c r="D54" t="s">
        <v>372</v>
      </c>
      <c r="E54" s="26">
        <v>29476</v>
      </c>
      <c r="F54" s="26">
        <v>42494</v>
      </c>
      <c r="G54" s="26">
        <v>44177</v>
      </c>
      <c r="H54" t="s">
        <v>27</v>
      </c>
      <c r="I54" t="s">
        <v>54</v>
      </c>
      <c r="J54" t="s">
        <v>64</v>
      </c>
      <c r="K54" t="s">
        <v>30</v>
      </c>
      <c r="L54" s="27" t="s">
        <v>45</v>
      </c>
      <c r="M54" t="s">
        <v>46</v>
      </c>
      <c r="N54" t="s">
        <v>81</v>
      </c>
      <c r="O54" t="s">
        <v>82</v>
      </c>
      <c r="P54" t="s">
        <v>81</v>
      </c>
      <c r="Q54" t="s">
        <v>373</v>
      </c>
      <c r="R54" s="27">
        <v>7</v>
      </c>
      <c r="S54" s="1">
        <v>320000</v>
      </c>
      <c r="T54" s="1">
        <f ca="1">ROUND(T_EMPLOYEES[[#This Row],[EMP_CTC1]]/12, 0)</f>
        <v>26667</v>
      </c>
      <c r="U54" s="1">
        <v>72000</v>
      </c>
      <c r="V54" s="1" t="s">
        <v>207</v>
      </c>
      <c r="W54" s="1" t="s">
        <v>207</v>
      </c>
      <c r="X5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Rajinikanth . (1018271)</v>
      </c>
      <c r="Y54">
        <v>92000</v>
      </c>
      <c r="Z54" s="29">
        <f t="shared" ca="1" si="1"/>
        <v>77.5</v>
      </c>
      <c r="AA54">
        <f ca="1">IF(T_EMPLOYEES[[#This Row],[EMPLOYEE NUMBER]]="","",ROW(T_EMPLOYEES[[#This Row],[EMPLOYEE LABEL]])-ROW(T_EMPLOYEES[[#Headers],[EMPLOYEE LABEL]]))</f>
        <v>51</v>
      </c>
      <c r="AB54">
        <f ca="1">IF(T_EMPLOYEES[[#This Row],[EMPLOYEE NUMBER]]="","",IF(COUNTIF(T_EMPLOYEES[EMPLOYEE NUMBER],T_EMPLOYEES[[#This Row],[EMPLOYEE NUMBER]])&gt;1,1,0))</f>
        <v>0</v>
      </c>
      <c r="AC54">
        <f ca="1">IF(T_EMPLOYEES[[#This Row],[EMPLOYEE NUMBER]]="","",IF(AND(T_EMPLOYEES[[#This Row],[DATE OF BIRTH]]&gt;0,T_EMPLOYEES[[#This Row],[DATE OF BIRTH]]&lt;TODAY()),0,1))</f>
        <v>0</v>
      </c>
      <c r="AD54">
        <f ca="1">IF(T_EMPLOYEES[[#This Row],[EMPLOYEE NUMBER]]="","",IF(AND(T_EMPLOYEES[[#This Row],[START DATE]]&gt;0,T_EMPLOYEES[[#This Row],[START DATE]]&lt;TODAY()+60),0,1))</f>
        <v>0</v>
      </c>
      <c r="AE54">
        <f ca="1">IF(T_EMPLOYEES[[#This Row],[EMPLOYEE NUMBER]]="","",MATCH(T_EMPLOYEES[[#This Row],[GENDER]],L_GENDER,0))</f>
        <v>1</v>
      </c>
      <c r="AF54">
        <f ca="1">IF(T_EMPLOYEES[[#This Row],[EMPLOYEE NUMBER]]="","",MATCH(T_EMPLOYEES[[#This Row],[HIRE SOURCE]],L_HIRESOURCE,0))</f>
        <v>4</v>
      </c>
      <c r="AG54">
        <f ca="1">IF(T_EMPLOYEES[[#This Row],[EMPLOYEE NUMBER]]="","",MATCH(T_EMPLOYEES[[#This Row],[ETHNICITY]],L_ETHNICITY,0))</f>
        <v>3</v>
      </c>
      <c r="AH54">
        <f ca="1">IF(T_EMPLOYEES[[#This Row],[EMPLOYEE NUMBER]]="","",MATCH(T_EMPLOYEES[[#This Row],[LOCATION]],L_LOCATION,0))</f>
        <v>1</v>
      </c>
      <c r="AI54">
        <f ca="1">IF(T_EMPLOYEES[[#This Row],[EMPLOYEE NUMBER]]="","",MATCH(T_EMPLOYEES[[#This Row],[DEPARTMENT]],L_DEPARTMENT,0))</f>
        <v>2</v>
      </c>
      <c r="AJ54">
        <f ca="1">IF(T_EMPLOYEES[[#This Row],[EMPLOYEE NUMBER]]="","",MATCH(T_EMPLOYEES[[#This Row],[JOB TYPE]],L_JOBTYPE,0))</f>
        <v>2</v>
      </c>
      <c r="AK54">
        <f ca="1">IF(T_EMPLOYEES[[#This Row],[EMPLOYEE NUMBER]]="","",MATCH(T_EMPLOYEES[[#This Row],[JOB CATEGORY]],L_JOBCATEGORY,0))</f>
        <v>5</v>
      </c>
      <c r="AL54">
        <f ca="1">IF(T_EMPLOYEES[[#This Row],[EMPLOYEE NUMBER]]="","",MATCH(T_EMPLOYEES[[#This Row],[JOB LEVEL]],L_JOBLEVEL,0))</f>
        <v>5</v>
      </c>
      <c r="AM54">
        <f ca="1">IF(T_EMPLOYEES[[#This Row],[EMPLOYEE NUMBER]]="","",MATCH(T_EMPLOYEES[[#This Row],[JOB TITLE]],L_JOBTITLE,0))</f>
        <v>5</v>
      </c>
      <c r="AN54">
        <f ca="1">IF(T_EMPLOYEES[[#This Row],[EMPLOYEE NUMBER]]="","",MATCH(T_EMPLOYEES[[#This Row],[MANAGER]],L_EMPLABELS,0))</f>
        <v>9</v>
      </c>
      <c r="AO54">
        <f ca="1">IF(T_EMPLOYEES[[#This Row],[EMPLOYEE NUMBER]]="","",IF(T_EMPLOYEES[[#This Row],[ERROR]]="",0,1))</f>
        <v>0</v>
      </c>
      <c r="AP5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" spans="1:42">
      <c r="A55" t="s">
        <v>374</v>
      </c>
      <c r="B55" t="s">
        <v>375</v>
      </c>
      <c r="C55">
        <v>1031867</v>
      </c>
      <c r="D55" t="s">
        <v>376</v>
      </c>
      <c r="E55" s="26">
        <v>29501</v>
      </c>
      <c r="F55" s="26">
        <v>44914</v>
      </c>
      <c r="H55" t="s">
        <v>27</v>
      </c>
      <c r="I55" t="s">
        <v>54</v>
      </c>
      <c r="J55" t="s">
        <v>64</v>
      </c>
      <c r="K55" t="s">
        <v>43</v>
      </c>
      <c r="L55" s="27" t="s">
        <v>45</v>
      </c>
      <c r="M55" t="s">
        <v>46</v>
      </c>
      <c r="N55" t="s">
        <v>47</v>
      </c>
      <c r="O55" t="s">
        <v>90</v>
      </c>
      <c r="P55" t="s">
        <v>47</v>
      </c>
      <c r="Q55" t="s">
        <v>377</v>
      </c>
      <c r="R55">
        <v>7</v>
      </c>
      <c r="S55" s="1">
        <v>320000</v>
      </c>
      <c r="T55" s="1">
        <f ca="1">ROUND(T_EMPLOYEES[[#This Row],[EMP_CTC1]]/12, 0)</f>
        <v>26667</v>
      </c>
      <c r="U55" s="1">
        <v>72000</v>
      </c>
      <c r="V55" s="1" t="s">
        <v>207</v>
      </c>
      <c r="W55" s="1" t="s">
        <v>207</v>
      </c>
      <c r="X5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Prabhakar Janardhanam (1031867)</v>
      </c>
      <c r="Y55">
        <v>92000</v>
      </c>
      <c r="Z55" s="29">
        <f t="shared" ca="1" si="1"/>
        <v>77.5</v>
      </c>
      <c r="AA55">
        <f ca="1">IF(T_EMPLOYEES[[#This Row],[EMPLOYEE NUMBER]]="","",ROW(T_EMPLOYEES[[#This Row],[EMPLOYEE LABEL]])-ROW(T_EMPLOYEES[[#Headers],[EMPLOYEE LABEL]]))</f>
        <v>52</v>
      </c>
      <c r="AB55">
        <f ca="1">IF(T_EMPLOYEES[[#This Row],[EMPLOYEE NUMBER]]="","",IF(COUNTIF(T_EMPLOYEES[EMPLOYEE NUMBER],T_EMPLOYEES[[#This Row],[EMPLOYEE NUMBER]])&gt;1,1,0))</f>
        <v>0</v>
      </c>
      <c r="AC55">
        <f ca="1">IF(T_EMPLOYEES[[#This Row],[EMPLOYEE NUMBER]]="","",IF(AND(T_EMPLOYEES[[#This Row],[DATE OF BIRTH]]&gt;0,T_EMPLOYEES[[#This Row],[DATE OF BIRTH]]&lt;TODAY()),0,1))</f>
        <v>0</v>
      </c>
      <c r="AD55">
        <f ca="1">IF(T_EMPLOYEES[[#This Row],[EMPLOYEE NUMBER]]="","",IF(AND(T_EMPLOYEES[[#This Row],[START DATE]]&gt;0,T_EMPLOYEES[[#This Row],[START DATE]]&lt;TODAY()+60),0,1))</f>
        <v>0</v>
      </c>
      <c r="AE55">
        <f ca="1">IF(T_EMPLOYEES[[#This Row],[EMPLOYEE NUMBER]]="","",MATCH(T_EMPLOYEES[[#This Row],[GENDER]],L_GENDER,0))</f>
        <v>1</v>
      </c>
      <c r="AF55">
        <f ca="1">IF(T_EMPLOYEES[[#This Row],[EMPLOYEE NUMBER]]="","",MATCH(T_EMPLOYEES[[#This Row],[HIRE SOURCE]],L_HIRESOURCE,0))</f>
        <v>4</v>
      </c>
      <c r="AG55">
        <f ca="1">IF(T_EMPLOYEES[[#This Row],[EMPLOYEE NUMBER]]="","",MATCH(T_EMPLOYEES[[#This Row],[ETHNICITY]],L_ETHNICITY,0))</f>
        <v>3</v>
      </c>
      <c r="AH55">
        <f ca="1">IF(T_EMPLOYEES[[#This Row],[EMPLOYEE NUMBER]]="","",MATCH(T_EMPLOYEES[[#This Row],[LOCATION]],L_LOCATION,0))</f>
        <v>2</v>
      </c>
      <c r="AI55">
        <f ca="1">IF(T_EMPLOYEES[[#This Row],[EMPLOYEE NUMBER]]="","",MATCH(T_EMPLOYEES[[#This Row],[DEPARTMENT]],L_DEPARTMENT,0))</f>
        <v>2</v>
      </c>
      <c r="AJ55">
        <f ca="1">IF(T_EMPLOYEES[[#This Row],[EMPLOYEE NUMBER]]="","",MATCH(T_EMPLOYEES[[#This Row],[JOB TYPE]],L_JOBTYPE,0))</f>
        <v>2</v>
      </c>
      <c r="AK55">
        <f ca="1">IF(T_EMPLOYEES[[#This Row],[EMPLOYEE NUMBER]]="","",MATCH(T_EMPLOYEES[[#This Row],[JOB CATEGORY]],L_JOBCATEGORY,0))</f>
        <v>2</v>
      </c>
      <c r="AL55">
        <f ca="1">IF(T_EMPLOYEES[[#This Row],[EMPLOYEE NUMBER]]="","",MATCH(T_EMPLOYEES[[#This Row],[JOB LEVEL]],L_JOBLEVEL,0))</f>
        <v>6</v>
      </c>
      <c r="AM55">
        <f ca="1">IF(T_EMPLOYEES[[#This Row],[EMPLOYEE NUMBER]]="","",MATCH(T_EMPLOYEES[[#This Row],[JOB TITLE]],L_JOBTITLE,0))</f>
        <v>2</v>
      </c>
      <c r="AN55">
        <f ca="1">IF(T_EMPLOYEES[[#This Row],[EMPLOYEE NUMBER]]="","",MATCH(T_EMPLOYEES[[#This Row],[MANAGER]],L_EMPLABELS,0))</f>
        <v>64</v>
      </c>
      <c r="AO55">
        <f ca="1">IF(T_EMPLOYEES[[#This Row],[EMPLOYEE NUMBER]]="","",IF(T_EMPLOYEES[[#This Row],[ERROR]]="",0,1))</f>
        <v>0</v>
      </c>
      <c r="AP5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" spans="1:42">
      <c r="A56" t="s">
        <v>378</v>
      </c>
      <c r="B56" t="s">
        <v>379</v>
      </c>
      <c r="C56">
        <v>1025532</v>
      </c>
      <c r="D56" t="s">
        <v>380</v>
      </c>
      <c r="E56" s="26">
        <v>29699</v>
      </c>
      <c r="F56" s="26">
        <v>44361</v>
      </c>
      <c r="H56" t="s">
        <v>40</v>
      </c>
      <c r="I56" t="s">
        <v>54</v>
      </c>
      <c r="J56" t="s">
        <v>64</v>
      </c>
      <c r="K56" t="s">
        <v>30</v>
      </c>
      <c r="L56" s="27" t="s">
        <v>45</v>
      </c>
      <c r="M56" t="s">
        <v>46</v>
      </c>
      <c r="N56" t="s">
        <v>142</v>
      </c>
      <c r="O56" t="s">
        <v>60</v>
      </c>
      <c r="P56" t="s">
        <v>142</v>
      </c>
      <c r="Q56" t="s">
        <v>211</v>
      </c>
      <c r="R56" s="27">
        <v>3</v>
      </c>
      <c r="S56" s="1">
        <v>320000</v>
      </c>
      <c r="T56" s="1">
        <f ca="1">ROUND(T_EMPLOYEES[[#This Row],[EMP_CTC1]]/12, 0)</f>
        <v>26667</v>
      </c>
      <c r="U56" s="1">
        <v>72000</v>
      </c>
      <c r="V56" s="1" t="s">
        <v>207</v>
      </c>
      <c r="W56" s="1" t="s">
        <v>207</v>
      </c>
      <c r="X5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Nafisa Parveen (1025532)</v>
      </c>
      <c r="Y56">
        <v>92000</v>
      </c>
      <c r="Z56" s="29">
        <f t="shared" ca="1" si="1"/>
        <v>77.5</v>
      </c>
      <c r="AA56">
        <f ca="1">IF(T_EMPLOYEES[[#This Row],[EMPLOYEE NUMBER]]="","",ROW(T_EMPLOYEES[[#This Row],[EMPLOYEE LABEL]])-ROW(T_EMPLOYEES[[#Headers],[EMPLOYEE LABEL]]))</f>
        <v>53</v>
      </c>
      <c r="AB56">
        <f ca="1">IF(T_EMPLOYEES[[#This Row],[EMPLOYEE NUMBER]]="","",IF(COUNTIF(T_EMPLOYEES[EMPLOYEE NUMBER],T_EMPLOYEES[[#This Row],[EMPLOYEE NUMBER]])&gt;1,1,0))</f>
        <v>0</v>
      </c>
      <c r="AC56">
        <f ca="1">IF(T_EMPLOYEES[[#This Row],[EMPLOYEE NUMBER]]="","",IF(AND(T_EMPLOYEES[[#This Row],[DATE OF BIRTH]]&gt;0,T_EMPLOYEES[[#This Row],[DATE OF BIRTH]]&lt;TODAY()),0,1))</f>
        <v>0</v>
      </c>
      <c r="AD56">
        <f ca="1">IF(T_EMPLOYEES[[#This Row],[EMPLOYEE NUMBER]]="","",IF(AND(T_EMPLOYEES[[#This Row],[START DATE]]&gt;0,T_EMPLOYEES[[#This Row],[START DATE]]&lt;TODAY()+60),0,1))</f>
        <v>0</v>
      </c>
      <c r="AE56">
        <f ca="1">IF(T_EMPLOYEES[[#This Row],[EMPLOYEE NUMBER]]="","",MATCH(T_EMPLOYEES[[#This Row],[GENDER]],L_GENDER,0))</f>
        <v>2</v>
      </c>
      <c r="AF56">
        <f ca="1">IF(T_EMPLOYEES[[#This Row],[EMPLOYEE NUMBER]]="","",MATCH(T_EMPLOYEES[[#This Row],[HIRE SOURCE]],L_HIRESOURCE,0))</f>
        <v>4</v>
      </c>
      <c r="AG56">
        <f ca="1">IF(T_EMPLOYEES[[#This Row],[EMPLOYEE NUMBER]]="","",MATCH(T_EMPLOYEES[[#This Row],[ETHNICITY]],L_ETHNICITY,0))</f>
        <v>3</v>
      </c>
      <c r="AH56">
        <f ca="1">IF(T_EMPLOYEES[[#This Row],[EMPLOYEE NUMBER]]="","",MATCH(T_EMPLOYEES[[#This Row],[LOCATION]],L_LOCATION,0))</f>
        <v>1</v>
      </c>
      <c r="AI56">
        <f ca="1">IF(T_EMPLOYEES[[#This Row],[EMPLOYEE NUMBER]]="","",MATCH(T_EMPLOYEES[[#This Row],[DEPARTMENT]],L_DEPARTMENT,0))</f>
        <v>2</v>
      </c>
      <c r="AJ56">
        <f ca="1">IF(T_EMPLOYEES[[#This Row],[EMPLOYEE NUMBER]]="","",MATCH(T_EMPLOYEES[[#This Row],[JOB TYPE]],L_JOBTYPE,0))</f>
        <v>2</v>
      </c>
      <c r="AK56">
        <f ca="1">IF(T_EMPLOYEES[[#This Row],[EMPLOYEE NUMBER]]="","",MATCH(T_EMPLOYEES[[#This Row],[JOB CATEGORY]],L_JOBCATEGORY,0))</f>
        <v>21</v>
      </c>
      <c r="AL56">
        <f ca="1">IF(T_EMPLOYEES[[#This Row],[EMPLOYEE NUMBER]]="","",MATCH(T_EMPLOYEES[[#This Row],[JOB LEVEL]],L_JOBLEVEL,0))</f>
        <v>3</v>
      </c>
      <c r="AM56">
        <f ca="1">IF(T_EMPLOYEES[[#This Row],[EMPLOYEE NUMBER]]="","",MATCH(T_EMPLOYEES[[#This Row],[JOB TITLE]],L_JOBTITLE,0))</f>
        <v>21</v>
      </c>
      <c r="AN56">
        <f ca="1">IF(T_EMPLOYEES[[#This Row],[EMPLOYEE NUMBER]]="","",MATCH(T_EMPLOYEES[[#This Row],[MANAGER]],L_EMPLABELS,0))</f>
        <v>49</v>
      </c>
      <c r="AO56">
        <f ca="1">IF(T_EMPLOYEES[[#This Row],[EMPLOYEE NUMBER]]="","",IF(T_EMPLOYEES[[#This Row],[ERROR]]="",0,1))</f>
        <v>0</v>
      </c>
      <c r="AP5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" spans="1:42">
      <c r="A57" t="s">
        <v>381</v>
      </c>
      <c r="B57" t="s">
        <v>382</v>
      </c>
      <c r="C57">
        <v>1019295</v>
      </c>
      <c r="D57" t="s">
        <v>383</v>
      </c>
      <c r="E57" s="26">
        <v>29705</v>
      </c>
      <c r="F57" s="26">
        <v>42824</v>
      </c>
      <c r="H57" t="s">
        <v>27</v>
      </c>
      <c r="I57" t="s">
        <v>54</v>
      </c>
      <c r="J57" t="s">
        <v>64</v>
      </c>
      <c r="K57" t="s">
        <v>30</v>
      </c>
      <c r="L57" s="27" t="s">
        <v>45</v>
      </c>
      <c r="M57" t="s">
        <v>46</v>
      </c>
      <c r="N57" t="s">
        <v>101</v>
      </c>
      <c r="O57" t="s">
        <v>90</v>
      </c>
      <c r="P57" t="s">
        <v>101</v>
      </c>
      <c r="Q57" t="s">
        <v>246</v>
      </c>
      <c r="R57">
        <v>7</v>
      </c>
      <c r="S57" s="1">
        <v>320000</v>
      </c>
      <c r="T57" s="1">
        <f ca="1">ROUND(T_EMPLOYEES[[#This Row],[EMP_CTC1]]/12, 0)</f>
        <v>26667</v>
      </c>
      <c r="U57" s="1">
        <v>72000</v>
      </c>
      <c r="V57" s="1" t="s">
        <v>207</v>
      </c>
      <c r="W57" s="1" t="s">
        <v>207</v>
      </c>
      <c r="X5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Praveen Kumar  Narayana (1019295)</v>
      </c>
      <c r="Y57">
        <v>92000</v>
      </c>
      <c r="Z57" s="29">
        <f t="shared" ca="1" si="1"/>
        <v>77.5</v>
      </c>
      <c r="AA57">
        <f ca="1">IF(T_EMPLOYEES[[#This Row],[EMPLOYEE NUMBER]]="","",ROW(T_EMPLOYEES[[#This Row],[EMPLOYEE LABEL]])-ROW(T_EMPLOYEES[[#Headers],[EMPLOYEE LABEL]]))</f>
        <v>54</v>
      </c>
      <c r="AB57">
        <f ca="1">IF(T_EMPLOYEES[[#This Row],[EMPLOYEE NUMBER]]="","",IF(COUNTIF(T_EMPLOYEES[EMPLOYEE NUMBER],T_EMPLOYEES[[#This Row],[EMPLOYEE NUMBER]])&gt;1,1,0))</f>
        <v>0</v>
      </c>
      <c r="AC57">
        <f ca="1">IF(T_EMPLOYEES[[#This Row],[EMPLOYEE NUMBER]]="","",IF(AND(T_EMPLOYEES[[#This Row],[DATE OF BIRTH]]&gt;0,T_EMPLOYEES[[#This Row],[DATE OF BIRTH]]&lt;TODAY()),0,1))</f>
        <v>0</v>
      </c>
      <c r="AD57">
        <f ca="1">IF(T_EMPLOYEES[[#This Row],[EMPLOYEE NUMBER]]="","",IF(AND(T_EMPLOYEES[[#This Row],[START DATE]]&gt;0,T_EMPLOYEES[[#This Row],[START DATE]]&lt;TODAY()+60),0,1))</f>
        <v>0</v>
      </c>
      <c r="AE57">
        <f ca="1">IF(T_EMPLOYEES[[#This Row],[EMPLOYEE NUMBER]]="","",MATCH(T_EMPLOYEES[[#This Row],[GENDER]],L_GENDER,0))</f>
        <v>1</v>
      </c>
      <c r="AF57">
        <f ca="1">IF(T_EMPLOYEES[[#This Row],[EMPLOYEE NUMBER]]="","",MATCH(T_EMPLOYEES[[#This Row],[HIRE SOURCE]],L_HIRESOURCE,0))</f>
        <v>4</v>
      </c>
      <c r="AG57">
        <f ca="1">IF(T_EMPLOYEES[[#This Row],[EMPLOYEE NUMBER]]="","",MATCH(T_EMPLOYEES[[#This Row],[ETHNICITY]],L_ETHNICITY,0))</f>
        <v>3</v>
      </c>
      <c r="AH57">
        <f ca="1">IF(T_EMPLOYEES[[#This Row],[EMPLOYEE NUMBER]]="","",MATCH(T_EMPLOYEES[[#This Row],[LOCATION]],L_LOCATION,0))</f>
        <v>1</v>
      </c>
      <c r="AI57">
        <f ca="1">IF(T_EMPLOYEES[[#This Row],[EMPLOYEE NUMBER]]="","",MATCH(T_EMPLOYEES[[#This Row],[DEPARTMENT]],L_DEPARTMENT,0))</f>
        <v>2</v>
      </c>
      <c r="AJ57">
        <f ca="1">IF(T_EMPLOYEES[[#This Row],[EMPLOYEE NUMBER]]="","",MATCH(T_EMPLOYEES[[#This Row],[JOB TYPE]],L_JOBTYPE,0))</f>
        <v>2</v>
      </c>
      <c r="AK57">
        <f ca="1">IF(T_EMPLOYEES[[#This Row],[EMPLOYEE NUMBER]]="","",MATCH(T_EMPLOYEES[[#This Row],[JOB CATEGORY]],L_JOBCATEGORY,0))</f>
        <v>8</v>
      </c>
      <c r="AL57">
        <f ca="1">IF(T_EMPLOYEES[[#This Row],[EMPLOYEE NUMBER]]="","",MATCH(T_EMPLOYEES[[#This Row],[JOB LEVEL]],L_JOBLEVEL,0))</f>
        <v>6</v>
      </c>
      <c r="AM57">
        <f ca="1">IF(T_EMPLOYEES[[#This Row],[EMPLOYEE NUMBER]]="","",MATCH(T_EMPLOYEES[[#This Row],[JOB TITLE]],L_JOBTITLE,0))</f>
        <v>8</v>
      </c>
      <c r="AN57">
        <f ca="1">IF(T_EMPLOYEES[[#This Row],[EMPLOYEE NUMBER]]="","",MATCH(T_EMPLOYEES[[#This Row],[MANAGER]],L_EMPLABELS,0))</f>
        <v>68</v>
      </c>
      <c r="AO57">
        <f ca="1">IF(T_EMPLOYEES[[#This Row],[EMPLOYEE NUMBER]]="","",IF(T_EMPLOYEES[[#This Row],[ERROR]]="",0,1))</f>
        <v>0</v>
      </c>
      <c r="AP5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" spans="1:42">
      <c r="A58" t="s">
        <v>384</v>
      </c>
      <c r="B58" t="s">
        <v>293</v>
      </c>
      <c r="C58">
        <v>1008177</v>
      </c>
      <c r="D58" t="s">
        <v>385</v>
      </c>
      <c r="E58" s="26">
        <v>29727</v>
      </c>
      <c r="F58" s="26">
        <v>40492</v>
      </c>
      <c r="G58" s="26">
        <v>44177</v>
      </c>
      <c r="H58" t="s">
        <v>27</v>
      </c>
      <c r="I58" t="s">
        <v>54</v>
      </c>
      <c r="J58" t="s">
        <v>64</v>
      </c>
      <c r="K58" t="s">
        <v>30</v>
      </c>
      <c r="L58" t="s">
        <v>130</v>
      </c>
      <c r="M58" t="s">
        <v>46</v>
      </c>
      <c r="N58" t="s">
        <v>81</v>
      </c>
      <c r="O58" t="s">
        <v>82</v>
      </c>
      <c r="P58" t="s">
        <v>81</v>
      </c>
      <c r="Q58" t="s">
        <v>337</v>
      </c>
      <c r="R58" s="27">
        <v>7</v>
      </c>
      <c r="S58" s="1">
        <v>320000</v>
      </c>
      <c r="T58" s="1">
        <f ca="1">ROUND(T_EMPLOYEES[[#This Row],[EMP_CTC1]]/12, 0)</f>
        <v>26667</v>
      </c>
      <c r="U58" s="1">
        <v>72000</v>
      </c>
      <c r="V58" s="1" t="s">
        <v>207</v>
      </c>
      <c r="W58" s="1" t="s">
        <v>207</v>
      </c>
      <c r="X5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Rajnish Kumar (1008177)</v>
      </c>
      <c r="Y58">
        <v>92000</v>
      </c>
      <c r="Z58" s="29">
        <f t="shared" ca="1" si="1"/>
        <v>77.5</v>
      </c>
      <c r="AA58">
        <f ca="1">IF(T_EMPLOYEES[[#This Row],[EMPLOYEE NUMBER]]="","",ROW(T_EMPLOYEES[[#This Row],[EMPLOYEE LABEL]])-ROW(T_EMPLOYEES[[#Headers],[EMPLOYEE LABEL]]))</f>
        <v>55</v>
      </c>
      <c r="AB58">
        <f ca="1">IF(T_EMPLOYEES[[#This Row],[EMPLOYEE NUMBER]]="","",IF(COUNTIF(T_EMPLOYEES[EMPLOYEE NUMBER],T_EMPLOYEES[[#This Row],[EMPLOYEE NUMBER]])&gt;1,1,0))</f>
        <v>0</v>
      </c>
      <c r="AC58">
        <f ca="1">IF(T_EMPLOYEES[[#This Row],[EMPLOYEE NUMBER]]="","",IF(AND(T_EMPLOYEES[[#This Row],[DATE OF BIRTH]]&gt;0,T_EMPLOYEES[[#This Row],[DATE OF BIRTH]]&lt;TODAY()),0,1))</f>
        <v>0</v>
      </c>
      <c r="AD58">
        <f ca="1">IF(T_EMPLOYEES[[#This Row],[EMPLOYEE NUMBER]]="","",IF(AND(T_EMPLOYEES[[#This Row],[START DATE]]&gt;0,T_EMPLOYEES[[#This Row],[START DATE]]&lt;TODAY()+60),0,1))</f>
        <v>0</v>
      </c>
      <c r="AE58">
        <f ca="1">IF(T_EMPLOYEES[[#This Row],[EMPLOYEE NUMBER]]="","",MATCH(T_EMPLOYEES[[#This Row],[GENDER]],L_GENDER,0))</f>
        <v>1</v>
      </c>
      <c r="AF58">
        <f ca="1">IF(T_EMPLOYEES[[#This Row],[EMPLOYEE NUMBER]]="","",MATCH(T_EMPLOYEES[[#This Row],[HIRE SOURCE]],L_HIRESOURCE,0))</f>
        <v>4</v>
      </c>
      <c r="AG58">
        <f ca="1">IF(T_EMPLOYEES[[#This Row],[EMPLOYEE NUMBER]]="","",MATCH(T_EMPLOYEES[[#This Row],[ETHNICITY]],L_ETHNICITY,0))</f>
        <v>3</v>
      </c>
      <c r="AH58">
        <f ca="1">IF(T_EMPLOYEES[[#This Row],[EMPLOYEE NUMBER]]="","",MATCH(T_EMPLOYEES[[#This Row],[LOCATION]],L_LOCATION,0))</f>
        <v>1</v>
      </c>
      <c r="AI58">
        <f ca="1">IF(T_EMPLOYEES[[#This Row],[EMPLOYEE NUMBER]]="","",MATCH(T_EMPLOYEES[[#This Row],[DEPARTMENT]],L_DEPARTMENT,0))</f>
        <v>16</v>
      </c>
      <c r="AJ58">
        <f ca="1">IF(T_EMPLOYEES[[#This Row],[EMPLOYEE NUMBER]]="","",MATCH(T_EMPLOYEES[[#This Row],[JOB TYPE]],L_JOBTYPE,0))</f>
        <v>2</v>
      </c>
      <c r="AK58">
        <f ca="1">IF(T_EMPLOYEES[[#This Row],[EMPLOYEE NUMBER]]="","",MATCH(T_EMPLOYEES[[#This Row],[JOB CATEGORY]],L_JOBCATEGORY,0))</f>
        <v>5</v>
      </c>
      <c r="AL58">
        <f ca="1">IF(T_EMPLOYEES[[#This Row],[EMPLOYEE NUMBER]]="","",MATCH(T_EMPLOYEES[[#This Row],[JOB LEVEL]],L_JOBLEVEL,0))</f>
        <v>5</v>
      </c>
      <c r="AM58">
        <f ca="1">IF(T_EMPLOYEES[[#This Row],[EMPLOYEE NUMBER]]="","",MATCH(T_EMPLOYEES[[#This Row],[JOB TITLE]],L_JOBTITLE,0))</f>
        <v>5</v>
      </c>
      <c r="AN58">
        <f ca="1">IF(T_EMPLOYEES[[#This Row],[EMPLOYEE NUMBER]]="","",MATCH(T_EMPLOYEES[[#This Row],[MANAGER]],L_EMPLABELS,0))</f>
        <v>48</v>
      </c>
      <c r="AO58">
        <f ca="1">IF(T_EMPLOYEES[[#This Row],[EMPLOYEE NUMBER]]="","",IF(T_EMPLOYEES[[#This Row],[ERROR]]="",0,1))</f>
        <v>0</v>
      </c>
      <c r="AP5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9" spans="1:42">
      <c r="A59" t="s">
        <v>386</v>
      </c>
      <c r="B59" t="s">
        <v>387</v>
      </c>
      <c r="C59">
        <v>1019765</v>
      </c>
      <c r="D59" t="s">
        <v>388</v>
      </c>
      <c r="E59" s="26">
        <v>29759</v>
      </c>
      <c r="F59" s="26">
        <v>42977</v>
      </c>
      <c r="H59" t="s">
        <v>27</v>
      </c>
      <c r="I59" t="s">
        <v>54</v>
      </c>
      <c r="J59" t="s">
        <v>64</v>
      </c>
      <c r="K59" t="s">
        <v>55</v>
      </c>
      <c r="L59" s="27" t="s">
        <v>45</v>
      </c>
      <c r="M59" t="s">
        <v>46</v>
      </c>
      <c r="N59" t="s">
        <v>134</v>
      </c>
      <c r="O59" t="s">
        <v>96</v>
      </c>
      <c r="P59" t="s">
        <v>134</v>
      </c>
      <c r="Q59" t="s">
        <v>215</v>
      </c>
      <c r="S59" s="1">
        <v>320000</v>
      </c>
      <c r="T59" s="1">
        <f ca="1">ROUND(T_EMPLOYEES[[#This Row],[EMP_CTC1]]/12, 0)</f>
        <v>26667</v>
      </c>
      <c r="U59" s="1">
        <v>72000</v>
      </c>
      <c r="V59" s="1" t="s">
        <v>207</v>
      </c>
      <c r="W59" s="1" t="s">
        <v>207</v>
      </c>
      <c r="X5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Kishore Kumar N (1019765)</v>
      </c>
      <c r="Y59">
        <v>92000</v>
      </c>
      <c r="Z59" s="29">
        <f t="shared" ca="1" si="1"/>
        <v>77.5</v>
      </c>
      <c r="AA59">
        <f ca="1">IF(T_EMPLOYEES[[#This Row],[EMPLOYEE NUMBER]]="","",ROW(T_EMPLOYEES[[#This Row],[EMPLOYEE LABEL]])-ROW(T_EMPLOYEES[[#Headers],[EMPLOYEE LABEL]]))</f>
        <v>56</v>
      </c>
      <c r="AB59">
        <f ca="1">IF(T_EMPLOYEES[[#This Row],[EMPLOYEE NUMBER]]="","",IF(COUNTIF(T_EMPLOYEES[EMPLOYEE NUMBER],T_EMPLOYEES[[#This Row],[EMPLOYEE NUMBER]])&gt;1,1,0))</f>
        <v>0</v>
      </c>
      <c r="AC59">
        <f ca="1">IF(T_EMPLOYEES[[#This Row],[EMPLOYEE NUMBER]]="","",IF(AND(T_EMPLOYEES[[#This Row],[DATE OF BIRTH]]&gt;0,T_EMPLOYEES[[#This Row],[DATE OF BIRTH]]&lt;TODAY()),0,1))</f>
        <v>0</v>
      </c>
      <c r="AD59">
        <f ca="1">IF(T_EMPLOYEES[[#This Row],[EMPLOYEE NUMBER]]="","",IF(AND(T_EMPLOYEES[[#This Row],[START DATE]]&gt;0,T_EMPLOYEES[[#This Row],[START DATE]]&lt;TODAY()+60),0,1))</f>
        <v>0</v>
      </c>
      <c r="AE59">
        <f ca="1">IF(T_EMPLOYEES[[#This Row],[EMPLOYEE NUMBER]]="","",MATCH(T_EMPLOYEES[[#This Row],[GENDER]],L_GENDER,0))</f>
        <v>1</v>
      </c>
      <c r="AF59">
        <f ca="1">IF(T_EMPLOYEES[[#This Row],[EMPLOYEE NUMBER]]="","",MATCH(T_EMPLOYEES[[#This Row],[HIRE SOURCE]],L_HIRESOURCE,0))</f>
        <v>4</v>
      </c>
      <c r="AG59">
        <f ca="1">IF(T_EMPLOYEES[[#This Row],[EMPLOYEE NUMBER]]="","",MATCH(T_EMPLOYEES[[#This Row],[ETHNICITY]],L_ETHNICITY,0))</f>
        <v>3</v>
      </c>
      <c r="AH59">
        <f ca="1">IF(T_EMPLOYEES[[#This Row],[EMPLOYEE NUMBER]]="","",MATCH(T_EMPLOYEES[[#This Row],[LOCATION]],L_LOCATION,0))</f>
        <v>3</v>
      </c>
      <c r="AI59">
        <f ca="1">IF(T_EMPLOYEES[[#This Row],[EMPLOYEE NUMBER]]="","",MATCH(T_EMPLOYEES[[#This Row],[DEPARTMENT]],L_DEPARTMENT,0))</f>
        <v>2</v>
      </c>
      <c r="AJ59">
        <f ca="1">IF(T_EMPLOYEES[[#This Row],[EMPLOYEE NUMBER]]="","",MATCH(T_EMPLOYEES[[#This Row],[JOB TYPE]],L_JOBTYPE,0))</f>
        <v>2</v>
      </c>
      <c r="AK59">
        <f ca="1">IF(T_EMPLOYEES[[#This Row],[EMPLOYEE NUMBER]]="","",MATCH(T_EMPLOYEES[[#This Row],[JOB CATEGORY]],L_JOBCATEGORY,0))</f>
        <v>17</v>
      </c>
      <c r="AL59">
        <f ca="1">IF(T_EMPLOYEES[[#This Row],[EMPLOYEE NUMBER]]="","",MATCH(T_EMPLOYEES[[#This Row],[JOB LEVEL]],L_JOBLEVEL,0))</f>
        <v>7</v>
      </c>
      <c r="AM59">
        <f ca="1">IF(T_EMPLOYEES[[#This Row],[EMPLOYEE NUMBER]]="","",MATCH(T_EMPLOYEES[[#This Row],[JOB TITLE]],L_JOBTITLE,0))</f>
        <v>17</v>
      </c>
      <c r="AN59">
        <f ca="1">IF(T_EMPLOYEES[[#This Row],[EMPLOYEE NUMBER]]="","",MATCH(T_EMPLOYEES[[#This Row],[MANAGER]],L_EMPLABELS,0))</f>
        <v>13</v>
      </c>
      <c r="AO59">
        <f ca="1">IF(T_EMPLOYEES[[#This Row],[EMPLOYEE NUMBER]]="","",IF(T_EMPLOYEES[[#This Row],[ERROR]]="",0,1))</f>
        <v>0</v>
      </c>
      <c r="AP5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0" spans="1:42">
      <c r="A60" t="s">
        <v>389</v>
      </c>
      <c r="B60" t="s">
        <v>390</v>
      </c>
      <c r="C60">
        <v>1013201</v>
      </c>
      <c r="D60" t="s">
        <v>391</v>
      </c>
      <c r="E60" s="26">
        <v>29785</v>
      </c>
      <c r="F60" s="26">
        <v>41428</v>
      </c>
      <c r="H60" t="s">
        <v>27</v>
      </c>
      <c r="I60" t="s">
        <v>54</v>
      </c>
      <c r="J60" t="s">
        <v>64</v>
      </c>
      <c r="K60" t="s">
        <v>30</v>
      </c>
      <c r="L60" s="27" t="s">
        <v>45</v>
      </c>
      <c r="M60" t="s">
        <v>46</v>
      </c>
      <c r="N60" t="s">
        <v>134</v>
      </c>
      <c r="O60" t="s">
        <v>96</v>
      </c>
      <c r="P60" t="s">
        <v>134</v>
      </c>
      <c r="Q60" t="s">
        <v>215</v>
      </c>
      <c r="R60" s="27"/>
      <c r="S60" s="1">
        <v>320000</v>
      </c>
      <c r="T60" s="1">
        <f ca="1">ROUND(T_EMPLOYEES[[#This Row],[EMP_CTC1]]/12, 0)</f>
        <v>26667</v>
      </c>
      <c r="U60" s="1">
        <v>72000</v>
      </c>
      <c r="V60" s="1" t="s">
        <v>207</v>
      </c>
      <c r="W60" s="1" t="s">
        <v>207</v>
      </c>
      <c r="X6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Anil Kumar Khamari (1013201)</v>
      </c>
      <c r="Y60">
        <v>92000</v>
      </c>
      <c r="Z60" s="29">
        <f t="shared" ca="1" si="1"/>
        <v>77.5</v>
      </c>
      <c r="AA60">
        <f ca="1">IF(T_EMPLOYEES[[#This Row],[EMPLOYEE NUMBER]]="","",ROW(T_EMPLOYEES[[#This Row],[EMPLOYEE LABEL]])-ROW(T_EMPLOYEES[[#Headers],[EMPLOYEE LABEL]]))</f>
        <v>57</v>
      </c>
      <c r="AB60">
        <f ca="1">IF(T_EMPLOYEES[[#This Row],[EMPLOYEE NUMBER]]="","",IF(COUNTIF(T_EMPLOYEES[EMPLOYEE NUMBER],T_EMPLOYEES[[#This Row],[EMPLOYEE NUMBER]])&gt;1,1,0))</f>
        <v>0</v>
      </c>
      <c r="AC60">
        <f ca="1">IF(T_EMPLOYEES[[#This Row],[EMPLOYEE NUMBER]]="","",IF(AND(T_EMPLOYEES[[#This Row],[DATE OF BIRTH]]&gt;0,T_EMPLOYEES[[#This Row],[DATE OF BIRTH]]&lt;TODAY()),0,1))</f>
        <v>0</v>
      </c>
      <c r="AD60">
        <f ca="1">IF(T_EMPLOYEES[[#This Row],[EMPLOYEE NUMBER]]="","",IF(AND(T_EMPLOYEES[[#This Row],[START DATE]]&gt;0,T_EMPLOYEES[[#This Row],[START DATE]]&lt;TODAY()+60),0,1))</f>
        <v>0</v>
      </c>
      <c r="AE60">
        <f ca="1">IF(T_EMPLOYEES[[#This Row],[EMPLOYEE NUMBER]]="","",MATCH(T_EMPLOYEES[[#This Row],[GENDER]],L_GENDER,0))</f>
        <v>1</v>
      </c>
      <c r="AF60">
        <f ca="1">IF(T_EMPLOYEES[[#This Row],[EMPLOYEE NUMBER]]="","",MATCH(T_EMPLOYEES[[#This Row],[HIRE SOURCE]],L_HIRESOURCE,0))</f>
        <v>4</v>
      </c>
      <c r="AG60">
        <f ca="1">IF(T_EMPLOYEES[[#This Row],[EMPLOYEE NUMBER]]="","",MATCH(T_EMPLOYEES[[#This Row],[ETHNICITY]],L_ETHNICITY,0))</f>
        <v>3</v>
      </c>
      <c r="AH60">
        <f ca="1">IF(T_EMPLOYEES[[#This Row],[EMPLOYEE NUMBER]]="","",MATCH(T_EMPLOYEES[[#This Row],[LOCATION]],L_LOCATION,0))</f>
        <v>1</v>
      </c>
      <c r="AI60">
        <f ca="1">IF(T_EMPLOYEES[[#This Row],[EMPLOYEE NUMBER]]="","",MATCH(T_EMPLOYEES[[#This Row],[DEPARTMENT]],L_DEPARTMENT,0))</f>
        <v>2</v>
      </c>
      <c r="AJ60">
        <f ca="1">IF(T_EMPLOYEES[[#This Row],[EMPLOYEE NUMBER]]="","",MATCH(T_EMPLOYEES[[#This Row],[JOB TYPE]],L_JOBTYPE,0))</f>
        <v>2</v>
      </c>
      <c r="AK60">
        <f ca="1">IF(T_EMPLOYEES[[#This Row],[EMPLOYEE NUMBER]]="","",MATCH(T_EMPLOYEES[[#This Row],[JOB CATEGORY]],L_JOBCATEGORY,0))</f>
        <v>17</v>
      </c>
      <c r="AL60">
        <f ca="1">IF(T_EMPLOYEES[[#This Row],[EMPLOYEE NUMBER]]="","",MATCH(T_EMPLOYEES[[#This Row],[JOB LEVEL]],L_JOBLEVEL,0))</f>
        <v>7</v>
      </c>
      <c r="AM60">
        <f ca="1">IF(T_EMPLOYEES[[#This Row],[EMPLOYEE NUMBER]]="","",MATCH(T_EMPLOYEES[[#This Row],[JOB TITLE]],L_JOBTITLE,0))</f>
        <v>17</v>
      </c>
      <c r="AN60">
        <f ca="1">IF(T_EMPLOYEES[[#This Row],[EMPLOYEE NUMBER]]="","",MATCH(T_EMPLOYEES[[#This Row],[MANAGER]],L_EMPLABELS,0))</f>
        <v>13</v>
      </c>
      <c r="AO60">
        <f ca="1">IF(T_EMPLOYEES[[#This Row],[EMPLOYEE NUMBER]]="","",IF(T_EMPLOYEES[[#This Row],[ERROR]]="",0,1))</f>
        <v>0</v>
      </c>
      <c r="AP6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1" spans="1:42">
      <c r="A61" t="s">
        <v>392</v>
      </c>
      <c r="B61" t="s">
        <v>393</v>
      </c>
      <c r="C61">
        <v>1032896</v>
      </c>
      <c r="D61" t="s">
        <v>394</v>
      </c>
      <c r="E61" s="26">
        <v>29885</v>
      </c>
      <c r="F61" s="26">
        <v>45082</v>
      </c>
      <c r="H61" t="s">
        <v>27</v>
      </c>
      <c r="I61" t="s">
        <v>54</v>
      </c>
      <c r="J61" t="s">
        <v>64</v>
      </c>
      <c r="K61" t="s">
        <v>30</v>
      </c>
      <c r="L61" s="27" t="s">
        <v>45</v>
      </c>
      <c r="M61" t="s">
        <v>46</v>
      </c>
      <c r="N61" t="s">
        <v>70</v>
      </c>
      <c r="O61" t="s">
        <v>96</v>
      </c>
      <c r="P61" t="s">
        <v>70</v>
      </c>
      <c r="Q61" t="s">
        <v>232</v>
      </c>
      <c r="S61" s="1">
        <v>320000</v>
      </c>
      <c r="T61" s="1">
        <f ca="1">ROUND(T_EMPLOYEES[[#This Row],[EMP_CTC1]]/12, 0)</f>
        <v>26667</v>
      </c>
      <c r="U61" s="1">
        <v>72000</v>
      </c>
      <c r="V61" s="1" t="s">
        <v>207</v>
      </c>
      <c r="W61" s="1" t="s">
        <v>207</v>
      </c>
      <c r="X6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Korivolla Umamahesh (1032896)</v>
      </c>
      <c r="Y61">
        <v>92000</v>
      </c>
      <c r="Z61" s="29">
        <f t="shared" ca="1" si="1"/>
        <v>77.5</v>
      </c>
      <c r="AA61">
        <f ca="1">IF(T_EMPLOYEES[[#This Row],[EMPLOYEE NUMBER]]="","",ROW(T_EMPLOYEES[[#This Row],[EMPLOYEE LABEL]])-ROW(T_EMPLOYEES[[#Headers],[EMPLOYEE LABEL]]))</f>
        <v>58</v>
      </c>
      <c r="AB61">
        <f ca="1">IF(T_EMPLOYEES[[#This Row],[EMPLOYEE NUMBER]]="","",IF(COUNTIF(T_EMPLOYEES[EMPLOYEE NUMBER],T_EMPLOYEES[[#This Row],[EMPLOYEE NUMBER]])&gt;1,1,0))</f>
        <v>0</v>
      </c>
      <c r="AC61">
        <f ca="1">IF(T_EMPLOYEES[[#This Row],[EMPLOYEE NUMBER]]="","",IF(AND(T_EMPLOYEES[[#This Row],[DATE OF BIRTH]]&gt;0,T_EMPLOYEES[[#This Row],[DATE OF BIRTH]]&lt;TODAY()),0,1))</f>
        <v>0</v>
      </c>
      <c r="AD61">
        <f ca="1">IF(T_EMPLOYEES[[#This Row],[EMPLOYEE NUMBER]]="","",IF(AND(T_EMPLOYEES[[#This Row],[START DATE]]&gt;0,T_EMPLOYEES[[#This Row],[START DATE]]&lt;TODAY()+60),0,1))</f>
        <v>0</v>
      </c>
      <c r="AE61">
        <f ca="1">IF(T_EMPLOYEES[[#This Row],[EMPLOYEE NUMBER]]="","",MATCH(T_EMPLOYEES[[#This Row],[GENDER]],L_GENDER,0))</f>
        <v>1</v>
      </c>
      <c r="AF61">
        <f ca="1">IF(T_EMPLOYEES[[#This Row],[EMPLOYEE NUMBER]]="","",MATCH(T_EMPLOYEES[[#This Row],[HIRE SOURCE]],L_HIRESOURCE,0))</f>
        <v>4</v>
      </c>
      <c r="AG61">
        <f ca="1">IF(T_EMPLOYEES[[#This Row],[EMPLOYEE NUMBER]]="","",MATCH(T_EMPLOYEES[[#This Row],[ETHNICITY]],L_ETHNICITY,0))</f>
        <v>3</v>
      </c>
      <c r="AH61">
        <f ca="1">IF(T_EMPLOYEES[[#This Row],[EMPLOYEE NUMBER]]="","",MATCH(T_EMPLOYEES[[#This Row],[LOCATION]],L_LOCATION,0))</f>
        <v>1</v>
      </c>
      <c r="AI61">
        <f ca="1">IF(T_EMPLOYEES[[#This Row],[EMPLOYEE NUMBER]]="","",MATCH(T_EMPLOYEES[[#This Row],[DEPARTMENT]],L_DEPARTMENT,0))</f>
        <v>2</v>
      </c>
      <c r="AJ61">
        <f ca="1">IF(T_EMPLOYEES[[#This Row],[EMPLOYEE NUMBER]]="","",MATCH(T_EMPLOYEES[[#This Row],[JOB TYPE]],L_JOBTYPE,0))</f>
        <v>2</v>
      </c>
      <c r="AK61">
        <f ca="1">IF(T_EMPLOYEES[[#This Row],[EMPLOYEE NUMBER]]="","",MATCH(T_EMPLOYEES[[#This Row],[JOB CATEGORY]],L_JOBCATEGORY,0))</f>
        <v>4</v>
      </c>
      <c r="AL61">
        <f ca="1">IF(T_EMPLOYEES[[#This Row],[EMPLOYEE NUMBER]]="","",MATCH(T_EMPLOYEES[[#This Row],[JOB LEVEL]],L_JOBLEVEL,0))</f>
        <v>7</v>
      </c>
      <c r="AM61">
        <f ca="1">IF(T_EMPLOYEES[[#This Row],[EMPLOYEE NUMBER]]="","",MATCH(T_EMPLOYEES[[#This Row],[JOB TITLE]],L_JOBTITLE,0))</f>
        <v>4</v>
      </c>
      <c r="AN61">
        <f ca="1">IF(T_EMPLOYEES[[#This Row],[EMPLOYEE NUMBER]]="","",MATCH(T_EMPLOYEES[[#This Row],[MANAGER]],L_EMPLABELS,0))</f>
        <v>19</v>
      </c>
      <c r="AO61">
        <f ca="1">IF(T_EMPLOYEES[[#This Row],[EMPLOYEE NUMBER]]="","",IF(T_EMPLOYEES[[#This Row],[ERROR]]="",0,1))</f>
        <v>0</v>
      </c>
      <c r="AP6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2" spans="1:42">
      <c r="A62" t="s">
        <v>395</v>
      </c>
      <c r="B62" t="s">
        <v>396</v>
      </c>
      <c r="C62">
        <v>1025126</v>
      </c>
      <c r="D62" t="s">
        <v>397</v>
      </c>
      <c r="E62" s="26">
        <v>29921</v>
      </c>
      <c r="F62" s="26">
        <v>44312</v>
      </c>
      <c r="H62" t="s">
        <v>27</v>
      </c>
      <c r="I62" t="s">
        <v>54</v>
      </c>
      <c r="J62" t="s">
        <v>64</v>
      </c>
      <c r="K62" t="s">
        <v>30</v>
      </c>
      <c r="L62" s="27" t="s">
        <v>45</v>
      </c>
      <c r="M62" t="s">
        <v>46</v>
      </c>
      <c r="N62" t="s">
        <v>47</v>
      </c>
      <c r="O62" t="s">
        <v>90</v>
      </c>
      <c r="P62" t="s">
        <v>47</v>
      </c>
      <c r="Q62" t="s">
        <v>236</v>
      </c>
      <c r="R62" s="27">
        <v>7</v>
      </c>
      <c r="S62" s="1">
        <v>320000</v>
      </c>
      <c r="T62" s="1">
        <f ca="1">ROUND(T_EMPLOYEES[[#This Row],[EMP_CTC1]]/12, 0)</f>
        <v>26667</v>
      </c>
      <c r="U62" s="1">
        <v>72000</v>
      </c>
      <c r="V62" s="1" t="s">
        <v>207</v>
      </c>
      <c r="W62" s="1" t="s">
        <v>207</v>
      </c>
      <c r="X6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Arnav  Chattopadhyay (1025126)</v>
      </c>
      <c r="Y62">
        <v>92000</v>
      </c>
      <c r="Z62" s="29">
        <f t="shared" ca="1" si="1"/>
        <v>77.5</v>
      </c>
      <c r="AA62">
        <f ca="1">IF(T_EMPLOYEES[[#This Row],[EMPLOYEE NUMBER]]="","",ROW(T_EMPLOYEES[[#This Row],[EMPLOYEE LABEL]])-ROW(T_EMPLOYEES[[#Headers],[EMPLOYEE LABEL]]))</f>
        <v>59</v>
      </c>
      <c r="AB62">
        <f ca="1">IF(T_EMPLOYEES[[#This Row],[EMPLOYEE NUMBER]]="","",IF(COUNTIF(T_EMPLOYEES[EMPLOYEE NUMBER],T_EMPLOYEES[[#This Row],[EMPLOYEE NUMBER]])&gt;1,1,0))</f>
        <v>0</v>
      </c>
      <c r="AC62">
        <f ca="1">IF(T_EMPLOYEES[[#This Row],[EMPLOYEE NUMBER]]="","",IF(AND(T_EMPLOYEES[[#This Row],[DATE OF BIRTH]]&gt;0,T_EMPLOYEES[[#This Row],[DATE OF BIRTH]]&lt;TODAY()),0,1))</f>
        <v>0</v>
      </c>
      <c r="AD62">
        <f ca="1">IF(T_EMPLOYEES[[#This Row],[EMPLOYEE NUMBER]]="","",IF(AND(T_EMPLOYEES[[#This Row],[START DATE]]&gt;0,T_EMPLOYEES[[#This Row],[START DATE]]&lt;TODAY()+60),0,1))</f>
        <v>0</v>
      </c>
      <c r="AE62">
        <f ca="1">IF(T_EMPLOYEES[[#This Row],[EMPLOYEE NUMBER]]="","",MATCH(T_EMPLOYEES[[#This Row],[GENDER]],L_GENDER,0))</f>
        <v>1</v>
      </c>
      <c r="AF62">
        <f ca="1">IF(T_EMPLOYEES[[#This Row],[EMPLOYEE NUMBER]]="","",MATCH(T_EMPLOYEES[[#This Row],[HIRE SOURCE]],L_HIRESOURCE,0))</f>
        <v>4</v>
      </c>
      <c r="AG62">
        <f ca="1">IF(T_EMPLOYEES[[#This Row],[EMPLOYEE NUMBER]]="","",MATCH(T_EMPLOYEES[[#This Row],[ETHNICITY]],L_ETHNICITY,0))</f>
        <v>3</v>
      </c>
      <c r="AH62">
        <f ca="1">IF(T_EMPLOYEES[[#This Row],[EMPLOYEE NUMBER]]="","",MATCH(T_EMPLOYEES[[#This Row],[LOCATION]],L_LOCATION,0))</f>
        <v>1</v>
      </c>
      <c r="AI62">
        <f ca="1">IF(T_EMPLOYEES[[#This Row],[EMPLOYEE NUMBER]]="","",MATCH(T_EMPLOYEES[[#This Row],[DEPARTMENT]],L_DEPARTMENT,0))</f>
        <v>2</v>
      </c>
      <c r="AJ62">
        <f ca="1">IF(T_EMPLOYEES[[#This Row],[EMPLOYEE NUMBER]]="","",MATCH(T_EMPLOYEES[[#This Row],[JOB TYPE]],L_JOBTYPE,0))</f>
        <v>2</v>
      </c>
      <c r="AK62">
        <f ca="1">IF(T_EMPLOYEES[[#This Row],[EMPLOYEE NUMBER]]="","",MATCH(T_EMPLOYEES[[#This Row],[JOB CATEGORY]],L_JOBCATEGORY,0))</f>
        <v>2</v>
      </c>
      <c r="AL62">
        <f ca="1">IF(T_EMPLOYEES[[#This Row],[EMPLOYEE NUMBER]]="","",MATCH(T_EMPLOYEES[[#This Row],[JOB LEVEL]],L_JOBLEVEL,0))</f>
        <v>6</v>
      </c>
      <c r="AM62">
        <f ca="1">IF(T_EMPLOYEES[[#This Row],[EMPLOYEE NUMBER]]="","",MATCH(T_EMPLOYEES[[#This Row],[JOB TITLE]],L_JOBTITLE,0))</f>
        <v>2</v>
      </c>
      <c r="AN62">
        <f ca="1">IF(T_EMPLOYEES[[#This Row],[EMPLOYEE NUMBER]]="","",MATCH(T_EMPLOYEES[[#This Row],[MANAGER]],L_EMPLABELS,0))</f>
        <v>60</v>
      </c>
      <c r="AO62">
        <f ca="1">IF(T_EMPLOYEES[[#This Row],[EMPLOYEE NUMBER]]="","",IF(T_EMPLOYEES[[#This Row],[ERROR]]="",0,1))</f>
        <v>0</v>
      </c>
      <c r="AP6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3" spans="1:42">
      <c r="A63" t="s">
        <v>398</v>
      </c>
      <c r="B63" t="s">
        <v>399</v>
      </c>
      <c r="C63">
        <v>1024996</v>
      </c>
      <c r="D63" t="s">
        <v>400</v>
      </c>
      <c r="E63" s="26">
        <v>30057</v>
      </c>
      <c r="F63" s="26">
        <v>44293</v>
      </c>
      <c r="H63" t="s">
        <v>27</v>
      </c>
      <c r="I63" t="s">
        <v>54</v>
      </c>
      <c r="J63" t="s">
        <v>64</v>
      </c>
      <c r="K63" t="s">
        <v>30</v>
      </c>
      <c r="L63" s="27" t="s">
        <v>45</v>
      </c>
      <c r="M63" t="s">
        <v>46</v>
      </c>
      <c r="N63" t="s">
        <v>59</v>
      </c>
      <c r="O63" t="s">
        <v>96</v>
      </c>
      <c r="P63" t="s">
        <v>59</v>
      </c>
      <c r="Q63" t="s">
        <v>280</v>
      </c>
      <c r="S63" s="1">
        <v>320000</v>
      </c>
      <c r="T63" s="1">
        <f ca="1">ROUND(T_EMPLOYEES[[#This Row],[EMP_CTC1]]/12, 0)</f>
        <v>26667</v>
      </c>
      <c r="U63" s="1">
        <v>72000</v>
      </c>
      <c r="V63" s="1" t="s">
        <v>207</v>
      </c>
      <c r="W63" s="1" t="s">
        <v>207</v>
      </c>
      <c r="X6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Syed Atif Ali Syed Arshad Taher Subzwari (1024996)</v>
      </c>
      <c r="Y63">
        <v>92000</v>
      </c>
      <c r="Z63" s="29">
        <f t="shared" ca="1" si="1"/>
        <v>77.5</v>
      </c>
      <c r="AA63">
        <f ca="1">IF(T_EMPLOYEES[[#This Row],[EMPLOYEE NUMBER]]="","",ROW(T_EMPLOYEES[[#This Row],[EMPLOYEE LABEL]])-ROW(T_EMPLOYEES[[#Headers],[EMPLOYEE LABEL]]))</f>
        <v>60</v>
      </c>
      <c r="AB63">
        <f ca="1">IF(T_EMPLOYEES[[#This Row],[EMPLOYEE NUMBER]]="","",IF(COUNTIF(T_EMPLOYEES[EMPLOYEE NUMBER],T_EMPLOYEES[[#This Row],[EMPLOYEE NUMBER]])&gt;1,1,0))</f>
        <v>0</v>
      </c>
      <c r="AC63">
        <f ca="1">IF(T_EMPLOYEES[[#This Row],[EMPLOYEE NUMBER]]="","",IF(AND(T_EMPLOYEES[[#This Row],[DATE OF BIRTH]]&gt;0,T_EMPLOYEES[[#This Row],[DATE OF BIRTH]]&lt;TODAY()),0,1))</f>
        <v>0</v>
      </c>
      <c r="AD63">
        <f ca="1">IF(T_EMPLOYEES[[#This Row],[EMPLOYEE NUMBER]]="","",IF(AND(T_EMPLOYEES[[#This Row],[START DATE]]&gt;0,T_EMPLOYEES[[#This Row],[START DATE]]&lt;TODAY()+60),0,1))</f>
        <v>0</v>
      </c>
      <c r="AE63">
        <f ca="1">IF(T_EMPLOYEES[[#This Row],[EMPLOYEE NUMBER]]="","",MATCH(T_EMPLOYEES[[#This Row],[GENDER]],L_GENDER,0))</f>
        <v>1</v>
      </c>
      <c r="AF63">
        <f ca="1">IF(T_EMPLOYEES[[#This Row],[EMPLOYEE NUMBER]]="","",MATCH(T_EMPLOYEES[[#This Row],[HIRE SOURCE]],L_HIRESOURCE,0))</f>
        <v>4</v>
      </c>
      <c r="AG63">
        <f ca="1">IF(T_EMPLOYEES[[#This Row],[EMPLOYEE NUMBER]]="","",MATCH(T_EMPLOYEES[[#This Row],[ETHNICITY]],L_ETHNICITY,0))</f>
        <v>3</v>
      </c>
      <c r="AH63">
        <f ca="1">IF(T_EMPLOYEES[[#This Row],[EMPLOYEE NUMBER]]="","",MATCH(T_EMPLOYEES[[#This Row],[LOCATION]],L_LOCATION,0))</f>
        <v>1</v>
      </c>
      <c r="AI63">
        <f ca="1">IF(T_EMPLOYEES[[#This Row],[EMPLOYEE NUMBER]]="","",MATCH(T_EMPLOYEES[[#This Row],[DEPARTMENT]],L_DEPARTMENT,0))</f>
        <v>2</v>
      </c>
      <c r="AJ63">
        <f ca="1">IF(T_EMPLOYEES[[#This Row],[EMPLOYEE NUMBER]]="","",MATCH(T_EMPLOYEES[[#This Row],[JOB TYPE]],L_JOBTYPE,0))</f>
        <v>2</v>
      </c>
      <c r="AK63">
        <f ca="1">IF(T_EMPLOYEES[[#This Row],[EMPLOYEE NUMBER]]="","",MATCH(T_EMPLOYEES[[#This Row],[JOB CATEGORY]],L_JOBCATEGORY,0))</f>
        <v>3</v>
      </c>
      <c r="AL63">
        <f ca="1">IF(T_EMPLOYEES[[#This Row],[EMPLOYEE NUMBER]]="","",MATCH(T_EMPLOYEES[[#This Row],[JOB LEVEL]],L_JOBLEVEL,0))</f>
        <v>7</v>
      </c>
      <c r="AM63">
        <f ca="1">IF(T_EMPLOYEES[[#This Row],[EMPLOYEE NUMBER]]="","",MATCH(T_EMPLOYEES[[#This Row],[JOB TITLE]],L_JOBTITLE,0))</f>
        <v>3</v>
      </c>
      <c r="AN63">
        <f ca="1">IF(T_EMPLOYEES[[#This Row],[EMPLOYEE NUMBER]]="","",MATCH(T_EMPLOYEES[[#This Row],[MANAGER]],L_EMPLABELS,0))</f>
        <v>86</v>
      </c>
      <c r="AO63">
        <f ca="1">IF(T_EMPLOYEES[[#This Row],[EMPLOYEE NUMBER]]="","",IF(T_EMPLOYEES[[#This Row],[ERROR]]="",0,1))</f>
        <v>0</v>
      </c>
      <c r="AP6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4" spans="1:42">
      <c r="A64" t="s">
        <v>401</v>
      </c>
      <c r="B64" t="s">
        <v>402</v>
      </c>
      <c r="C64">
        <v>1027666</v>
      </c>
      <c r="D64" t="s">
        <v>403</v>
      </c>
      <c r="E64" s="26">
        <v>30076</v>
      </c>
      <c r="F64" s="26">
        <v>44545</v>
      </c>
      <c r="H64" t="s">
        <v>27</v>
      </c>
      <c r="I64" t="s">
        <v>54</v>
      </c>
      <c r="J64" t="s">
        <v>64</v>
      </c>
      <c r="K64" t="s">
        <v>30</v>
      </c>
      <c r="L64" s="27" t="s">
        <v>45</v>
      </c>
      <c r="M64" t="s">
        <v>46</v>
      </c>
      <c r="N64" t="s">
        <v>111</v>
      </c>
      <c r="O64" t="s">
        <v>71</v>
      </c>
      <c r="P64" t="s">
        <v>111</v>
      </c>
      <c r="Q64" t="s">
        <v>315</v>
      </c>
      <c r="R64" s="27">
        <v>5</v>
      </c>
      <c r="S64" s="1">
        <v>320000</v>
      </c>
      <c r="T64" s="1">
        <f ca="1">ROUND(T_EMPLOYEES[[#This Row],[EMP_CTC1]]/12, 0)</f>
        <v>26667</v>
      </c>
      <c r="U64" s="1">
        <v>72000</v>
      </c>
      <c r="V64" s="1" t="s">
        <v>207</v>
      </c>
      <c r="W64" s="1" t="s">
        <v>207</v>
      </c>
      <c r="X6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Ashish Kumar Sharma (1027666)</v>
      </c>
      <c r="Y64">
        <v>92000</v>
      </c>
      <c r="Z64" s="29">
        <f t="shared" ca="1" si="1"/>
        <v>77.5</v>
      </c>
      <c r="AA64">
        <f ca="1">IF(T_EMPLOYEES[[#This Row],[EMPLOYEE NUMBER]]="","",ROW(T_EMPLOYEES[[#This Row],[EMPLOYEE LABEL]])-ROW(T_EMPLOYEES[[#Headers],[EMPLOYEE LABEL]]))</f>
        <v>61</v>
      </c>
      <c r="AB64">
        <f ca="1">IF(T_EMPLOYEES[[#This Row],[EMPLOYEE NUMBER]]="","",IF(COUNTIF(T_EMPLOYEES[EMPLOYEE NUMBER],T_EMPLOYEES[[#This Row],[EMPLOYEE NUMBER]])&gt;1,1,0))</f>
        <v>0</v>
      </c>
      <c r="AC64">
        <f ca="1">IF(T_EMPLOYEES[[#This Row],[EMPLOYEE NUMBER]]="","",IF(AND(T_EMPLOYEES[[#This Row],[DATE OF BIRTH]]&gt;0,T_EMPLOYEES[[#This Row],[DATE OF BIRTH]]&lt;TODAY()),0,1))</f>
        <v>0</v>
      </c>
      <c r="AD64">
        <f ca="1">IF(T_EMPLOYEES[[#This Row],[EMPLOYEE NUMBER]]="","",IF(AND(T_EMPLOYEES[[#This Row],[START DATE]]&gt;0,T_EMPLOYEES[[#This Row],[START DATE]]&lt;TODAY()+60),0,1))</f>
        <v>0</v>
      </c>
      <c r="AE64">
        <f ca="1">IF(T_EMPLOYEES[[#This Row],[EMPLOYEE NUMBER]]="","",MATCH(T_EMPLOYEES[[#This Row],[GENDER]],L_GENDER,0))</f>
        <v>1</v>
      </c>
      <c r="AF64">
        <f ca="1">IF(T_EMPLOYEES[[#This Row],[EMPLOYEE NUMBER]]="","",MATCH(T_EMPLOYEES[[#This Row],[HIRE SOURCE]],L_HIRESOURCE,0))</f>
        <v>4</v>
      </c>
      <c r="AG64">
        <f ca="1">IF(T_EMPLOYEES[[#This Row],[EMPLOYEE NUMBER]]="","",MATCH(T_EMPLOYEES[[#This Row],[ETHNICITY]],L_ETHNICITY,0))</f>
        <v>3</v>
      </c>
      <c r="AH64">
        <f ca="1">IF(T_EMPLOYEES[[#This Row],[EMPLOYEE NUMBER]]="","",MATCH(T_EMPLOYEES[[#This Row],[LOCATION]],L_LOCATION,0))</f>
        <v>1</v>
      </c>
      <c r="AI64">
        <f ca="1">IF(T_EMPLOYEES[[#This Row],[EMPLOYEE NUMBER]]="","",MATCH(T_EMPLOYEES[[#This Row],[DEPARTMENT]],L_DEPARTMENT,0))</f>
        <v>2</v>
      </c>
      <c r="AJ64">
        <f ca="1">IF(T_EMPLOYEES[[#This Row],[EMPLOYEE NUMBER]]="","",MATCH(T_EMPLOYEES[[#This Row],[JOB TYPE]],L_JOBTYPE,0))</f>
        <v>2</v>
      </c>
      <c r="AK64">
        <f ca="1">IF(T_EMPLOYEES[[#This Row],[EMPLOYEE NUMBER]]="","",MATCH(T_EMPLOYEES[[#This Row],[JOB CATEGORY]],L_JOBCATEGORY,0))</f>
        <v>10</v>
      </c>
      <c r="AL64">
        <f ca="1">IF(T_EMPLOYEES[[#This Row],[EMPLOYEE NUMBER]]="","",MATCH(T_EMPLOYEES[[#This Row],[JOB LEVEL]],L_JOBLEVEL,0))</f>
        <v>4</v>
      </c>
      <c r="AM64">
        <f ca="1">IF(T_EMPLOYEES[[#This Row],[EMPLOYEE NUMBER]]="","",MATCH(T_EMPLOYEES[[#This Row],[JOB TITLE]],L_JOBTITLE,0))</f>
        <v>10</v>
      </c>
      <c r="AN64">
        <f ca="1">IF(T_EMPLOYEES[[#This Row],[EMPLOYEE NUMBER]]="","",MATCH(T_EMPLOYEES[[#This Row],[MANAGER]],L_EMPLABELS,0))</f>
        <v>179</v>
      </c>
      <c r="AO64">
        <f ca="1">IF(T_EMPLOYEES[[#This Row],[EMPLOYEE NUMBER]]="","",IF(T_EMPLOYEES[[#This Row],[ERROR]]="",0,1))</f>
        <v>0</v>
      </c>
      <c r="AP6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5" spans="1:42">
      <c r="A65" t="s">
        <v>404</v>
      </c>
      <c r="B65" t="s">
        <v>405</v>
      </c>
      <c r="C65">
        <v>1025129</v>
      </c>
      <c r="D65" t="s">
        <v>406</v>
      </c>
      <c r="E65" s="26">
        <v>30107</v>
      </c>
      <c r="F65" s="26">
        <v>44312</v>
      </c>
      <c r="H65" t="s">
        <v>27</v>
      </c>
      <c r="I65" t="s">
        <v>54</v>
      </c>
      <c r="J65" t="s">
        <v>64</v>
      </c>
      <c r="K65" t="s">
        <v>30</v>
      </c>
      <c r="L65" s="27" t="s">
        <v>45</v>
      </c>
      <c r="M65" t="s">
        <v>46</v>
      </c>
      <c r="N65" t="s">
        <v>70</v>
      </c>
      <c r="O65" t="s">
        <v>96</v>
      </c>
      <c r="P65" t="s">
        <v>70</v>
      </c>
      <c r="Q65" t="s">
        <v>232</v>
      </c>
      <c r="S65" s="1">
        <v>320000</v>
      </c>
      <c r="T65" s="1">
        <f ca="1">ROUND(T_EMPLOYEES[[#This Row],[EMP_CTC1]]/12, 0)</f>
        <v>26667</v>
      </c>
      <c r="U65" s="1">
        <v>72000</v>
      </c>
      <c r="V65" s="1" t="s">
        <v>207</v>
      </c>
      <c r="W65" s="1" t="s">
        <v>207</v>
      </c>
      <c r="X6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Santhosh B K (1025129)</v>
      </c>
      <c r="Y65">
        <v>92000</v>
      </c>
      <c r="Z65" s="29">
        <f t="shared" ca="1" si="1"/>
        <v>77.5</v>
      </c>
      <c r="AA65">
        <f ca="1">IF(T_EMPLOYEES[[#This Row],[EMPLOYEE NUMBER]]="","",ROW(T_EMPLOYEES[[#This Row],[EMPLOYEE LABEL]])-ROW(T_EMPLOYEES[[#Headers],[EMPLOYEE LABEL]]))</f>
        <v>62</v>
      </c>
      <c r="AB65">
        <f ca="1">IF(T_EMPLOYEES[[#This Row],[EMPLOYEE NUMBER]]="","",IF(COUNTIF(T_EMPLOYEES[EMPLOYEE NUMBER],T_EMPLOYEES[[#This Row],[EMPLOYEE NUMBER]])&gt;1,1,0))</f>
        <v>0</v>
      </c>
      <c r="AC65">
        <f ca="1">IF(T_EMPLOYEES[[#This Row],[EMPLOYEE NUMBER]]="","",IF(AND(T_EMPLOYEES[[#This Row],[DATE OF BIRTH]]&gt;0,T_EMPLOYEES[[#This Row],[DATE OF BIRTH]]&lt;TODAY()),0,1))</f>
        <v>0</v>
      </c>
      <c r="AD65">
        <f ca="1">IF(T_EMPLOYEES[[#This Row],[EMPLOYEE NUMBER]]="","",IF(AND(T_EMPLOYEES[[#This Row],[START DATE]]&gt;0,T_EMPLOYEES[[#This Row],[START DATE]]&lt;TODAY()+60),0,1))</f>
        <v>0</v>
      </c>
      <c r="AE65">
        <f ca="1">IF(T_EMPLOYEES[[#This Row],[EMPLOYEE NUMBER]]="","",MATCH(T_EMPLOYEES[[#This Row],[GENDER]],L_GENDER,0))</f>
        <v>1</v>
      </c>
      <c r="AF65">
        <f ca="1">IF(T_EMPLOYEES[[#This Row],[EMPLOYEE NUMBER]]="","",MATCH(T_EMPLOYEES[[#This Row],[HIRE SOURCE]],L_HIRESOURCE,0))</f>
        <v>4</v>
      </c>
      <c r="AG65">
        <f ca="1">IF(T_EMPLOYEES[[#This Row],[EMPLOYEE NUMBER]]="","",MATCH(T_EMPLOYEES[[#This Row],[ETHNICITY]],L_ETHNICITY,0))</f>
        <v>3</v>
      </c>
      <c r="AH65">
        <f ca="1">IF(T_EMPLOYEES[[#This Row],[EMPLOYEE NUMBER]]="","",MATCH(T_EMPLOYEES[[#This Row],[LOCATION]],L_LOCATION,0))</f>
        <v>1</v>
      </c>
      <c r="AI65">
        <f ca="1">IF(T_EMPLOYEES[[#This Row],[EMPLOYEE NUMBER]]="","",MATCH(T_EMPLOYEES[[#This Row],[DEPARTMENT]],L_DEPARTMENT,0))</f>
        <v>2</v>
      </c>
      <c r="AJ65">
        <f ca="1">IF(T_EMPLOYEES[[#This Row],[EMPLOYEE NUMBER]]="","",MATCH(T_EMPLOYEES[[#This Row],[JOB TYPE]],L_JOBTYPE,0))</f>
        <v>2</v>
      </c>
      <c r="AK65">
        <f ca="1">IF(T_EMPLOYEES[[#This Row],[EMPLOYEE NUMBER]]="","",MATCH(T_EMPLOYEES[[#This Row],[JOB CATEGORY]],L_JOBCATEGORY,0))</f>
        <v>4</v>
      </c>
      <c r="AL65">
        <f ca="1">IF(T_EMPLOYEES[[#This Row],[EMPLOYEE NUMBER]]="","",MATCH(T_EMPLOYEES[[#This Row],[JOB LEVEL]],L_JOBLEVEL,0))</f>
        <v>7</v>
      </c>
      <c r="AM65">
        <f ca="1">IF(T_EMPLOYEES[[#This Row],[EMPLOYEE NUMBER]]="","",MATCH(T_EMPLOYEES[[#This Row],[JOB TITLE]],L_JOBTITLE,0))</f>
        <v>4</v>
      </c>
      <c r="AN65">
        <f ca="1">IF(T_EMPLOYEES[[#This Row],[EMPLOYEE NUMBER]]="","",MATCH(T_EMPLOYEES[[#This Row],[MANAGER]],L_EMPLABELS,0))</f>
        <v>19</v>
      </c>
      <c r="AO65">
        <f ca="1">IF(T_EMPLOYEES[[#This Row],[EMPLOYEE NUMBER]]="","",IF(T_EMPLOYEES[[#This Row],[ERROR]]="",0,1))</f>
        <v>0</v>
      </c>
      <c r="AP6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6" spans="1:42">
      <c r="A66" t="s">
        <v>318</v>
      </c>
      <c r="B66" t="s">
        <v>407</v>
      </c>
      <c r="C66">
        <v>1025395</v>
      </c>
      <c r="D66" t="s">
        <v>408</v>
      </c>
      <c r="E66" s="26">
        <v>30123</v>
      </c>
      <c r="F66" s="26">
        <v>44347</v>
      </c>
      <c r="H66" t="s">
        <v>27</v>
      </c>
      <c r="I66" t="s">
        <v>54</v>
      </c>
      <c r="J66" t="s">
        <v>64</v>
      </c>
      <c r="K66" t="s">
        <v>43</v>
      </c>
      <c r="L66" s="27" t="s">
        <v>45</v>
      </c>
      <c r="M66" t="s">
        <v>46</v>
      </c>
      <c r="N66" t="s">
        <v>81</v>
      </c>
      <c r="O66" t="s">
        <v>82</v>
      </c>
      <c r="P66" t="s">
        <v>81</v>
      </c>
      <c r="Q66" t="s">
        <v>272</v>
      </c>
      <c r="R66" s="27">
        <v>7</v>
      </c>
      <c r="S66" s="1">
        <v>320000</v>
      </c>
      <c r="T66" s="1">
        <f ca="1">ROUND(T_EMPLOYEES[[#This Row],[EMP_CTC1]]/12, 0)</f>
        <v>26667</v>
      </c>
      <c r="U66" s="1">
        <v>72000</v>
      </c>
      <c r="V66" s="1" t="s">
        <v>207</v>
      </c>
      <c r="W66" s="1" t="s">
        <v>207</v>
      </c>
      <c r="X6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Elango  S (1025395)</v>
      </c>
      <c r="Y66">
        <v>92000</v>
      </c>
      <c r="Z66" s="29">
        <f t="shared" ca="1" si="1"/>
        <v>77.5</v>
      </c>
      <c r="AA66">
        <f ca="1">IF(T_EMPLOYEES[[#This Row],[EMPLOYEE NUMBER]]="","",ROW(T_EMPLOYEES[[#This Row],[EMPLOYEE LABEL]])-ROW(T_EMPLOYEES[[#Headers],[EMPLOYEE LABEL]]))</f>
        <v>63</v>
      </c>
      <c r="AB66">
        <f ca="1">IF(T_EMPLOYEES[[#This Row],[EMPLOYEE NUMBER]]="","",IF(COUNTIF(T_EMPLOYEES[EMPLOYEE NUMBER],T_EMPLOYEES[[#This Row],[EMPLOYEE NUMBER]])&gt;1,1,0))</f>
        <v>0</v>
      </c>
      <c r="AC66">
        <f ca="1">IF(T_EMPLOYEES[[#This Row],[EMPLOYEE NUMBER]]="","",IF(AND(T_EMPLOYEES[[#This Row],[DATE OF BIRTH]]&gt;0,T_EMPLOYEES[[#This Row],[DATE OF BIRTH]]&lt;TODAY()),0,1))</f>
        <v>0</v>
      </c>
      <c r="AD66">
        <f ca="1">IF(T_EMPLOYEES[[#This Row],[EMPLOYEE NUMBER]]="","",IF(AND(T_EMPLOYEES[[#This Row],[START DATE]]&gt;0,T_EMPLOYEES[[#This Row],[START DATE]]&lt;TODAY()+60),0,1))</f>
        <v>0</v>
      </c>
      <c r="AE66">
        <f ca="1">IF(T_EMPLOYEES[[#This Row],[EMPLOYEE NUMBER]]="","",MATCH(T_EMPLOYEES[[#This Row],[GENDER]],L_GENDER,0))</f>
        <v>1</v>
      </c>
      <c r="AF66">
        <f ca="1">IF(T_EMPLOYEES[[#This Row],[EMPLOYEE NUMBER]]="","",MATCH(T_EMPLOYEES[[#This Row],[HIRE SOURCE]],L_HIRESOURCE,0))</f>
        <v>4</v>
      </c>
      <c r="AG66">
        <f ca="1">IF(T_EMPLOYEES[[#This Row],[EMPLOYEE NUMBER]]="","",MATCH(T_EMPLOYEES[[#This Row],[ETHNICITY]],L_ETHNICITY,0))</f>
        <v>3</v>
      </c>
      <c r="AH66">
        <f ca="1">IF(T_EMPLOYEES[[#This Row],[EMPLOYEE NUMBER]]="","",MATCH(T_EMPLOYEES[[#This Row],[LOCATION]],L_LOCATION,0))</f>
        <v>2</v>
      </c>
      <c r="AI66">
        <f ca="1">IF(T_EMPLOYEES[[#This Row],[EMPLOYEE NUMBER]]="","",MATCH(T_EMPLOYEES[[#This Row],[DEPARTMENT]],L_DEPARTMENT,0))</f>
        <v>2</v>
      </c>
      <c r="AJ66">
        <f ca="1">IF(T_EMPLOYEES[[#This Row],[EMPLOYEE NUMBER]]="","",MATCH(T_EMPLOYEES[[#This Row],[JOB TYPE]],L_JOBTYPE,0))</f>
        <v>2</v>
      </c>
      <c r="AK66">
        <f ca="1">IF(T_EMPLOYEES[[#This Row],[EMPLOYEE NUMBER]]="","",MATCH(T_EMPLOYEES[[#This Row],[JOB CATEGORY]],L_JOBCATEGORY,0))</f>
        <v>5</v>
      </c>
      <c r="AL66">
        <f ca="1">IF(T_EMPLOYEES[[#This Row],[EMPLOYEE NUMBER]]="","",MATCH(T_EMPLOYEES[[#This Row],[JOB LEVEL]],L_JOBLEVEL,0))</f>
        <v>5</v>
      </c>
      <c r="AM66">
        <f ca="1">IF(T_EMPLOYEES[[#This Row],[EMPLOYEE NUMBER]]="","",MATCH(T_EMPLOYEES[[#This Row],[JOB TITLE]],L_JOBTITLE,0))</f>
        <v>5</v>
      </c>
      <c r="AN66">
        <f ca="1">IF(T_EMPLOYEES[[#This Row],[EMPLOYEE NUMBER]]="","",MATCH(T_EMPLOYEES[[#This Row],[MANAGER]],L_EMPLABELS,0))</f>
        <v>62</v>
      </c>
      <c r="AO66">
        <f ca="1">IF(T_EMPLOYEES[[#This Row],[EMPLOYEE NUMBER]]="","",IF(T_EMPLOYEES[[#This Row],[ERROR]]="",0,1))</f>
        <v>0</v>
      </c>
      <c r="AP6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7" spans="1:42">
      <c r="A67" t="s">
        <v>409</v>
      </c>
      <c r="B67" t="s">
        <v>410</v>
      </c>
      <c r="C67">
        <v>1031856</v>
      </c>
      <c r="D67" t="s">
        <v>411</v>
      </c>
      <c r="E67" s="26">
        <v>30141</v>
      </c>
      <c r="F67" s="26">
        <v>44914</v>
      </c>
      <c r="H67" t="s">
        <v>27</v>
      </c>
      <c r="I67" t="s">
        <v>54</v>
      </c>
      <c r="J67" t="s">
        <v>64</v>
      </c>
      <c r="K67" t="s">
        <v>30</v>
      </c>
      <c r="L67" s="27" t="s">
        <v>45</v>
      </c>
      <c r="M67" t="s">
        <v>46</v>
      </c>
      <c r="N67" t="s">
        <v>138</v>
      </c>
      <c r="O67" t="s">
        <v>106</v>
      </c>
      <c r="P67" t="s">
        <v>138</v>
      </c>
      <c r="Q67" t="s">
        <v>211</v>
      </c>
      <c r="R67">
        <v>12</v>
      </c>
      <c r="S67" s="1">
        <v>320000</v>
      </c>
      <c r="T67" s="1">
        <f ca="1">ROUND(T_EMPLOYEES[[#This Row],[EMP_CTC1]]/12, 0)</f>
        <v>26667</v>
      </c>
      <c r="U67" s="1">
        <v>72000</v>
      </c>
      <c r="V67" s="1" t="s">
        <v>207</v>
      </c>
      <c r="W67" s="1" t="s">
        <v>207</v>
      </c>
      <c r="X6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Srisha N (1031856)</v>
      </c>
      <c r="Y67">
        <v>92000</v>
      </c>
      <c r="Z67" s="29">
        <f t="shared" ca="1" si="1"/>
        <v>77.5</v>
      </c>
      <c r="AA67">
        <f ca="1">IF(T_EMPLOYEES[[#This Row],[EMPLOYEE NUMBER]]="","",ROW(T_EMPLOYEES[[#This Row],[EMPLOYEE LABEL]])-ROW(T_EMPLOYEES[[#Headers],[EMPLOYEE LABEL]]))</f>
        <v>64</v>
      </c>
      <c r="AB67">
        <f ca="1">IF(T_EMPLOYEES[[#This Row],[EMPLOYEE NUMBER]]="","",IF(COUNTIF(T_EMPLOYEES[EMPLOYEE NUMBER],T_EMPLOYEES[[#This Row],[EMPLOYEE NUMBER]])&gt;1,1,0))</f>
        <v>0</v>
      </c>
      <c r="AC67">
        <f ca="1">IF(T_EMPLOYEES[[#This Row],[EMPLOYEE NUMBER]]="","",IF(AND(T_EMPLOYEES[[#This Row],[DATE OF BIRTH]]&gt;0,T_EMPLOYEES[[#This Row],[DATE OF BIRTH]]&lt;TODAY()),0,1))</f>
        <v>0</v>
      </c>
      <c r="AD67">
        <f ca="1">IF(T_EMPLOYEES[[#This Row],[EMPLOYEE NUMBER]]="","",IF(AND(T_EMPLOYEES[[#This Row],[START DATE]]&gt;0,T_EMPLOYEES[[#This Row],[START DATE]]&lt;TODAY()+60),0,1))</f>
        <v>0</v>
      </c>
      <c r="AE67">
        <f ca="1">IF(T_EMPLOYEES[[#This Row],[EMPLOYEE NUMBER]]="","",MATCH(T_EMPLOYEES[[#This Row],[GENDER]],L_GENDER,0))</f>
        <v>1</v>
      </c>
      <c r="AF67">
        <f ca="1">IF(T_EMPLOYEES[[#This Row],[EMPLOYEE NUMBER]]="","",MATCH(T_EMPLOYEES[[#This Row],[HIRE SOURCE]],L_HIRESOURCE,0))</f>
        <v>4</v>
      </c>
      <c r="AG67">
        <f ca="1">IF(T_EMPLOYEES[[#This Row],[EMPLOYEE NUMBER]]="","",MATCH(T_EMPLOYEES[[#This Row],[ETHNICITY]],L_ETHNICITY,0))</f>
        <v>3</v>
      </c>
      <c r="AH67">
        <f ca="1">IF(T_EMPLOYEES[[#This Row],[EMPLOYEE NUMBER]]="","",MATCH(T_EMPLOYEES[[#This Row],[LOCATION]],L_LOCATION,0))</f>
        <v>1</v>
      </c>
      <c r="AI67">
        <f ca="1">IF(T_EMPLOYEES[[#This Row],[EMPLOYEE NUMBER]]="","",MATCH(T_EMPLOYEES[[#This Row],[DEPARTMENT]],L_DEPARTMENT,0))</f>
        <v>2</v>
      </c>
      <c r="AJ67">
        <f ca="1">IF(T_EMPLOYEES[[#This Row],[EMPLOYEE NUMBER]]="","",MATCH(T_EMPLOYEES[[#This Row],[JOB TYPE]],L_JOBTYPE,0))</f>
        <v>2</v>
      </c>
      <c r="AK67">
        <f ca="1">IF(T_EMPLOYEES[[#This Row],[EMPLOYEE NUMBER]]="","",MATCH(T_EMPLOYEES[[#This Row],[JOB CATEGORY]],L_JOBCATEGORY,0))</f>
        <v>19</v>
      </c>
      <c r="AL67">
        <f ca="1">IF(T_EMPLOYEES[[#This Row],[EMPLOYEE NUMBER]]="","",MATCH(T_EMPLOYEES[[#This Row],[JOB LEVEL]],L_JOBLEVEL,0))</f>
        <v>9</v>
      </c>
      <c r="AM67">
        <f ca="1">IF(T_EMPLOYEES[[#This Row],[EMPLOYEE NUMBER]]="","",MATCH(T_EMPLOYEES[[#This Row],[JOB TITLE]],L_JOBTITLE,0))</f>
        <v>19</v>
      </c>
      <c r="AN67">
        <f ca="1">IF(T_EMPLOYEES[[#This Row],[EMPLOYEE NUMBER]]="","",MATCH(T_EMPLOYEES[[#This Row],[MANAGER]],L_EMPLABELS,0))</f>
        <v>49</v>
      </c>
      <c r="AO67">
        <f ca="1">IF(T_EMPLOYEES[[#This Row],[EMPLOYEE NUMBER]]="","",IF(T_EMPLOYEES[[#This Row],[ERROR]]="",0,1))</f>
        <v>0</v>
      </c>
      <c r="AP6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8" spans="1:42">
      <c r="A68" t="s">
        <v>412</v>
      </c>
      <c r="C68">
        <v>1025421</v>
      </c>
      <c r="D68" t="s">
        <v>413</v>
      </c>
      <c r="E68" s="26">
        <v>30152</v>
      </c>
      <c r="F68" s="26">
        <v>44349</v>
      </c>
      <c r="H68" t="s">
        <v>27</v>
      </c>
      <c r="I68" t="s">
        <v>54</v>
      </c>
      <c r="J68" t="s">
        <v>64</v>
      </c>
      <c r="K68" t="s">
        <v>30</v>
      </c>
      <c r="L68" s="27" t="s">
        <v>45</v>
      </c>
      <c r="M68" t="s">
        <v>46</v>
      </c>
      <c r="N68" t="s">
        <v>47</v>
      </c>
      <c r="O68" t="s">
        <v>90</v>
      </c>
      <c r="P68" t="s">
        <v>47</v>
      </c>
      <c r="Q68" t="s">
        <v>215</v>
      </c>
      <c r="R68" s="27">
        <v>7</v>
      </c>
      <c r="S68" s="1">
        <v>320000</v>
      </c>
      <c r="T68" s="1">
        <f ca="1">ROUND(T_EMPLOYEES[[#This Row],[EMP_CTC1]]/12, 0)</f>
        <v>26667</v>
      </c>
      <c r="U68" s="1">
        <v>72000</v>
      </c>
      <c r="V68" s="1" t="s">
        <v>207</v>
      </c>
      <c r="W68" s="1" t="s">
        <v>207</v>
      </c>
      <c r="X6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Soumyakeshava  (1025421)</v>
      </c>
      <c r="Y68">
        <v>92000</v>
      </c>
      <c r="Z68" s="29">
        <f t="shared" ca="1" si="1"/>
        <v>77.5</v>
      </c>
      <c r="AA68">
        <f ca="1">IF(T_EMPLOYEES[[#This Row],[EMPLOYEE NUMBER]]="","",ROW(T_EMPLOYEES[[#This Row],[EMPLOYEE LABEL]])-ROW(T_EMPLOYEES[[#Headers],[EMPLOYEE LABEL]]))</f>
        <v>65</v>
      </c>
      <c r="AB68">
        <f ca="1">IF(T_EMPLOYEES[[#This Row],[EMPLOYEE NUMBER]]="","",IF(COUNTIF(T_EMPLOYEES[EMPLOYEE NUMBER],T_EMPLOYEES[[#This Row],[EMPLOYEE NUMBER]])&gt;1,1,0))</f>
        <v>0</v>
      </c>
      <c r="AC68">
        <f ca="1">IF(T_EMPLOYEES[[#This Row],[EMPLOYEE NUMBER]]="","",IF(AND(T_EMPLOYEES[[#This Row],[DATE OF BIRTH]]&gt;0,T_EMPLOYEES[[#This Row],[DATE OF BIRTH]]&lt;TODAY()),0,1))</f>
        <v>0</v>
      </c>
      <c r="AD68">
        <f ca="1">IF(T_EMPLOYEES[[#This Row],[EMPLOYEE NUMBER]]="","",IF(AND(T_EMPLOYEES[[#This Row],[START DATE]]&gt;0,T_EMPLOYEES[[#This Row],[START DATE]]&lt;TODAY()+60),0,1))</f>
        <v>0</v>
      </c>
      <c r="AE68">
        <f ca="1">IF(T_EMPLOYEES[[#This Row],[EMPLOYEE NUMBER]]="","",MATCH(T_EMPLOYEES[[#This Row],[GENDER]],L_GENDER,0))</f>
        <v>1</v>
      </c>
      <c r="AF68">
        <f ca="1">IF(T_EMPLOYEES[[#This Row],[EMPLOYEE NUMBER]]="","",MATCH(T_EMPLOYEES[[#This Row],[HIRE SOURCE]],L_HIRESOURCE,0))</f>
        <v>4</v>
      </c>
      <c r="AG68">
        <f ca="1">IF(T_EMPLOYEES[[#This Row],[EMPLOYEE NUMBER]]="","",MATCH(T_EMPLOYEES[[#This Row],[ETHNICITY]],L_ETHNICITY,0))</f>
        <v>3</v>
      </c>
      <c r="AH68">
        <f ca="1">IF(T_EMPLOYEES[[#This Row],[EMPLOYEE NUMBER]]="","",MATCH(T_EMPLOYEES[[#This Row],[LOCATION]],L_LOCATION,0))</f>
        <v>1</v>
      </c>
      <c r="AI68">
        <f ca="1">IF(T_EMPLOYEES[[#This Row],[EMPLOYEE NUMBER]]="","",MATCH(T_EMPLOYEES[[#This Row],[DEPARTMENT]],L_DEPARTMENT,0))</f>
        <v>2</v>
      </c>
      <c r="AJ68">
        <f ca="1">IF(T_EMPLOYEES[[#This Row],[EMPLOYEE NUMBER]]="","",MATCH(T_EMPLOYEES[[#This Row],[JOB TYPE]],L_JOBTYPE,0))</f>
        <v>2</v>
      </c>
      <c r="AK68">
        <f ca="1">IF(T_EMPLOYEES[[#This Row],[EMPLOYEE NUMBER]]="","",MATCH(T_EMPLOYEES[[#This Row],[JOB CATEGORY]],L_JOBCATEGORY,0))</f>
        <v>2</v>
      </c>
      <c r="AL68">
        <f ca="1">IF(T_EMPLOYEES[[#This Row],[EMPLOYEE NUMBER]]="","",MATCH(T_EMPLOYEES[[#This Row],[JOB LEVEL]],L_JOBLEVEL,0))</f>
        <v>6</v>
      </c>
      <c r="AM68">
        <f ca="1">IF(T_EMPLOYEES[[#This Row],[EMPLOYEE NUMBER]]="","",MATCH(T_EMPLOYEES[[#This Row],[JOB TITLE]],L_JOBTITLE,0))</f>
        <v>2</v>
      </c>
      <c r="AN68">
        <f ca="1">IF(T_EMPLOYEES[[#This Row],[EMPLOYEE NUMBER]]="","",MATCH(T_EMPLOYEES[[#This Row],[MANAGER]],L_EMPLABELS,0))</f>
        <v>13</v>
      </c>
      <c r="AO68">
        <f ca="1">IF(T_EMPLOYEES[[#This Row],[EMPLOYEE NUMBER]]="","",IF(T_EMPLOYEES[[#This Row],[ERROR]]="",0,1))</f>
        <v>0</v>
      </c>
      <c r="AP6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9" spans="1:42">
      <c r="A69" t="s">
        <v>414</v>
      </c>
      <c r="B69" t="s">
        <v>351</v>
      </c>
      <c r="C69">
        <v>1017141</v>
      </c>
      <c r="D69" t="s">
        <v>415</v>
      </c>
      <c r="E69" s="26">
        <v>30154</v>
      </c>
      <c r="F69" s="26">
        <v>42145</v>
      </c>
      <c r="H69" t="s">
        <v>40</v>
      </c>
      <c r="I69" t="s">
        <v>54</v>
      </c>
      <c r="J69" t="s">
        <v>64</v>
      </c>
      <c r="K69" t="s">
        <v>43</v>
      </c>
      <c r="L69" s="27" t="s">
        <v>45</v>
      </c>
      <c r="M69" t="s">
        <v>46</v>
      </c>
      <c r="N69" t="s">
        <v>119</v>
      </c>
      <c r="O69" t="s">
        <v>82</v>
      </c>
      <c r="P69" t="s">
        <v>119</v>
      </c>
      <c r="Q69" t="s">
        <v>246</v>
      </c>
      <c r="R69">
        <v>7</v>
      </c>
      <c r="S69" s="1">
        <v>320000</v>
      </c>
      <c r="T69" s="1">
        <f ca="1">ROUND(T_EMPLOYEES[[#This Row],[EMP_CTC1]]/12, 0)</f>
        <v>26667</v>
      </c>
      <c r="U69" s="1">
        <v>72000</v>
      </c>
      <c r="V69" s="1" t="s">
        <v>207</v>
      </c>
      <c r="W69" s="1" t="s">
        <v>207</v>
      </c>
      <c r="X6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Shashirekha  M (1017141)</v>
      </c>
      <c r="Y69">
        <v>92000</v>
      </c>
      <c r="Z69" s="29">
        <f t="shared" ca="1" si="1"/>
        <v>77.5</v>
      </c>
      <c r="AA69">
        <f ca="1">IF(T_EMPLOYEES[[#This Row],[EMPLOYEE NUMBER]]="","",ROW(T_EMPLOYEES[[#This Row],[EMPLOYEE LABEL]])-ROW(T_EMPLOYEES[[#Headers],[EMPLOYEE LABEL]]))</f>
        <v>66</v>
      </c>
      <c r="AB69">
        <f ca="1">IF(T_EMPLOYEES[[#This Row],[EMPLOYEE NUMBER]]="","",IF(COUNTIF(T_EMPLOYEES[EMPLOYEE NUMBER],T_EMPLOYEES[[#This Row],[EMPLOYEE NUMBER]])&gt;1,1,0))</f>
        <v>0</v>
      </c>
      <c r="AC69">
        <f ca="1">IF(T_EMPLOYEES[[#This Row],[EMPLOYEE NUMBER]]="","",IF(AND(T_EMPLOYEES[[#This Row],[DATE OF BIRTH]]&gt;0,T_EMPLOYEES[[#This Row],[DATE OF BIRTH]]&lt;TODAY()),0,1))</f>
        <v>0</v>
      </c>
      <c r="AD69">
        <f ca="1">IF(T_EMPLOYEES[[#This Row],[EMPLOYEE NUMBER]]="","",IF(AND(T_EMPLOYEES[[#This Row],[START DATE]]&gt;0,T_EMPLOYEES[[#This Row],[START DATE]]&lt;TODAY()+60),0,1))</f>
        <v>0</v>
      </c>
      <c r="AE69">
        <f ca="1">IF(T_EMPLOYEES[[#This Row],[EMPLOYEE NUMBER]]="","",MATCH(T_EMPLOYEES[[#This Row],[GENDER]],L_GENDER,0))</f>
        <v>2</v>
      </c>
      <c r="AF69">
        <f ca="1">IF(T_EMPLOYEES[[#This Row],[EMPLOYEE NUMBER]]="","",MATCH(T_EMPLOYEES[[#This Row],[HIRE SOURCE]],L_HIRESOURCE,0))</f>
        <v>4</v>
      </c>
      <c r="AG69">
        <f ca="1">IF(T_EMPLOYEES[[#This Row],[EMPLOYEE NUMBER]]="","",MATCH(T_EMPLOYEES[[#This Row],[ETHNICITY]],L_ETHNICITY,0))</f>
        <v>3</v>
      </c>
      <c r="AH69">
        <f ca="1">IF(T_EMPLOYEES[[#This Row],[EMPLOYEE NUMBER]]="","",MATCH(T_EMPLOYEES[[#This Row],[LOCATION]],L_LOCATION,0))</f>
        <v>2</v>
      </c>
      <c r="AI69">
        <f ca="1">IF(T_EMPLOYEES[[#This Row],[EMPLOYEE NUMBER]]="","",MATCH(T_EMPLOYEES[[#This Row],[DEPARTMENT]],L_DEPARTMENT,0))</f>
        <v>2</v>
      </c>
      <c r="AJ69">
        <f ca="1">IF(T_EMPLOYEES[[#This Row],[EMPLOYEE NUMBER]]="","",MATCH(T_EMPLOYEES[[#This Row],[JOB TYPE]],L_JOBTYPE,0))</f>
        <v>2</v>
      </c>
      <c r="AK69">
        <f ca="1">IF(T_EMPLOYEES[[#This Row],[EMPLOYEE NUMBER]]="","",MATCH(T_EMPLOYEES[[#This Row],[JOB CATEGORY]],L_JOBCATEGORY,0))</f>
        <v>12</v>
      </c>
      <c r="AL69">
        <f ca="1">IF(T_EMPLOYEES[[#This Row],[EMPLOYEE NUMBER]]="","",MATCH(T_EMPLOYEES[[#This Row],[JOB LEVEL]],L_JOBLEVEL,0))</f>
        <v>5</v>
      </c>
      <c r="AM69">
        <f ca="1">IF(T_EMPLOYEES[[#This Row],[EMPLOYEE NUMBER]]="","",MATCH(T_EMPLOYEES[[#This Row],[JOB TITLE]],L_JOBTITLE,0))</f>
        <v>12</v>
      </c>
      <c r="AN69">
        <f ca="1">IF(T_EMPLOYEES[[#This Row],[EMPLOYEE NUMBER]]="","",MATCH(T_EMPLOYEES[[#This Row],[MANAGER]],L_EMPLABELS,0))</f>
        <v>68</v>
      </c>
      <c r="AO69">
        <f ca="1">IF(T_EMPLOYEES[[#This Row],[EMPLOYEE NUMBER]]="","",IF(T_EMPLOYEES[[#This Row],[ERROR]]="",0,1))</f>
        <v>0</v>
      </c>
      <c r="AP6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0" spans="1:42">
      <c r="A70" t="s">
        <v>416</v>
      </c>
      <c r="B70" t="s">
        <v>51</v>
      </c>
      <c r="C70">
        <v>1027866</v>
      </c>
      <c r="D70" t="s">
        <v>417</v>
      </c>
      <c r="E70" s="26">
        <v>30175</v>
      </c>
      <c r="F70" s="26">
        <v>44564</v>
      </c>
      <c r="H70" t="s">
        <v>40</v>
      </c>
      <c r="I70" t="s">
        <v>54</v>
      </c>
      <c r="J70" t="s">
        <v>64</v>
      </c>
      <c r="K70" t="s">
        <v>30</v>
      </c>
      <c r="L70" s="27" t="s">
        <v>45</v>
      </c>
      <c r="M70" t="s">
        <v>46</v>
      </c>
      <c r="N70" t="s">
        <v>89</v>
      </c>
      <c r="O70" t="s">
        <v>60</v>
      </c>
      <c r="P70" t="s">
        <v>89</v>
      </c>
      <c r="Q70" t="s">
        <v>418</v>
      </c>
      <c r="R70" s="27">
        <v>3</v>
      </c>
      <c r="S70" s="1">
        <v>320000</v>
      </c>
      <c r="T70" s="1">
        <f ca="1">ROUND(T_EMPLOYEES[[#This Row],[EMP_CTC1]]/12, 0)</f>
        <v>26667</v>
      </c>
      <c r="U70" s="1">
        <v>72000</v>
      </c>
      <c r="V70" s="1" t="s">
        <v>207</v>
      </c>
      <c r="W70" s="1" t="s">
        <v>207</v>
      </c>
      <c r="X7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Sowjanya S (1027866)</v>
      </c>
      <c r="Y70">
        <v>92000</v>
      </c>
      <c r="Z70" s="29">
        <f t="shared" ref="Z70:Z133" ca="1" si="2">(S70 - U70)/S70 * 100</f>
        <v>77.5</v>
      </c>
      <c r="AA70">
        <f ca="1">IF(T_EMPLOYEES[[#This Row],[EMPLOYEE NUMBER]]="","",ROW(T_EMPLOYEES[[#This Row],[EMPLOYEE LABEL]])-ROW(T_EMPLOYEES[[#Headers],[EMPLOYEE LABEL]]))</f>
        <v>67</v>
      </c>
      <c r="AB70">
        <f ca="1">IF(T_EMPLOYEES[[#This Row],[EMPLOYEE NUMBER]]="","",IF(COUNTIF(T_EMPLOYEES[EMPLOYEE NUMBER],T_EMPLOYEES[[#This Row],[EMPLOYEE NUMBER]])&gt;1,1,0))</f>
        <v>0</v>
      </c>
      <c r="AC70">
        <f ca="1">IF(T_EMPLOYEES[[#This Row],[EMPLOYEE NUMBER]]="","",IF(AND(T_EMPLOYEES[[#This Row],[DATE OF BIRTH]]&gt;0,T_EMPLOYEES[[#This Row],[DATE OF BIRTH]]&lt;TODAY()),0,1))</f>
        <v>0</v>
      </c>
      <c r="AD70">
        <f ca="1">IF(T_EMPLOYEES[[#This Row],[EMPLOYEE NUMBER]]="","",IF(AND(T_EMPLOYEES[[#This Row],[START DATE]]&gt;0,T_EMPLOYEES[[#This Row],[START DATE]]&lt;TODAY()+60),0,1))</f>
        <v>0</v>
      </c>
      <c r="AE70">
        <f ca="1">IF(T_EMPLOYEES[[#This Row],[EMPLOYEE NUMBER]]="","",MATCH(T_EMPLOYEES[[#This Row],[GENDER]],L_GENDER,0))</f>
        <v>2</v>
      </c>
      <c r="AF70">
        <f ca="1">IF(T_EMPLOYEES[[#This Row],[EMPLOYEE NUMBER]]="","",MATCH(T_EMPLOYEES[[#This Row],[HIRE SOURCE]],L_HIRESOURCE,0))</f>
        <v>4</v>
      </c>
      <c r="AG70">
        <f ca="1">IF(T_EMPLOYEES[[#This Row],[EMPLOYEE NUMBER]]="","",MATCH(T_EMPLOYEES[[#This Row],[ETHNICITY]],L_ETHNICITY,0))</f>
        <v>3</v>
      </c>
      <c r="AH70">
        <f ca="1">IF(T_EMPLOYEES[[#This Row],[EMPLOYEE NUMBER]]="","",MATCH(T_EMPLOYEES[[#This Row],[LOCATION]],L_LOCATION,0))</f>
        <v>1</v>
      </c>
      <c r="AI70">
        <f ca="1">IF(T_EMPLOYEES[[#This Row],[EMPLOYEE NUMBER]]="","",MATCH(T_EMPLOYEES[[#This Row],[DEPARTMENT]],L_DEPARTMENT,0))</f>
        <v>2</v>
      </c>
      <c r="AJ70">
        <f ca="1">IF(T_EMPLOYEES[[#This Row],[EMPLOYEE NUMBER]]="","",MATCH(T_EMPLOYEES[[#This Row],[JOB TYPE]],L_JOBTYPE,0))</f>
        <v>2</v>
      </c>
      <c r="AK70">
        <f ca="1">IF(T_EMPLOYEES[[#This Row],[EMPLOYEE NUMBER]]="","",MATCH(T_EMPLOYEES[[#This Row],[JOB CATEGORY]],L_JOBCATEGORY,0))</f>
        <v>6</v>
      </c>
      <c r="AL70">
        <f ca="1">IF(T_EMPLOYEES[[#This Row],[EMPLOYEE NUMBER]]="","",MATCH(T_EMPLOYEES[[#This Row],[JOB LEVEL]],L_JOBLEVEL,0))</f>
        <v>3</v>
      </c>
      <c r="AM70">
        <f ca="1">IF(T_EMPLOYEES[[#This Row],[EMPLOYEE NUMBER]]="","",MATCH(T_EMPLOYEES[[#This Row],[JOB TITLE]],L_JOBTITLE,0))</f>
        <v>6</v>
      </c>
      <c r="AN70">
        <f ca="1">IF(T_EMPLOYEES[[#This Row],[EMPLOYEE NUMBER]]="","",MATCH(T_EMPLOYEES[[#This Row],[MANAGER]],L_EMPLABELS,0))</f>
        <v>120</v>
      </c>
      <c r="AO70">
        <f ca="1">IF(T_EMPLOYEES[[#This Row],[EMPLOYEE NUMBER]]="","",IF(T_EMPLOYEES[[#This Row],[ERROR]]="",0,1))</f>
        <v>0</v>
      </c>
      <c r="AP7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1" spans="1:42">
      <c r="A71" t="s">
        <v>419</v>
      </c>
      <c r="B71" t="s">
        <v>420</v>
      </c>
      <c r="C71">
        <v>1004641</v>
      </c>
      <c r="D71" t="s">
        <v>421</v>
      </c>
      <c r="E71" s="26">
        <v>30182</v>
      </c>
      <c r="F71" s="26">
        <v>39751</v>
      </c>
      <c r="H71" t="s">
        <v>27</v>
      </c>
      <c r="I71" t="s">
        <v>54</v>
      </c>
      <c r="J71" t="s">
        <v>64</v>
      </c>
      <c r="K71" t="s">
        <v>43</v>
      </c>
      <c r="L71" s="27" t="s">
        <v>45</v>
      </c>
      <c r="M71" t="s">
        <v>46</v>
      </c>
      <c r="N71" t="s">
        <v>59</v>
      </c>
      <c r="O71" t="s">
        <v>96</v>
      </c>
      <c r="P71" t="s">
        <v>59</v>
      </c>
      <c r="Q71" t="s">
        <v>215</v>
      </c>
      <c r="S71" s="1">
        <v>320000</v>
      </c>
      <c r="T71" s="1">
        <f ca="1">ROUND(T_EMPLOYEES[[#This Row],[EMP_CTC1]]/12, 0)</f>
        <v>26667</v>
      </c>
      <c r="U71" s="1">
        <v>72000</v>
      </c>
      <c r="V71" s="1" t="s">
        <v>207</v>
      </c>
      <c r="W71" s="1" t="s">
        <v>207</v>
      </c>
      <c r="X7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Talluri  Mangarao (1004641)</v>
      </c>
      <c r="Y71">
        <v>92000</v>
      </c>
      <c r="Z71" s="29">
        <f t="shared" ca="1" si="2"/>
        <v>77.5</v>
      </c>
      <c r="AA71">
        <f ca="1">IF(T_EMPLOYEES[[#This Row],[EMPLOYEE NUMBER]]="","",ROW(T_EMPLOYEES[[#This Row],[EMPLOYEE LABEL]])-ROW(T_EMPLOYEES[[#Headers],[EMPLOYEE LABEL]]))</f>
        <v>68</v>
      </c>
      <c r="AB71">
        <f ca="1">IF(T_EMPLOYEES[[#This Row],[EMPLOYEE NUMBER]]="","",IF(COUNTIF(T_EMPLOYEES[EMPLOYEE NUMBER],T_EMPLOYEES[[#This Row],[EMPLOYEE NUMBER]])&gt;1,1,0))</f>
        <v>0</v>
      </c>
      <c r="AC71">
        <f ca="1">IF(T_EMPLOYEES[[#This Row],[EMPLOYEE NUMBER]]="","",IF(AND(T_EMPLOYEES[[#This Row],[DATE OF BIRTH]]&gt;0,T_EMPLOYEES[[#This Row],[DATE OF BIRTH]]&lt;TODAY()),0,1))</f>
        <v>0</v>
      </c>
      <c r="AD71">
        <f ca="1">IF(T_EMPLOYEES[[#This Row],[EMPLOYEE NUMBER]]="","",IF(AND(T_EMPLOYEES[[#This Row],[START DATE]]&gt;0,T_EMPLOYEES[[#This Row],[START DATE]]&lt;TODAY()+60),0,1))</f>
        <v>0</v>
      </c>
      <c r="AE71">
        <f ca="1">IF(T_EMPLOYEES[[#This Row],[EMPLOYEE NUMBER]]="","",MATCH(T_EMPLOYEES[[#This Row],[GENDER]],L_GENDER,0))</f>
        <v>1</v>
      </c>
      <c r="AF71">
        <f ca="1">IF(T_EMPLOYEES[[#This Row],[EMPLOYEE NUMBER]]="","",MATCH(T_EMPLOYEES[[#This Row],[HIRE SOURCE]],L_HIRESOURCE,0))</f>
        <v>4</v>
      </c>
      <c r="AG71">
        <f ca="1">IF(T_EMPLOYEES[[#This Row],[EMPLOYEE NUMBER]]="","",MATCH(T_EMPLOYEES[[#This Row],[ETHNICITY]],L_ETHNICITY,0))</f>
        <v>3</v>
      </c>
      <c r="AH71">
        <f ca="1">IF(T_EMPLOYEES[[#This Row],[EMPLOYEE NUMBER]]="","",MATCH(T_EMPLOYEES[[#This Row],[LOCATION]],L_LOCATION,0))</f>
        <v>2</v>
      </c>
      <c r="AI71">
        <f ca="1">IF(T_EMPLOYEES[[#This Row],[EMPLOYEE NUMBER]]="","",MATCH(T_EMPLOYEES[[#This Row],[DEPARTMENT]],L_DEPARTMENT,0))</f>
        <v>2</v>
      </c>
      <c r="AJ71">
        <f ca="1">IF(T_EMPLOYEES[[#This Row],[EMPLOYEE NUMBER]]="","",MATCH(T_EMPLOYEES[[#This Row],[JOB TYPE]],L_JOBTYPE,0))</f>
        <v>2</v>
      </c>
      <c r="AK71">
        <f ca="1">IF(T_EMPLOYEES[[#This Row],[EMPLOYEE NUMBER]]="","",MATCH(T_EMPLOYEES[[#This Row],[JOB CATEGORY]],L_JOBCATEGORY,0))</f>
        <v>3</v>
      </c>
      <c r="AL71">
        <f ca="1">IF(T_EMPLOYEES[[#This Row],[EMPLOYEE NUMBER]]="","",MATCH(T_EMPLOYEES[[#This Row],[JOB LEVEL]],L_JOBLEVEL,0))</f>
        <v>7</v>
      </c>
      <c r="AM71">
        <f ca="1">IF(T_EMPLOYEES[[#This Row],[EMPLOYEE NUMBER]]="","",MATCH(T_EMPLOYEES[[#This Row],[JOB TITLE]],L_JOBTITLE,0))</f>
        <v>3</v>
      </c>
      <c r="AN71">
        <f ca="1">IF(T_EMPLOYEES[[#This Row],[EMPLOYEE NUMBER]]="","",MATCH(T_EMPLOYEES[[#This Row],[MANAGER]],L_EMPLABELS,0))</f>
        <v>13</v>
      </c>
      <c r="AO71">
        <f ca="1">IF(T_EMPLOYEES[[#This Row],[EMPLOYEE NUMBER]]="","",IF(T_EMPLOYEES[[#This Row],[ERROR]]="",0,1))</f>
        <v>0</v>
      </c>
      <c r="AP7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2" spans="1:42">
      <c r="A72" t="s">
        <v>285</v>
      </c>
      <c r="B72" t="s">
        <v>422</v>
      </c>
      <c r="C72">
        <v>1022868</v>
      </c>
      <c r="D72" t="s">
        <v>423</v>
      </c>
      <c r="E72" s="26">
        <v>30197</v>
      </c>
      <c r="F72" s="26">
        <v>43794</v>
      </c>
      <c r="G72" s="26">
        <v>43824</v>
      </c>
      <c r="H72" t="s">
        <v>27</v>
      </c>
      <c r="I72" t="s">
        <v>54</v>
      </c>
      <c r="J72" t="s">
        <v>64</v>
      </c>
      <c r="K72" t="s">
        <v>43</v>
      </c>
      <c r="L72" s="27" t="s">
        <v>45</v>
      </c>
      <c r="M72" t="s">
        <v>46</v>
      </c>
      <c r="N72" t="s">
        <v>70</v>
      </c>
      <c r="O72" t="s">
        <v>96</v>
      </c>
      <c r="P72" t="s">
        <v>70</v>
      </c>
      <c r="Q72" t="s">
        <v>246</v>
      </c>
      <c r="R72" s="27"/>
      <c r="S72" s="1">
        <v>320000</v>
      </c>
      <c r="T72" s="1">
        <f ca="1">ROUND(T_EMPLOYEES[[#This Row],[EMP_CTC1]]/12, 0)</f>
        <v>26667</v>
      </c>
      <c r="U72" s="1">
        <v>72000</v>
      </c>
      <c r="V72" s="1" t="s">
        <v>207</v>
      </c>
      <c r="W72" s="1" t="s">
        <v>207</v>
      </c>
      <c r="X7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Sreekanth  Pulumati (1022868)</v>
      </c>
      <c r="Y72">
        <v>92000</v>
      </c>
      <c r="Z72" s="29">
        <f t="shared" ca="1" si="2"/>
        <v>77.5</v>
      </c>
      <c r="AA72">
        <f ca="1">IF(T_EMPLOYEES[[#This Row],[EMPLOYEE NUMBER]]="","",ROW(T_EMPLOYEES[[#This Row],[EMPLOYEE LABEL]])-ROW(T_EMPLOYEES[[#Headers],[EMPLOYEE LABEL]]))</f>
        <v>69</v>
      </c>
      <c r="AB72">
        <f ca="1">IF(T_EMPLOYEES[[#This Row],[EMPLOYEE NUMBER]]="","",IF(COUNTIF(T_EMPLOYEES[EMPLOYEE NUMBER],T_EMPLOYEES[[#This Row],[EMPLOYEE NUMBER]])&gt;1,1,0))</f>
        <v>0</v>
      </c>
      <c r="AC72">
        <f ca="1">IF(T_EMPLOYEES[[#This Row],[EMPLOYEE NUMBER]]="","",IF(AND(T_EMPLOYEES[[#This Row],[DATE OF BIRTH]]&gt;0,T_EMPLOYEES[[#This Row],[DATE OF BIRTH]]&lt;TODAY()),0,1))</f>
        <v>0</v>
      </c>
      <c r="AD72">
        <f ca="1">IF(T_EMPLOYEES[[#This Row],[EMPLOYEE NUMBER]]="","",IF(AND(T_EMPLOYEES[[#This Row],[START DATE]]&gt;0,T_EMPLOYEES[[#This Row],[START DATE]]&lt;TODAY()+60),0,1))</f>
        <v>0</v>
      </c>
      <c r="AE72">
        <f ca="1">IF(T_EMPLOYEES[[#This Row],[EMPLOYEE NUMBER]]="","",MATCH(T_EMPLOYEES[[#This Row],[GENDER]],L_GENDER,0))</f>
        <v>1</v>
      </c>
      <c r="AF72">
        <f ca="1">IF(T_EMPLOYEES[[#This Row],[EMPLOYEE NUMBER]]="","",MATCH(T_EMPLOYEES[[#This Row],[HIRE SOURCE]],L_HIRESOURCE,0))</f>
        <v>4</v>
      </c>
      <c r="AG72">
        <f ca="1">IF(T_EMPLOYEES[[#This Row],[EMPLOYEE NUMBER]]="","",MATCH(T_EMPLOYEES[[#This Row],[ETHNICITY]],L_ETHNICITY,0))</f>
        <v>3</v>
      </c>
      <c r="AH72">
        <f ca="1">IF(T_EMPLOYEES[[#This Row],[EMPLOYEE NUMBER]]="","",MATCH(T_EMPLOYEES[[#This Row],[LOCATION]],L_LOCATION,0))</f>
        <v>2</v>
      </c>
      <c r="AI72">
        <f ca="1">IF(T_EMPLOYEES[[#This Row],[EMPLOYEE NUMBER]]="","",MATCH(T_EMPLOYEES[[#This Row],[DEPARTMENT]],L_DEPARTMENT,0))</f>
        <v>2</v>
      </c>
      <c r="AJ72">
        <f ca="1">IF(T_EMPLOYEES[[#This Row],[EMPLOYEE NUMBER]]="","",MATCH(T_EMPLOYEES[[#This Row],[JOB TYPE]],L_JOBTYPE,0))</f>
        <v>2</v>
      </c>
      <c r="AK72">
        <f ca="1">IF(T_EMPLOYEES[[#This Row],[EMPLOYEE NUMBER]]="","",MATCH(T_EMPLOYEES[[#This Row],[JOB CATEGORY]],L_JOBCATEGORY,0))</f>
        <v>4</v>
      </c>
      <c r="AL72">
        <f ca="1">IF(T_EMPLOYEES[[#This Row],[EMPLOYEE NUMBER]]="","",MATCH(T_EMPLOYEES[[#This Row],[JOB LEVEL]],L_JOBLEVEL,0))</f>
        <v>7</v>
      </c>
      <c r="AM72">
        <f ca="1">IF(T_EMPLOYEES[[#This Row],[EMPLOYEE NUMBER]]="","",MATCH(T_EMPLOYEES[[#This Row],[JOB TITLE]],L_JOBTITLE,0))</f>
        <v>4</v>
      </c>
      <c r="AN72">
        <f ca="1">IF(T_EMPLOYEES[[#This Row],[EMPLOYEE NUMBER]]="","",MATCH(T_EMPLOYEES[[#This Row],[MANAGER]],L_EMPLABELS,0))</f>
        <v>68</v>
      </c>
      <c r="AO72">
        <f ca="1">IF(T_EMPLOYEES[[#This Row],[EMPLOYEE NUMBER]]="","",IF(T_EMPLOYEES[[#This Row],[ERROR]]="",0,1))</f>
        <v>0</v>
      </c>
      <c r="AP7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3" spans="1:42">
      <c r="A73" t="s">
        <v>410</v>
      </c>
      <c r="B73" t="s">
        <v>424</v>
      </c>
      <c r="C73">
        <v>1032377</v>
      </c>
      <c r="D73" t="s">
        <v>425</v>
      </c>
      <c r="E73" s="26">
        <v>30201</v>
      </c>
      <c r="F73" s="26">
        <v>44995</v>
      </c>
      <c r="H73" t="s">
        <v>27</v>
      </c>
      <c r="I73" t="s">
        <v>54</v>
      </c>
      <c r="J73" t="s">
        <v>64</v>
      </c>
      <c r="K73" t="s">
        <v>43</v>
      </c>
      <c r="L73" s="27" t="s">
        <v>45</v>
      </c>
      <c r="M73" t="s">
        <v>46</v>
      </c>
      <c r="N73" t="s">
        <v>111</v>
      </c>
      <c r="O73" t="s">
        <v>71</v>
      </c>
      <c r="P73" t="s">
        <v>111</v>
      </c>
      <c r="Q73" t="s">
        <v>288</v>
      </c>
      <c r="R73">
        <v>5</v>
      </c>
      <c r="S73" s="1">
        <v>320000</v>
      </c>
      <c r="T73" s="1">
        <f ca="1">ROUND(T_EMPLOYEES[[#This Row],[EMP_CTC1]]/12, 0)</f>
        <v>26667</v>
      </c>
      <c r="U73" s="1">
        <v>72000</v>
      </c>
      <c r="V73" s="1" t="s">
        <v>207</v>
      </c>
      <c r="W73" s="1" t="s">
        <v>207</v>
      </c>
      <c r="X7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 P LakshmiNarayana (1032377)</v>
      </c>
      <c r="Y73">
        <v>92000</v>
      </c>
      <c r="Z73" s="29">
        <f t="shared" ca="1" si="2"/>
        <v>77.5</v>
      </c>
      <c r="AA73">
        <f ca="1">IF(T_EMPLOYEES[[#This Row],[EMPLOYEE NUMBER]]="","",ROW(T_EMPLOYEES[[#This Row],[EMPLOYEE LABEL]])-ROW(T_EMPLOYEES[[#Headers],[EMPLOYEE LABEL]]))</f>
        <v>70</v>
      </c>
      <c r="AB73">
        <f ca="1">IF(T_EMPLOYEES[[#This Row],[EMPLOYEE NUMBER]]="","",IF(COUNTIF(T_EMPLOYEES[EMPLOYEE NUMBER],T_EMPLOYEES[[#This Row],[EMPLOYEE NUMBER]])&gt;1,1,0))</f>
        <v>0</v>
      </c>
      <c r="AC73">
        <f ca="1">IF(T_EMPLOYEES[[#This Row],[EMPLOYEE NUMBER]]="","",IF(AND(T_EMPLOYEES[[#This Row],[DATE OF BIRTH]]&gt;0,T_EMPLOYEES[[#This Row],[DATE OF BIRTH]]&lt;TODAY()),0,1))</f>
        <v>0</v>
      </c>
      <c r="AD73">
        <f ca="1">IF(T_EMPLOYEES[[#This Row],[EMPLOYEE NUMBER]]="","",IF(AND(T_EMPLOYEES[[#This Row],[START DATE]]&gt;0,T_EMPLOYEES[[#This Row],[START DATE]]&lt;TODAY()+60),0,1))</f>
        <v>0</v>
      </c>
      <c r="AE73">
        <f ca="1">IF(T_EMPLOYEES[[#This Row],[EMPLOYEE NUMBER]]="","",MATCH(T_EMPLOYEES[[#This Row],[GENDER]],L_GENDER,0))</f>
        <v>1</v>
      </c>
      <c r="AF73">
        <f ca="1">IF(T_EMPLOYEES[[#This Row],[EMPLOYEE NUMBER]]="","",MATCH(T_EMPLOYEES[[#This Row],[HIRE SOURCE]],L_HIRESOURCE,0))</f>
        <v>4</v>
      </c>
      <c r="AG73">
        <f ca="1">IF(T_EMPLOYEES[[#This Row],[EMPLOYEE NUMBER]]="","",MATCH(T_EMPLOYEES[[#This Row],[ETHNICITY]],L_ETHNICITY,0))</f>
        <v>3</v>
      </c>
      <c r="AH73">
        <f ca="1">IF(T_EMPLOYEES[[#This Row],[EMPLOYEE NUMBER]]="","",MATCH(T_EMPLOYEES[[#This Row],[LOCATION]],L_LOCATION,0))</f>
        <v>2</v>
      </c>
      <c r="AI73">
        <f ca="1">IF(T_EMPLOYEES[[#This Row],[EMPLOYEE NUMBER]]="","",MATCH(T_EMPLOYEES[[#This Row],[DEPARTMENT]],L_DEPARTMENT,0))</f>
        <v>2</v>
      </c>
      <c r="AJ73">
        <f ca="1">IF(T_EMPLOYEES[[#This Row],[EMPLOYEE NUMBER]]="","",MATCH(T_EMPLOYEES[[#This Row],[JOB TYPE]],L_JOBTYPE,0))</f>
        <v>2</v>
      </c>
      <c r="AK73">
        <f ca="1">IF(T_EMPLOYEES[[#This Row],[EMPLOYEE NUMBER]]="","",MATCH(T_EMPLOYEES[[#This Row],[JOB CATEGORY]],L_JOBCATEGORY,0))</f>
        <v>10</v>
      </c>
      <c r="AL73">
        <f ca="1">IF(T_EMPLOYEES[[#This Row],[EMPLOYEE NUMBER]]="","",MATCH(T_EMPLOYEES[[#This Row],[JOB LEVEL]],L_JOBLEVEL,0))</f>
        <v>4</v>
      </c>
      <c r="AM73">
        <f ca="1">IF(T_EMPLOYEES[[#This Row],[EMPLOYEE NUMBER]]="","",MATCH(T_EMPLOYEES[[#This Row],[JOB TITLE]],L_JOBTITLE,0))</f>
        <v>10</v>
      </c>
      <c r="AN73">
        <f ca="1">IF(T_EMPLOYEES[[#This Row],[EMPLOYEE NUMBER]]="","",MATCH(T_EMPLOYEES[[#This Row],[MANAGER]],L_EMPLABELS,0))</f>
        <v>52</v>
      </c>
      <c r="AO73">
        <f ca="1">IF(T_EMPLOYEES[[#This Row],[EMPLOYEE NUMBER]]="","",IF(T_EMPLOYEES[[#This Row],[ERROR]]="",0,1))</f>
        <v>0</v>
      </c>
      <c r="AP7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4" spans="1:42">
      <c r="A74" t="s">
        <v>398</v>
      </c>
      <c r="B74" t="s">
        <v>426</v>
      </c>
      <c r="C74">
        <v>1024396</v>
      </c>
      <c r="D74" t="s">
        <v>427</v>
      </c>
      <c r="E74" s="26">
        <v>30233</v>
      </c>
      <c r="F74" s="26">
        <v>44223</v>
      </c>
      <c r="H74" t="s">
        <v>27</v>
      </c>
      <c r="I74" t="s">
        <v>54</v>
      </c>
      <c r="J74" t="s">
        <v>64</v>
      </c>
      <c r="K74" t="s">
        <v>43</v>
      </c>
      <c r="L74" s="27" t="s">
        <v>45</v>
      </c>
      <c r="M74" t="s">
        <v>46</v>
      </c>
      <c r="N74" t="s">
        <v>111</v>
      </c>
      <c r="O74" t="s">
        <v>71</v>
      </c>
      <c r="P74" t="s">
        <v>111</v>
      </c>
      <c r="Q74" t="s">
        <v>284</v>
      </c>
      <c r="R74" s="27">
        <v>5</v>
      </c>
      <c r="S74" s="1">
        <v>320000</v>
      </c>
      <c r="T74" s="1">
        <f ca="1">ROUND(T_EMPLOYEES[[#This Row],[EMP_CTC1]]/12, 0)</f>
        <v>26667</v>
      </c>
      <c r="U74" s="1">
        <v>72000</v>
      </c>
      <c r="V74" s="1" t="s">
        <v>207</v>
      </c>
      <c r="W74" s="1" t="s">
        <v>207</v>
      </c>
      <c r="X7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Syed Mahammed Shamshuddin (1024396)</v>
      </c>
      <c r="Y74">
        <v>92000</v>
      </c>
      <c r="Z74" s="29">
        <f t="shared" ca="1" si="2"/>
        <v>77.5</v>
      </c>
      <c r="AA74">
        <f ca="1">IF(T_EMPLOYEES[[#This Row],[EMPLOYEE NUMBER]]="","",ROW(T_EMPLOYEES[[#This Row],[EMPLOYEE LABEL]])-ROW(T_EMPLOYEES[[#Headers],[EMPLOYEE LABEL]]))</f>
        <v>71</v>
      </c>
      <c r="AB74">
        <f ca="1">IF(T_EMPLOYEES[[#This Row],[EMPLOYEE NUMBER]]="","",IF(COUNTIF(T_EMPLOYEES[EMPLOYEE NUMBER],T_EMPLOYEES[[#This Row],[EMPLOYEE NUMBER]])&gt;1,1,0))</f>
        <v>0</v>
      </c>
      <c r="AC74">
        <f ca="1">IF(T_EMPLOYEES[[#This Row],[EMPLOYEE NUMBER]]="","",IF(AND(T_EMPLOYEES[[#This Row],[DATE OF BIRTH]]&gt;0,T_EMPLOYEES[[#This Row],[DATE OF BIRTH]]&lt;TODAY()),0,1))</f>
        <v>0</v>
      </c>
      <c r="AD74">
        <f ca="1">IF(T_EMPLOYEES[[#This Row],[EMPLOYEE NUMBER]]="","",IF(AND(T_EMPLOYEES[[#This Row],[START DATE]]&gt;0,T_EMPLOYEES[[#This Row],[START DATE]]&lt;TODAY()+60),0,1))</f>
        <v>0</v>
      </c>
      <c r="AE74">
        <f ca="1">IF(T_EMPLOYEES[[#This Row],[EMPLOYEE NUMBER]]="","",MATCH(T_EMPLOYEES[[#This Row],[GENDER]],L_GENDER,0))</f>
        <v>1</v>
      </c>
      <c r="AF74">
        <f ca="1">IF(T_EMPLOYEES[[#This Row],[EMPLOYEE NUMBER]]="","",MATCH(T_EMPLOYEES[[#This Row],[HIRE SOURCE]],L_HIRESOURCE,0))</f>
        <v>4</v>
      </c>
      <c r="AG74">
        <f ca="1">IF(T_EMPLOYEES[[#This Row],[EMPLOYEE NUMBER]]="","",MATCH(T_EMPLOYEES[[#This Row],[ETHNICITY]],L_ETHNICITY,0))</f>
        <v>3</v>
      </c>
      <c r="AH74">
        <f ca="1">IF(T_EMPLOYEES[[#This Row],[EMPLOYEE NUMBER]]="","",MATCH(T_EMPLOYEES[[#This Row],[LOCATION]],L_LOCATION,0))</f>
        <v>2</v>
      </c>
      <c r="AI74">
        <f ca="1">IF(T_EMPLOYEES[[#This Row],[EMPLOYEE NUMBER]]="","",MATCH(T_EMPLOYEES[[#This Row],[DEPARTMENT]],L_DEPARTMENT,0))</f>
        <v>2</v>
      </c>
      <c r="AJ74">
        <f ca="1">IF(T_EMPLOYEES[[#This Row],[EMPLOYEE NUMBER]]="","",MATCH(T_EMPLOYEES[[#This Row],[JOB TYPE]],L_JOBTYPE,0))</f>
        <v>2</v>
      </c>
      <c r="AK74">
        <f ca="1">IF(T_EMPLOYEES[[#This Row],[EMPLOYEE NUMBER]]="","",MATCH(T_EMPLOYEES[[#This Row],[JOB CATEGORY]],L_JOBCATEGORY,0))</f>
        <v>10</v>
      </c>
      <c r="AL74">
        <f ca="1">IF(T_EMPLOYEES[[#This Row],[EMPLOYEE NUMBER]]="","",MATCH(T_EMPLOYEES[[#This Row],[JOB LEVEL]],L_JOBLEVEL,0))</f>
        <v>4</v>
      </c>
      <c r="AM74">
        <f ca="1">IF(T_EMPLOYEES[[#This Row],[EMPLOYEE NUMBER]]="","",MATCH(T_EMPLOYEES[[#This Row],[JOB TITLE]],L_JOBTITLE,0))</f>
        <v>10</v>
      </c>
      <c r="AN74">
        <f ca="1">IF(T_EMPLOYEES[[#This Row],[EMPLOYEE NUMBER]]="","",MATCH(T_EMPLOYEES[[#This Row],[MANAGER]],L_EMPLABELS,0))</f>
        <v>96</v>
      </c>
      <c r="AO74">
        <f ca="1">IF(T_EMPLOYEES[[#This Row],[EMPLOYEE NUMBER]]="","",IF(T_EMPLOYEES[[#This Row],[ERROR]]="",0,1))</f>
        <v>0</v>
      </c>
      <c r="AP7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5" spans="1:42">
      <c r="A75" t="s">
        <v>428</v>
      </c>
      <c r="B75" t="s">
        <v>429</v>
      </c>
      <c r="C75">
        <v>1027391</v>
      </c>
      <c r="D75" t="s">
        <v>430</v>
      </c>
      <c r="E75" s="26">
        <v>30274</v>
      </c>
      <c r="F75" s="26">
        <v>44529</v>
      </c>
      <c r="H75" t="s">
        <v>40</v>
      </c>
      <c r="I75" t="s">
        <v>54</v>
      </c>
      <c r="J75" t="s">
        <v>64</v>
      </c>
      <c r="K75" t="s">
        <v>43</v>
      </c>
      <c r="L75" s="27" t="s">
        <v>45</v>
      </c>
      <c r="M75" t="s">
        <v>46</v>
      </c>
      <c r="N75" t="s">
        <v>111</v>
      </c>
      <c r="O75" t="s">
        <v>71</v>
      </c>
      <c r="P75" t="s">
        <v>111</v>
      </c>
      <c r="Q75" t="s">
        <v>431</v>
      </c>
      <c r="R75">
        <v>5</v>
      </c>
      <c r="S75" s="1">
        <v>320000</v>
      </c>
      <c r="T75" s="1">
        <f ca="1">ROUND(T_EMPLOYEES[[#This Row],[EMP_CTC1]]/12, 0)</f>
        <v>26667</v>
      </c>
      <c r="U75" s="1">
        <v>72000</v>
      </c>
      <c r="V75" s="1" t="s">
        <v>207</v>
      </c>
      <c r="W75" s="1" t="s">
        <v>432</v>
      </c>
      <c r="X7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Tabasum Ara Begum (1027391)</v>
      </c>
      <c r="Y75">
        <v>60000</v>
      </c>
      <c r="Z75" s="29">
        <f t="shared" ca="1" si="2"/>
        <v>77.5</v>
      </c>
      <c r="AA75">
        <f ca="1">IF(T_EMPLOYEES[[#This Row],[EMPLOYEE NUMBER]]="","",ROW(T_EMPLOYEES[[#This Row],[EMPLOYEE LABEL]])-ROW(T_EMPLOYEES[[#Headers],[EMPLOYEE LABEL]]))</f>
        <v>72</v>
      </c>
      <c r="AB75">
        <f ca="1">IF(T_EMPLOYEES[[#This Row],[EMPLOYEE NUMBER]]="","",IF(COUNTIF(T_EMPLOYEES[EMPLOYEE NUMBER],T_EMPLOYEES[[#This Row],[EMPLOYEE NUMBER]])&gt;1,1,0))</f>
        <v>0</v>
      </c>
      <c r="AC75">
        <f ca="1">IF(T_EMPLOYEES[[#This Row],[EMPLOYEE NUMBER]]="","",IF(AND(T_EMPLOYEES[[#This Row],[DATE OF BIRTH]]&gt;0,T_EMPLOYEES[[#This Row],[DATE OF BIRTH]]&lt;TODAY()),0,1))</f>
        <v>0</v>
      </c>
      <c r="AD75">
        <f ca="1">IF(T_EMPLOYEES[[#This Row],[EMPLOYEE NUMBER]]="","",IF(AND(T_EMPLOYEES[[#This Row],[START DATE]]&gt;0,T_EMPLOYEES[[#This Row],[START DATE]]&lt;TODAY()+60),0,1))</f>
        <v>0</v>
      </c>
      <c r="AE75">
        <f ca="1">IF(T_EMPLOYEES[[#This Row],[EMPLOYEE NUMBER]]="","",MATCH(T_EMPLOYEES[[#This Row],[GENDER]],L_GENDER,0))</f>
        <v>2</v>
      </c>
      <c r="AF75">
        <f ca="1">IF(T_EMPLOYEES[[#This Row],[EMPLOYEE NUMBER]]="","",MATCH(T_EMPLOYEES[[#This Row],[HIRE SOURCE]],L_HIRESOURCE,0))</f>
        <v>4</v>
      </c>
      <c r="AG75">
        <f ca="1">IF(T_EMPLOYEES[[#This Row],[EMPLOYEE NUMBER]]="","",MATCH(T_EMPLOYEES[[#This Row],[ETHNICITY]],L_ETHNICITY,0))</f>
        <v>3</v>
      </c>
      <c r="AH75">
        <f ca="1">IF(T_EMPLOYEES[[#This Row],[EMPLOYEE NUMBER]]="","",MATCH(T_EMPLOYEES[[#This Row],[LOCATION]],L_LOCATION,0))</f>
        <v>2</v>
      </c>
      <c r="AI75">
        <f ca="1">IF(T_EMPLOYEES[[#This Row],[EMPLOYEE NUMBER]]="","",MATCH(T_EMPLOYEES[[#This Row],[DEPARTMENT]],L_DEPARTMENT,0))</f>
        <v>2</v>
      </c>
      <c r="AJ75">
        <f ca="1">IF(T_EMPLOYEES[[#This Row],[EMPLOYEE NUMBER]]="","",MATCH(T_EMPLOYEES[[#This Row],[JOB TYPE]],L_JOBTYPE,0))</f>
        <v>2</v>
      </c>
      <c r="AK75">
        <f ca="1">IF(T_EMPLOYEES[[#This Row],[EMPLOYEE NUMBER]]="","",MATCH(T_EMPLOYEES[[#This Row],[JOB CATEGORY]],L_JOBCATEGORY,0))</f>
        <v>10</v>
      </c>
      <c r="AL75">
        <f ca="1">IF(T_EMPLOYEES[[#This Row],[EMPLOYEE NUMBER]]="","",MATCH(T_EMPLOYEES[[#This Row],[JOB LEVEL]],L_JOBLEVEL,0))</f>
        <v>4</v>
      </c>
      <c r="AM75">
        <f ca="1">IF(T_EMPLOYEES[[#This Row],[EMPLOYEE NUMBER]]="","",MATCH(T_EMPLOYEES[[#This Row],[JOB TITLE]],L_JOBTITLE,0))</f>
        <v>10</v>
      </c>
      <c r="AN75">
        <f ca="1">IF(T_EMPLOYEES[[#This Row],[EMPLOYEE NUMBER]]="","",MATCH(T_EMPLOYEES[[#This Row],[MANAGER]],L_EMPLABELS,0))</f>
        <v>87</v>
      </c>
      <c r="AO75">
        <f ca="1">IF(T_EMPLOYEES[[#This Row],[EMPLOYEE NUMBER]]="","",IF(T_EMPLOYEES[[#This Row],[ERROR]]="",0,1))</f>
        <v>0</v>
      </c>
      <c r="AP7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6" spans="1:42">
      <c r="A76" t="s">
        <v>433</v>
      </c>
      <c r="B76" t="s">
        <v>434</v>
      </c>
      <c r="C76">
        <v>1018072</v>
      </c>
      <c r="D76" t="s">
        <v>435</v>
      </c>
      <c r="E76" s="26">
        <v>30300</v>
      </c>
      <c r="F76" s="26">
        <v>42429</v>
      </c>
      <c r="G76" s="26">
        <v>44177</v>
      </c>
      <c r="H76" t="s">
        <v>27</v>
      </c>
      <c r="I76" t="s">
        <v>54</v>
      </c>
      <c r="J76" t="s">
        <v>64</v>
      </c>
      <c r="K76" t="s">
        <v>43</v>
      </c>
      <c r="L76" s="27" t="s">
        <v>45</v>
      </c>
      <c r="M76" t="s">
        <v>46</v>
      </c>
      <c r="N76" t="s">
        <v>136</v>
      </c>
      <c r="O76" t="s">
        <v>82</v>
      </c>
      <c r="P76" t="s">
        <v>136</v>
      </c>
      <c r="Q76" t="s">
        <v>218</v>
      </c>
      <c r="R76" s="27">
        <v>7</v>
      </c>
      <c r="S76" s="1">
        <v>320000</v>
      </c>
      <c r="T76" s="1">
        <f ca="1">ROUND(T_EMPLOYEES[[#This Row],[EMP_CTC1]]/12, 0)</f>
        <v>26667</v>
      </c>
      <c r="U76" s="1">
        <v>72000</v>
      </c>
      <c r="V76" s="1" t="s">
        <v>207</v>
      </c>
      <c r="W76" s="1" t="s">
        <v>207</v>
      </c>
      <c r="X7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Ashwin  Bhaskaran (1018072)</v>
      </c>
      <c r="Y76">
        <v>60000</v>
      </c>
      <c r="Z76" s="29">
        <f t="shared" ca="1" si="2"/>
        <v>77.5</v>
      </c>
      <c r="AA76">
        <f ca="1">IF(T_EMPLOYEES[[#This Row],[EMPLOYEE NUMBER]]="","",ROW(T_EMPLOYEES[[#This Row],[EMPLOYEE LABEL]])-ROW(T_EMPLOYEES[[#Headers],[EMPLOYEE LABEL]]))</f>
        <v>73</v>
      </c>
      <c r="AB76">
        <f ca="1">IF(T_EMPLOYEES[[#This Row],[EMPLOYEE NUMBER]]="","",IF(COUNTIF(T_EMPLOYEES[EMPLOYEE NUMBER],T_EMPLOYEES[[#This Row],[EMPLOYEE NUMBER]])&gt;1,1,0))</f>
        <v>0</v>
      </c>
      <c r="AC76">
        <f ca="1">IF(T_EMPLOYEES[[#This Row],[EMPLOYEE NUMBER]]="","",IF(AND(T_EMPLOYEES[[#This Row],[DATE OF BIRTH]]&gt;0,T_EMPLOYEES[[#This Row],[DATE OF BIRTH]]&lt;TODAY()),0,1))</f>
        <v>0</v>
      </c>
      <c r="AD76">
        <f ca="1">IF(T_EMPLOYEES[[#This Row],[EMPLOYEE NUMBER]]="","",IF(AND(T_EMPLOYEES[[#This Row],[START DATE]]&gt;0,T_EMPLOYEES[[#This Row],[START DATE]]&lt;TODAY()+60),0,1))</f>
        <v>0</v>
      </c>
      <c r="AE76">
        <f ca="1">IF(T_EMPLOYEES[[#This Row],[EMPLOYEE NUMBER]]="","",MATCH(T_EMPLOYEES[[#This Row],[GENDER]],L_GENDER,0))</f>
        <v>1</v>
      </c>
      <c r="AF76">
        <f ca="1">IF(T_EMPLOYEES[[#This Row],[EMPLOYEE NUMBER]]="","",MATCH(T_EMPLOYEES[[#This Row],[HIRE SOURCE]],L_HIRESOURCE,0))</f>
        <v>4</v>
      </c>
      <c r="AG76">
        <f ca="1">IF(T_EMPLOYEES[[#This Row],[EMPLOYEE NUMBER]]="","",MATCH(T_EMPLOYEES[[#This Row],[ETHNICITY]],L_ETHNICITY,0))</f>
        <v>3</v>
      </c>
      <c r="AH76">
        <f ca="1">IF(T_EMPLOYEES[[#This Row],[EMPLOYEE NUMBER]]="","",MATCH(T_EMPLOYEES[[#This Row],[LOCATION]],L_LOCATION,0))</f>
        <v>2</v>
      </c>
      <c r="AI76">
        <f ca="1">IF(T_EMPLOYEES[[#This Row],[EMPLOYEE NUMBER]]="","",MATCH(T_EMPLOYEES[[#This Row],[DEPARTMENT]],L_DEPARTMENT,0))</f>
        <v>2</v>
      </c>
      <c r="AJ76">
        <f ca="1">IF(T_EMPLOYEES[[#This Row],[EMPLOYEE NUMBER]]="","",MATCH(T_EMPLOYEES[[#This Row],[JOB TYPE]],L_JOBTYPE,0))</f>
        <v>2</v>
      </c>
      <c r="AK76">
        <f ca="1">IF(T_EMPLOYEES[[#This Row],[EMPLOYEE NUMBER]]="","",MATCH(T_EMPLOYEES[[#This Row],[JOB CATEGORY]],L_JOBCATEGORY,0))</f>
        <v>18</v>
      </c>
      <c r="AL76">
        <f ca="1">IF(T_EMPLOYEES[[#This Row],[EMPLOYEE NUMBER]]="","",MATCH(T_EMPLOYEES[[#This Row],[JOB LEVEL]],L_JOBLEVEL,0))</f>
        <v>5</v>
      </c>
      <c r="AM76">
        <f ca="1">IF(T_EMPLOYEES[[#This Row],[EMPLOYEE NUMBER]]="","",MATCH(T_EMPLOYEES[[#This Row],[JOB TITLE]],L_JOBTITLE,0))</f>
        <v>18</v>
      </c>
      <c r="AN76">
        <f ca="1">IF(T_EMPLOYEES[[#This Row],[EMPLOYEE NUMBER]]="","",MATCH(T_EMPLOYEES[[#This Row],[MANAGER]],L_EMPLABELS,0))</f>
        <v>43</v>
      </c>
      <c r="AO76">
        <f ca="1">IF(T_EMPLOYEES[[#This Row],[EMPLOYEE NUMBER]]="","",IF(T_EMPLOYEES[[#This Row],[ERROR]]="",0,1))</f>
        <v>0</v>
      </c>
      <c r="AP7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7" spans="1:42">
      <c r="A77" t="s">
        <v>436</v>
      </c>
      <c r="B77" t="s">
        <v>437</v>
      </c>
      <c r="C77">
        <v>1024491</v>
      </c>
      <c r="D77" t="s">
        <v>438</v>
      </c>
      <c r="E77" s="26">
        <v>30366</v>
      </c>
      <c r="F77" s="26">
        <v>44237</v>
      </c>
      <c r="H77" t="s">
        <v>27</v>
      </c>
      <c r="I77" t="s">
        <v>54</v>
      </c>
      <c r="J77" t="s">
        <v>64</v>
      </c>
      <c r="K77" t="s">
        <v>55</v>
      </c>
      <c r="L77" s="27" t="s">
        <v>45</v>
      </c>
      <c r="M77" t="s">
        <v>46</v>
      </c>
      <c r="N77" t="s">
        <v>143</v>
      </c>
      <c r="O77" t="s">
        <v>71</v>
      </c>
      <c r="P77" t="s">
        <v>143</v>
      </c>
      <c r="Q77" t="s">
        <v>215</v>
      </c>
      <c r="R77">
        <v>5</v>
      </c>
      <c r="S77" s="1">
        <v>320000</v>
      </c>
      <c r="T77" s="1">
        <f ca="1">ROUND(T_EMPLOYEES[[#This Row],[EMP_CTC1]]/12, 0)</f>
        <v>26667</v>
      </c>
      <c r="U77" s="1">
        <v>72000</v>
      </c>
      <c r="V77" s="1" t="s">
        <v>207</v>
      </c>
      <c r="W77" s="1" t="s">
        <v>207</v>
      </c>
      <c r="X7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Bharani  Kanthan K (1024491)</v>
      </c>
      <c r="Y77">
        <v>60000</v>
      </c>
      <c r="Z77" s="29">
        <f t="shared" ca="1" si="2"/>
        <v>77.5</v>
      </c>
      <c r="AA77">
        <f ca="1">IF(T_EMPLOYEES[[#This Row],[EMPLOYEE NUMBER]]="","",ROW(T_EMPLOYEES[[#This Row],[EMPLOYEE LABEL]])-ROW(T_EMPLOYEES[[#Headers],[EMPLOYEE LABEL]]))</f>
        <v>74</v>
      </c>
      <c r="AB77">
        <f ca="1">IF(T_EMPLOYEES[[#This Row],[EMPLOYEE NUMBER]]="","",IF(COUNTIF(T_EMPLOYEES[EMPLOYEE NUMBER],T_EMPLOYEES[[#This Row],[EMPLOYEE NUMBER]])&gt;1,1,0))</f>
        <v>0</v>
      </c>
      <c r="AC77">
        <f ca="1">IF(T_EMPLOYEES[[#This Row],[EMPLOYEE NUMBER]]="","",IF(AND(T_EMPLOYEES[[#This Row],[DATE OF BIRTH]]&gt;0,T_EMPLOYEES[[#This Row],[DATE OF BIRTH]]&lt;TODAY()),0,1))</f>
        <v>0</v>
      </c>
      <c r="AD77">
        <f ca="1">IF(T_EMPLOYEES[[#This Row],[EMPLOYEE NUMBER]]="","",IF(AND(T_EMPLOYEES[[#This Row],[START DATE]]&gt;0,T_EMPLOYEES[[#This Row],[START DATE]]&lt;TODAY()+60),0,1))</f>
        <v>0</v>
      </c>
      <c r="AE77">
        <f ca="1">IF(T_EMPLOYEES[[#This Row],[EMPLOYEE NUMBER]]="","",MATCH(T_EMPLOYEES[[#This Row],[GENDER]],L_GENDER,0))</f>
        <v>1</v>
      </c>
      <c r="AF77">
        <f ca="1">IF(T_EMPLOYEES[[#This Row],[EMPLOYEE NUMBER]]="","",MATCH(T_EMPLOYEES[[#This Row],[HIRE SOURCE]],L_HIRESOURCE,0))</f>
        <v>4</v>
      </c>
      <c r="AG77">
        <f ca="1">IF(T_EMPLOYEES[[#This Row],[EMPLOYEE NUMBER]]="","",MATCH(T_EMPLOYEES[[#This Row],[ETHNICITY]],L_ETHNICITY,0))</f>
        <v>3</v>
      </c>
      <c r="AH77">
        <f ca="1">IF(T_EMPLOYEES[[#This Row],[EMPLOYEE NUMBER]]="","",MATCH(T_EMPLOYEES[[#This Row],[LOCATION]],L_LOCATION,0))</f>
        <v>3</v>
      </c>
      <c r="AI77">
        <f ca="1">IF(T_EMPLOYEES[[#This Row],[EMPLOYEE NUMBER]]="","",MATCH(T_EMPLOYEES[[#This Row],[DEPARTMENT]],L_DEPARTMENT,0))</f>
        <v>2</v>
      </c>
      <c r="AJ77">
        <f ca="1">IF(T_EMPLOYEES[[#This Row],[EMPLOYEE NUMBER]]="","",MATCH(T_EMPLOYEES[[#This Row],[JOB TYPE]],L_JOBTYPE,0))</f>
        <v>2</v>
      </c>
      <c r="AK77">
        <f ca="1">IF(T_EMPLOYEES[[#This Row],[EMPLOYEE NUMBER]]="","",MATCH(T_EMPLOYEES[[#This Row],[JOB CATEGORY]],L_JOBCATEGORY,0))</f>
        <v>22</v>
      </c>
      <c r="AL77">
        <f ca="1">IF(T_EMPLOYEES[[#This Row],[EMPLOYEE NUMBER]]="","",MATCH(T_EMPLOYEES[[#This Row],[JOB LEVEL]],L_JOBLEVEL,0))</f>
        <v>4</v>
      </c>
      <c r="AM77">
        <f ca="1">IF(T_EMPLOYEES[[#This Row],[EMPLOYEE NUMBER]]="","",MATCH(T_EMPLOYEES[[#This Row],[JOB TITLE]],L_JOBTITLE,0))</f>
        <v>22</v>
      </c>
      <c r="AN77">
        <f ca="1">IF(T_EMPLOYEES[[#This Row],[EMPLOYEE NUMBER]]="","",MATCH(T_EMPLOYEES[[#This Row],[MANAGER]],L_EMPLABELS,0))</f>
        <v>13</v>
      </c>
      <c r="AO77">
        <f ca="1">IF(T_EMPLOYEES[[#This Row],[EMPLOYEE NUMBER]]="","",IF(T_EMPLOYEES[[#This Row],[ERROR]]="",0,1))</f>
        <v>0</v>
      </c>
      <c r="AP7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8" spans="1:42">
      <c r="A78" t="s">
        <v>439</v>
      </c>
      <c r="B78" t="s">
        <v>440</v>
      </c>
      <c r="C78">
        <v>1029038</v>
      </c>
      <c r="D78" t="s">
        <v>441</v>
      </c>
      <c r="E78" s="26">
        <v>30377</v>
      </c>
      <c r="F78" s="26">
        <v>44692</v>
      </c>
      <c r="H78" t="s">
        <v>27</v>
      </c>
      <c r="I78" t="s">
        <v>54</v>
      </c>
      <c r="J78" t="s">
        <v>64</v>
      </c>
      <c r="K78" t="s">
        <v>43</v>
      </c>
      <c r="L78" s="27" t="s">
        <v>45</v>
      </c>
      <c r="M78" t="s">
        <v>46</v>
      </c>
      <c r="N78" t="s">
        <v>47</v>
      </c>
      <c r="O78" t="s">
        <v>90</v>
      </c>
      <c r="P78" t="s">
        <v>47</v>
      </c>
      <c r="Q78" t="s">
        <v>218</v>
      </c>
      <c r="R78" s="27">
        <v>7</v>
      </c>
      <c r="S78" s="1">
        <v>320000</v>
      </c>
      <c r="T78" s="1">
        <f ca="1">ROUND(T_EMPLOYEES[[#This Row],[EMP_CTC1]]/12, 0)</f>
        <v>26667</v>
      </c>
      <c r="U78" s="1">
        <v>72000</v>
      </c>
      <c r="V78" s="1" t="s">
        <v>207</v>
      </c>
      <c r="W78" s="1" t="s">
        <v>207</v>
      </c>
      <c r="X7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Jantikar Ganesh (1029038)</v>
      </c>
      <c r="Y78">
        <v>60000</v>
      </c>
      <c r="Z78" s="29">
        <f t="shared" ca="1" si="2"/>
        <v>77.5</v>
      </c>
      <c r="AA78">
        <f ca="1">IF(T_EMPLOYEES[[#This Row],[EMPLOYEE NUMBER]]="","",ROW(T_EMPLOYEES[[#This Row],[EMPLOYEE LABEL]])-ROW(T_EMPLOYEES[[#Headers],[EMPLOYEE LABEL]]))</f>
        <v>75</v>
      </c>
      <c r="AB78">
        <f ca="1">IF(T_EMPLOYEES[[#This Row],[EMPLOYEE NUMBER]]="","",IF(COUNTIF(T_EMPLOYEES[EMPLOYEE NUMBER],T_EMPLOYEES[[#This Row],[EMPLOYEE NUMBER]])&gt;1,1,0))</f>
        <v>0</v>
      </c>
      <c r="AC78">
        <f ca="1">IF(T_EMPLOYEES[[#This Row],[EMPLOYEE NUMBER]]="","",IF(AND(T_EMPLOYEES[[#This Row],[DATE OF BIRTH]]&gt;0,T_EMPLOYEES[[#This Row],[DATE OF BIRTH]]&lt;TODAY()),0,1))</f>
        <v>0</v>
      </c>
      <c r="AD78">
        <f ca="1">IF(T_EMPLOYEES[[#This Row],[EMPLOYEE NUMBER]]="","",IF(AND(T_EMPLOYEES[[#This Row],[START DATE]]&gt;0,T_EMPLOYEES[[#This Row],[START DATE]]&lt;TODAY()+60),0,1))</f>
        <v>0</v>
      </c>
      <c r="AE78">
        <f ca="1">IF(T_EMPLOYEES[[#This Row],[EMPLOYEE NUMBER]]="","",MATCH(T_EMPLOYEES[[#This Row],[GENDER]],L_GENDER,0))</f>
        <v>1</v>
      </c>
      <c r="AF78">
        <f ca="1">IF(T_EMPLOYEES[[#This Row],[EMPLOYEE NUMBER]]="","",MATCH(T_EMPLOYEES[[#This Row],[HIRE SOURCE]],L_HIRESOURCE,0))</f>
        <v>4</v>
      </c>
      <c r="AG78">
        <f ca="1">IF(T_EMPLOYEES[[#This Row],[EMPLOYEE NUMBER]]="","",MATCH(T_EMPLOYEES[[#This Row],[ETHNICITY]],L_ETHNICITY,0))</f>
        <v>3</v>
      </c>
      <c r="AH78">
        <f ca="1">IF(T_EMPLOYEES[[#This Row],[EMPLOYEE NUMBER]]="","",MATCH(T_EMPLOYEES[[#This Row],[LOCATION]],L_LOCATION,0))</f>
        <v>2</v>
      </c>
      <c r="AI78">
        <f ca="1">IF(T_EMPLOYEES[[#This Row],[EMPLOYEE NUMBER]]="","",MATCH(T_EMPLOYEES[[#This Row],[DEPARTMENT]],L_DEPARTMENT,0))</f>
        <v>2</v>
      </c>
      <c r="AJ78">
        <f ca="1">IF(T_EMPLOYEES[[#This Row],[EMPLOYEE NUMBER]]="","",MATCH(T_EMPLOYEES[[#This Row],[JOB TYPE]],L_JOBTYPE,0))</f>
        <v>2</v>
      </c>
      <c r="AK78">
        <f ca="1">IF(T_EMPLOYEES[[#This Row],[EMPLOYEE NUMBER]]="","",MATCH(T_EMPLOYEES[[#This Row],[JOB CATEGORY]],L_JOBCATEGORY,0))</f>
        <v>2</v>
      </c>
      <c r="AL78">
        <f ca="1">IF(T_EMPLOYEES[[#This Row],[EMPLOYEE NUMBER]]="","",MATCH(T_EMPLOYEES[[#This Row],[JOB LEVEL]],L_JOBLEVEL,0))</f>
        <v>6</v>
      </c>
      <c r="AM78">
        <f ca="1">IF(T_EMPLOYEES[[#This Row],[EMPLOYEE NUMBER]]="","",MATCH(T_EMPLOYEES[[#This Row],[JOB TITLE]],L_JOBTITLE,0))</f>
        <v>2</v>
      </c>
      <c r="AN78">
        <f ca="1">IF(T_EMPLOYEES[[#This Row],[EMPLOYEE NUMBER]]="","",MATCH(T_EMPLOYEES[[#This Row],[MANAGER]],L_EMPLABELS,0))</f>
        <v>43</v>
      </c>
      <c r="AO78">
        <f ca="1">IF(T_EMPLOYEES[[#This Row],[EMPLOYEE NUMBER]]="","",IF(T_EMPLOYEES[[#This Row],[ERROR]]="",0,1))</f>
        <v>0</v>
      </c>
      <c r="AP7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9" spans="1:42">
      <c r="A79" t="s">
        <v>442</v>
      </c>
      <c r="B79" t="s">
        <v>443</v>
      </c>
      <c r="C79">
        <v>1031865</v>
      </c>
      <c r="D79" t="s">
        <v>444</v>
      </c>
      <c r="E79" s="26">
        <v>30384</v>
      </c>
      <c r="F79" s="26">
        <v>44914</v>
      </c>
      <c r="H79" t="s">
        <v>40</v>
      </c>
      <c r="I79" t="s">
        <v>54</v>
      </c>
      <c r="J79" t="s">
        <v>64</v>
      </c>
      <c r="K79" t="s">
        <v>43</v>
      </c>
      <c r="L79" s="27" t="s">
        <v>45</v>
      </c>
      <c r="M79" t="s">
        <v>46</v>
      </c>
      <c r="N79" t="s">
        <v>47</v>
      </c>
      <c r="O79" t="s">
        <v>90</v>
      </c>
      <c r="P79" t="s">
        <v>47</v>
      </c>
      <c r="Q79" t="s">
        <v>377</v>
      </c>
      <c r="R79">
        <v>7</v>
      </c>
      <c r="S79" s="1">
        <v>320000</v>
      </c>
      <c r="T79" s="1">
        <f ca="1">ROUND(T_EMPLOYEES[[#This Row],[EMP_CTC1]]/12, 0)</f>
        <v>26667</v>
      </c>
      <c r="U79" s="1">
        <v>72000</v>
      </c>
      <c r="V79" s="1" t="s">
        <v>207</v>
      </c>
      <c r="W79" s="1" t="s">
        <v>207</v>
      </c>
      <c r="X7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Sunitha Panguluri (1031865)</v>
      </c>
      <c r="Y79">
        <v>60000</v>
      </c>
      <c r="Z79" s="29">
        <f t="shared" ca="1" si="2"/>
        <v>77.5</v>
      </c>
      <c r="AA79">
        <f ca="1">IF(T_EMPLOYEES[[#This Row],[EMPLOYEE NUMBER]]="","",ROW(T_EMPLOYEES[[#This Row],[EMPLOYEE LABEL]])-ROW(T_EMPLOYEES[[#Headers],[EMPLOYEE LABEL]]))</f>
        <v>76</v>
      </c>
      <c r="AB79">
        <f ca="1">IF(T_EMPLOYEES[[#This Row],[EMPLOYEE NUMBER]]="","",IF(COUNTIF(T_EMPLOYEES[EMPLOYEE NUMBER],T_EMPLOYEES[[#This Row],[EMPLOYEE NUMBER]])&gt;1,1,0))</f>
        <v>0</v>
      </c>
      <c r="AC79">
        <f ca="1">IF(T_EMPLOYEES[[#This Row],[EMPLOYEE NUMBER]]="","",IF(AND(T_EMPLOYEES[[#This Row],[DATE OF BIRTH]]&gt;0,T_EMPLOYEES[[#This Row],[DATE OF BIRTH]]&lt;TODAY()),0,1))</f>
        <v>0</v>
      </c>
      <c r="AD79">
        <f ca="1">IF(T_EMPLOYEES[[#This Row],[EMPLOYEE NUMBER]]="","",IF(AND(T_EMPLOYEES[[#This Row],[START DATE]]&gt;0,T_EMPLOYEES[[#This Row],[START DATE]]&lt;TODAY()+60),0,1))</f>
        <v>0</v>
      </c>
      <c r="AE79">
        <f ca="1">IF(T_EMPLOYEES[[#This Row],[EMPLOYEE NUMBER]]="","",MATCH(T_EMPLOYEES[[#This Row],[GENDER]],L_GENDER,0))</f>
        <v>2</v>
      </c>
      <c r="AF79">
        <f ca="1">IF(T_EMPLOYEES[[#This Row],[EMPLOYEE NUMBER]]="","",MATCH(T_EMPLOYEES[[#This Row],[HIRE SOURCE]],L_HIRESOURCE,0))</f>
        <v>4</v>
      </c>
      <c r="AG79">
        <f ca="1">IF(T_EMPLOYEES[[#This Row],[EMPLOYEE NUMBER]]="","",MATCH(T_EMPLOYEES[[#This Row],[ETHNICITY]],L_ETHNICITY,0))</f>
        <v>3</v>
      </c>
      <c r="AH79">
        <f ca="1">IF(T_EMPLOYEES[[#This Row],[EMPLOYEE NUMBER]]="","",MATCH(T_EMPLOYEES[[#This Row],[LOCATION]],L_LOCATION,0))</f>
        <v>2</v>
      </c>
      <c r="AI79">
        <f ca="1">IF(T_EMPLOYEES[[#This Row],[EMPLOYEE NUMBER]]="","",MATCH(T_EMPLOYEES[[#This Row],[DEPARTMENT]],L_DEPARTMENT,0))</f>
        <v>2</v>
      </c>
      <c r="AJ79">
        <f ca="1">IF(T_EMPLOYEES[[#This Row],[EMPLOYEE NUMBER]]="","",MATCH(T_EMPLOYEES[[#This Row],[JOB TYPE]],L_JOBTYPE,0))</f>
        <v>2</v>
      </c>
      <c r="AK79">
        <f ca="1">IF(T_EMPLOYEES[[#This Row],[EMPLOYEE NUMBER]]="","",MATCH(T_EMPLOYEES[[#This Row],[JOB CATEGORY]],L_JOBCATEGORY,0))</f>
        <v>2</v>
      </c>
      <c r="AL79">
        <f ca="1">IF(T_EMPLOYEES[[#This Row],[EMPLOYEE NUMBER]]="","",MATCH(T_EMPLOYEES[[#This Row],[JOB LEVEL]],L_JOBLEVEL,0))</f>
        <v>6</v>
      </c>
      <c r="AM79">
        <f ca="1">IF(T_EMPLOYEES[[#This Row],[EMPLOYEE NUMBER]]="","",MATCH(T_EMPLOYEES[[#This Row],[JOB TITLE]],L_JOBTITLE,0))</f>
        <v>2</v>
      </c>
      <c r="AN79">
        <f ca="1">IF(T_EMPLOYEES[[#This Row],[EMPLOYEE NUMBER]]="","",MATCH(T_EMPLOYEES[[#This Row],[MANAGER]],L_EMPLABELS,0))</f>
        <v>64</v>
      </c>
      <c r="AO79">
        <f ca="1">IF(T_EMPLOYEES[[#This Row],[EMPLOYEE NUMBER]]="","",IF(T_EMPLOYEES[[#This Row],[ERROR]]="",0,1))</f>
        <v>0</v>
      </c>
      <c r="AP7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0" spans="1:42">
      <c r="A80" t="s">
        <v>445</v>
      </c>
      <c r="B80" t="s">
        <v>446</v>
      </c>
      <c r="C80">
        <v>1031846</v>
      </c>
      <c r="D80" t="s">
        <v>447</v>
      </c>
      <c r="E80" s="26">
        <v>30400</v>
      </c>
      <c r="F80" s="26">
        <v>44914</v>
      </c>
      <c r="H80" t="s">
        <v>40</v>
      </c>
      <c r="I80" t="s">
        <v>54</v>
      </c>
      <c r="J80" t="s">
        <v>64</v>
      </c>
      <c r="K80" t="s">
        <v>30</v>
      </c>
      <c r="L80" s="27" t="s">
        <v>45</v>
      </c>
      <c r="M80" t="s">
        <v>46</v>
      </c>
      <c r="N80" t="s">
        <v>119</v>
      </c>
      <c r="O80" t="s">
        <v>82</v>
      </c>
      <c r="P80" t="s">
        <v>119</v>
      </c>
      <c r="Q80" t="s">
        <v>448</v>
      </c>
      <c r="R80" s="27">
        <v>7</v>
      </c>
      <c r="S80" s="1">
        <v>320000</v>
      </c>
      <c r="T80" s="1">
        <f ca="1">ROUND(T_EMPLOYEES[[#This Row],[EMP_CTC1]]/12, 0)</f>
        <v>26667</v>
      </c>
      <c r="U80" s="1">
        <v>72000</v>
      </c>
      <c r="V80" s="1" t="s">
        <v>207</v>
      </c>
      <c r="W80" s="1" t="s">
        <v>207</v>
      </c>
      <c r="X8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Anumita Deb (1031846)</v>
      </c>
      <c r="Y80">
        <v>60000</v>
      </c>
      <c r="Z80" s="29">
        <f t="shared" ca="1" si="2"/>
        <v>77.5</v>
      </c>
      <c r="AA80">
        <f ca="1">IF(T_EMPLOYEES[[#This Row],[EMPLOYEE NUMBER]]="","",ROW(T_EMPLOYEES[[#This Row],[EMPLOYEE LABEL]])-ROW(T_EMPLOYEES[[#Headers],[EMPLOYEE LABEL]]))</f>
        <v>77</v>
      </c>
      <c r="AB80">
        <f ca="1">IF(T_EMPLOYEES[[#This Row],[EMPLOYEE NUMBER]]="","",IF(COUNTIF(T_EMPLOYEES[EMPLOYEE NUMBER],T_EMPLOYEES[[#This Row],[EMPLOYEE NUMBER]])&gt;1,1,0))</f>
        <v>0</v>
      </c>
      <c r="AC80">
        <f ca="1">IF(T_EMPLOYEES[[#This Row],[EMPLOYEE NUMBER]]="","",IF(AND(T_EMPLOYEES[[#This Row],[DATE OF BIRTH]]&gt;0,T_EMPLOYEES[[#This Row],[DATE OF BIRTH]]&lt;TODAY()),0,1))</f>
        <v>0</v>
      </c>
      <c r="AD80">
        <f ca="1">IF(T_EMPLOYEES[[#This Row],[EMPLOYEE NUMBER]]="","",IF(AND(T_EMPLOYEES[[#This Row],[START DATE]]&gt;0,T_EMPLOYEES[[#This Row],[START DATE]]&lt;TODAY()+60),0,1))</f>
        <v>0</v>
      </c>
      <c r="AE80">
        <f ca="1">IF(T_EMPLOYEES[[#This Row],[EMPLOYEE NUMBER]]="","",MATCH(T_EMPLOYEES[[#This Row],[GENDER]],L_GENDER,0))</f>
        <v>2</v>
      </c>
      <c r="AF80">
        <f ca="1">IF(T_EMPLOYEES[[#This Row],[EMPLOYEE NUMBER]]="","",MATCH(T_EMPLOYEES[[#This Row],[HIRE SOURCE]],L_HIRESOURCE,0))</f>
        <v>4</v>
      </c>
      <c r="AG80">
        <f ca="1">IF(T_EMPLOYEES[[#This Row],[EMPLOYEE NUMBER]]="","",MATCH(T_EMPLOYEES[[#This Row],[ETHNICITY]],L_ETHNICITY,0))</f>
        <v>3</v>
      </c>
      <c r="AH80">
        <f ca="1">IF(T_EMPLOYEES[[#This Row],[EMPLOYEE NUMBER]]="","",MATCH(T_EMPLOYEES[[#This Row],[LOCATION]],L_LOCATION,0))</f>
        <v>1</v>
      </c>
      <c r="AI80">
        <f ca="1">IF(T_EMPLOYEES[[#This Row],[EMPLOYEE NUMBER]]="","",MATCH(T_EMPLOYEES[[#This Row],[DEPARTMENT]],L_DEPARTMENT,0))</f>
        <v>2</v>
      </c>
      <c r="AJ80">
        <f ca="1">IF(T_EMPLOYEES[[#This Row],[EMPLOYEE NUMBER]]="","",MATCH(T_EMPLOYEES[[#This Row],[JOB TYPE]],L_JOBTYPE,0))</f>
        <v>2</v>
      </c>
      <c r="AK80">
        <f ca="1">IF(T_EMPLOYEES[[#This Row],[EMPLOYEE NUMBER]]="","",MATCH(T_EMPLOYEES[[#This Row],[JOB CATEGORY]],L_JOBCATEGORY,0))</f>
        <v>12</v>
      </c>
      <c r="AL80">
        <f ca="1">IF(T_EMPLOYEES[[#This Row],[EMPLOYEE NUMBER]]="","",MATCH(T_EMPLOYEES[[#This Row],[JOB LEVEL]],L_JOBLEVEL,0))</f>
        <v>5</v>
      </c>
      <c r="AM80">
        <f ca="1">IF(T_EMPLOYEES[[#This Row],[EMPLOYEE NUMBER]]="","",MATCH(T_EMPLOYEES[[#This Row],[JOB TITLE]],L_JOBTITLE,0))</f>
        <v>12</v>
      </c>
      <c r="AN80">
        <f ca="1">IF(T_EMPLOYEES[[#This Row],[EMPLOYEE NUMBER]]="","",MATCH(T_EMPLOYEES[[#This Row],[MANAGER]],L_EMPLABELS,0))</f>
        <v>83</v>
      </c>
      <c r="AO80">
        <f ca="1">IF(T_EMPLOYEES[[#This Row],[EMPLOYEE NUMBER]]="","",IF(T_EMPLOYEES[[#This Row],[ERROR]]="",0,1))</f>
        <v>0</v>
      </c>
      <c r="AP8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1" spans="1:42">
      <c r="A81" t="s">
        <v>449</v>
      </c>
      <c r="B81" t="s">
        <v>450</v>
      </c>
      <c r="C81">
        <v>1033432</v>
      </c>
      <c r="D81" t="s">
        <v>451</v>
      </c>
      <c r="E81" s="26">
        <v>30410</v>
      </c>
      <c r="F81" s="26">
        <v>45168</v>
      </c>
      <c r="H81" t="s">
        <v>40</v>
      </c>
      <c r="I81" t="s">
        <v>54</v>
      </c>
      <c r="J81" t="s">
        <v>64</v>
      </c>
      <c r="K81" t="s">
        <v>30</v>
      </c>
      <c r="L81" s="27" t="s">
        <v>45</v>
      </c>
      <c r="M81" t="s">
        <v>46</v>
      </c>
      <c r="N81" t="s">
        <v>136</v>
      </c>
      <c r="O81" t="s">
        <v>82</v>
      </c>
      <c r="P81" t="s">
        <v>136</v>
      </c>
      <c r="Q81" t="s">
        <v>333</v>
      </c>
      <c r="R81">
        <v>7</v>
      </c>
      <c r="S81" s="1">
        <v>320000</v>
      </c>
      <c r="T81" s="1">
        <f ca="1">ROUND(T_EMPLOYEES[[#This Row],[EMP_CTC1]]/12, 0)</f>
        <v>26667</v>
      </c>
      <c r="U81" s="1">
        <v>72000</v>
      </c>
      <c r="V81" s="1" t="s">
        <v>207</v>
      </c>
      <c r="W81" s="1" t="s">
        <v>207</v>
      </c>
      <c r="X8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Veena C M (1033432)</v>
      </c>
      <c r="Y81">
        <v>60000</v>
      </c>
      <c r="Z81" s="29">
        <f t="shared" ca="1" si="2"/>
        <v>77.5</v>
      </c>
      <c r="AA81">
        <f ca="1">IF(T_EMPLOYEES[[#This Row],[EMPLOYEE NUMBER]]="","",ROW(T_EMPLOYEES[[#This Row],[EMPLOYEE LABEL]])-ROW(T_EMPLOYEES[[#Headers],[EMPLOYEE LABEL]]))</f>
        <v>78</v>
      </c>
      <c r="AB81">
        <f ca="1">IF(T_EMPLOYEES[[#This Row],[EMPLOYEE NUMBER]]="","",IF(COUNTIF(T_EMPLOYEES[EMPLOYEE NUMBER],T_EMPLOYEES[[#This Row],[EMPLOYEE NUMBER]])&gt;1,1,0))</f>
        <v>0</v>
      </c>
      <c r="AC81">
        <f ca="1">IF(T_EMPLOYEES[[#This Row],[EMPLOYEE NUMBER]]="","",IF(AND(T_EMPLOYEES[[#This Row],[DATE OF BIRTH]]&gt;0,T_EMPLOYEES[[#This Row],[DATE OF BIRTH]]&lt;TODAY()),0,1))</f>
        <v>0</v>
      </c>
      <c r="AD81">
        <f ca="1">IF(T_EMPLOYEES[[#This Row],[EMPLOYEE NUMBER]]="","",IF(AND(T_EMPLOYEES[[#This Row],[START DATE]]&gt;0,T_EMPLOYEES[[#This Row],[START DATE]]&lt;TODAY()+60),0,1))</f>
        <v>0</v>
      </c>
      <c r="AE81">
        <f ca="1">IF(T_EMPLOYEES[[#This Row],[EMPLOYEE NUMBER]]="","",MATCH(T_EMPLOYEES[[#This Row],[GENDER]],L_GENDER,0))</f>
        <v>2</v>
      </c>
      <c r="AF81">
        <f ca="1">IF(T_EMPLOYEES[[#This Row],[EMPLOYEE NUMBER]]="","",MATCH(T_EMPLOYEES[[#This Row],[HIRE SOURCE]],L_HIRESOURCE,0))</f>
        <v>4</v>
      </c>
      <c r="AG81">
        <f ca="1">IF(T_EMPLOYEES[[#This Row],[EMPLOYEE NUMBER]]="","",MATCH(T_EMPLOYEES[[#This Row],[ETHNICITY]],L_ETHNICITY,0))</f>
        <v>3</v>
      </c>
      <c r="AH81">
        <f ca="1">IF(T_EMPLOYEES[[#This Row],[EMPLOYEE NUMBER]]="","",MATCH(T_EMPLOYEES[[#This Row],[LOCATION]],L_LOCATION,0))</f>
        <v>1</v>
      </c>
      <c r="AI81">
        <f ca="1">IF(T_EMPLOYEES[[#This Row],[EMPLOYEE NUMBER]]="","",MATCH(T_EMPLOYEES[[#This Row],[DEPARTMENT]],L_DEPARTMENT,0))</f>
        <v>2</v>
      </c>
      <c r="AJ81">
        <f ca="1">IF(T_EMPLOYEES[[#This Row],[EMPLOYEE NUMBER]]="","",MATCH(T_EMPLOYEES[[#This Row],[JOB TYPE]],L_JOBTYPE,0))</f>
        <v>2</v>
      </c>
      <c r="AK81">
        <f ca="1">IF(T_EMPLOYEES[[#This Row],[EMPLOYEE NUMBER]]="","",MATCH(T_EMPLOYEES[[#This Row],[JOB CATEGORY]],L_JOBCATEGORY,0))</f>
        <v>18</v>
      </c>
      <c r="AL81">
        <f ca="1">IF(T_EMPLOYEES[[#This Row],[EMPLOYEE NUMBER]]="","",MATCH(T_EMPLOYEES[[#This Row],[JOB LEVEL]],L_JOBLEVEL,0))</f>
        <v>5</v>
      </c>
      <c r="AM81">
        <f ca="1">IF(T_EMPLOYEES[[#This Row],[EMPLOYEE NUMBER]]="","",MATCH(T_EMPLOYEES[[#This Row],[JOB TITLE]],L_JOBTITLE,0))</f>
        <v>18</v>
      </c>
      <c r="AN81">
        <f ca="1">IF(T_EMPLOYEES[[#This Row],[EMPLOYEE NUMBER]]="","",MATCH(T_EMPLOYEES[[#This Row],[MANAGER]],L_EMPLABELS,0))</f>
        <v>17</v>
      </c>
      <c r="AO81">
        <f ca="1">IF(T_EMPLOYEES[[#This Row],[EMPLOYEE NUMBER]]="","",IF(T_EMPLOYEES[[#This Row],[ERROR]]="",0,1))</f>
        <v>0</v>
      </c>
      <c r="AP8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2" spans="1:42">
      <c r="A82" t="s">
        <v>452</v>
      </c>
      <c r="B82" t="s">
        <v>453</v>
      </c>
      <c r="C82">
        <v>1020173</v>
      </c>
      <c r="D82" t="s">
        <v>454</v>
      </c>
      <c r="E82" s="26">
        <v>30463</v>
      </c>
      <c r="F82" s="26">
        <v>43122</v>
      </c>
      <c r="H82" t="s">
        <v>40</v>
      </c>
      <c r="I82" t="s">
        <v>54</v>
      </c>
      <c r="J82" t="s">
        <v>64</v>
      </c>
      <c r="K82" t="s">
        <v>43</v>
      </c>
      <c r="L82" s="27" t="s">
        <v>45</v>
      </c>
      <c r="M82" t="s">
        <v>46</v>
      </c>
      <c r="N82" t="s">
        <v>81</v>
      </c>
      <c r="O82" t="s">
        <v>82</v>
      </c>
      <c r="P82" t="s">
        <v>81</v>
      </c>
      <c r="Q82" t="s">
        <v>373</v>
      </c>
      <c r="R82" s="27">
        <v>7</v>
      </c>
      <c r="S82" s="1">
        <v>320000</v>
      </c>
      <c r="T82" s="1">
        <f ca="1">ROUND(T_EMPLOYEES[[#This Row],[EMP_CTC1]]/12, 0)</f>
        <v>26667</v>
      </c>
      <c r="U82" s="1">
        <v>72000</v>
      </c>
      <c r="V82" s="1" t="s">
        <v>207</v>
      </c>
      <c r="W82" s="1" t="s">
        <v>207</v>
      </c>
      <c r="X8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Ramya  Kande (1020173)</v>
      </c>
      <c r="Y82">
        <v>60000</v>
      </c>
      <c r="Z82" s="29">
        <f t="shared" ca="1" si="2"/>
        <v>77.5</v>
      </c>
      <c r="AA82">
        <f ca="1">IF(T_EMPLOYEES[[#This Row],[EMPLOYEE NUMBER]]="","",ROW(T_EMPLOYEES[[#This Row],[EMPLOYEE LABEL]])-ROW(T_EMPLOYEES[[#Headers],[EMPLOYEE LABEL]]))</f>
        <v>79</v>
      </c>
      <c r="AB82">
        <f ca="1">IF(T_EMPLOYEES[[#This Row],[EMPLOYEE NUMBER]]="","",IF(COUNTIF(T_EMPLOYEES[EMPLOYEE NUMBER],T_EMPLOYEES[[#This Row],[EMPLOYEE NUMBER]])&gt;1,1,0))</f>
        <v>0</v>
      </c>
      <c r="AC82">
        <f ca="1">IF(T_EMPLOYEES[[#This Row],[EMPLOYEE NUMBER]]="","",IF(AND(T_EMPLOYEES[[#This Row],[DATE OF BIRTH]]&gt;0,T_EMPLOYEES[[#This Row],[DATE OF BIRTH]]&lt;TODAY()),0,1))</f>
        <v>0</v>
      </c>
      <c r="AD82">
        <f ca="1">IF(T_EMPLOYEES[[#This Row],[EMPLOYEE NUMBER]]="","",IF(AND(T_EMPLOYEES[[#This Row],[START DATE]]&gt;0,T_EMPLOYEES[[#This Row],[START DATE]]&lt;TODAY()+60),0,1))</f>
        <v>0</v>
      </c>
      <c r="AE82">
        <f ca="1">IF(T_EMPLOYEES[[#This Row],[EMPLOYEE NUMBER]]="","",MATCH(T_EMPLOYEES[[#This Row],[GENDER]],L_GENDER,0))</f>
        <v>2</v>
      </c>
      <c r="AF82">
        <f ca="1">IF(T_EMPLOYEES[[#This Row],[EMPLOYEE NUMBER]]="","",MATCH(T_EMPLOYEES[[#This Row],[HIRE SOURCE]],L_HIRESOURCE,0))</f>
        <v>4</v>
      </c>
      <c r="AG82">
        <f ca="1">IF(T_EMPLOYEES[[#This Row],[EMPLOYEE NUMBER]]="","",MATCH(T_EMPLOYEES[[#This Row],[ETHNICITY]],L_ETHNICITY,0))</f>
        <v>3</v>
      </c>
      <c r="AH82">
        <f ca="1">IF(T_EMPLOYEES[[#This Row],[EMPLOYEE NUMBER]]="","",MATCH(T_EMPLOYEES[[#This Row],[LOCATION]],L_LOCATION,0))</f>
        <v>2</v>
      </c>
      <c r="AI82">
        <f ca="1">IF(T_EMPLOYEES[[#This Row],[EMPLOYEE NUMBER]]="","",MATCH(T_EMPLOYEES[[#This Row],[DEPARTMENT]],L_DEPARTMENT,0))</f>
        <v>2</v>
      </c>
      <c r="AJ82">
        <f ca="1">IF(T_EMPLOYEES[[#This Row],[EMPLOYEE NUMBER]]="","",MATCH(T_EMPLOYEES[[#This Row],[JOB TYPE]],L_JOBTYPE,0))</f>
        <v>2</v>
      </c>
      <c r="AK82">
        <f ca="1">IF(T_EMPLOYEES[[#This Row],[EMPLOYEE NUMBER]]="","",MATCH(T_EMPLOYEES[[#This Row],[JOB CATEGORY]],L_JOBCATEGORY,0))</f>
        <v>5</v>
      </c>
      <c r="AL82">
        <f ca="1">IF(T_EMPLOYEES[[#This Row],[EMPLOYEE NUMBER]]="","",MATCH(T_EMPLOYEES[[#This Row],[JOB LEVEL]],L_JOBLEVEL,0))</f>
        <v>5</v>
      </c>
      <c r="AM82">
        <f ca="1">IF(T_EMPLOYEES[[#This Row],[EMPLOYEE NUMBER]]="","",MATCH(T_EMPLOYEES[[#This Row],[JOB TITLE]],L_JOBTITLE,0))</f>
        <v>5</v>
      </c>
      <c r="AN82">
        <f ca="1">IF(T_EMPLOYEES[[#This Row],[EMPLOYEE NUMBER]]="","",MATCH(T_EMPLOYEES[[#This Row],[MANAGER]],L_EMPLABELS,0))</f>
        <v>9</v>
      </c>
      <c r="AO82">
        <f ca="1">IF(T_EMPLOYEES[[#This Row],[EMPLOYEE NUMBER]]="","",IF(T_EMPLOYEES[[#This Row],[ERROR]]="",0,1))</f>
        <v>0</v>
      </c>
      <c r="AP8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3" spans="1:42">
      <c r="A83" t="s">
        <v>455</v>
      </c>
      <c r="B83" t="s">
        <v>456</v>
      </c>
      <c r="C83">
        <v>1028539</v>
      </c>
      <c r="D83" t="s">
        <v>457</v>
      </c>
      <c r="E83" s="26">
        <v>30483</v>
      </c>
      <c r="F83" s="26">
        <v>44628</v>
      </c>
      <c r="H83" t="s">
        <v>27</v>
      </c>
      <c r="I83" t="s">
        <v>54</v>
      </c>
      <c r="J83" t="s">
        <v>64</v>
      </c>
      <c r="K83" t="s">
        <v>30</v>
      </c>
      <c r="L83" s="27" t="s">
        <v>45</v>
      </c>
      <c r="M83" t="s">
        <v>46</v>
      </c>
      <c r="N83" t="s">
        <v>81</v>
      </c>
      <c r="O83" t="s">
        <v>82</v>
      </c>
      <c r="P83" t="s">
        <v>81</v>
      </c>
      <c r="Q83" t="s">
        <v>373</v>
      </c>
      <c r="R83">
        <v>7</v>
      </c>
      <c r="S83" s="1">
        <v>320000</v>
      </c>
      <c r="T83" s="1">
        <f ca="1">ROUND(T_EMPLOYEES[[#This Row],[EMP_CTC1]]/12, 0)</f>
        <v>26667</v>
      </c>
      <c r="U83" s="1">
        <v>72000</v>
      </c>
      <c r="V83" s="1" t="s">
        <v>207</v>
      </c>
      <c r="W83" s="1" t="s">
        <v>207</v>
      </c>
      <c r="X8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Vishal Ravindra Sabnis (1028539)</v>
      </c>
      <c r="Y83">
        <v>60000</v>
      </c>
      <c r="Z83" s="29">
        <f t="shared" ca="1" si="2"/>
        <v>77.5</v>
      </c>
      <c r="AA83">
        <f ca="1">IF(T_EMPLOYEES[[#This Row],[EMPLOYEE NUMBER]]="","",ROW(T_EMPLOYEES[[#This Row],[EMPLOYEE LABEL]])-ROW(T_EMPLOYEES[[#Headers],[EMPLOYEE LABEL]]))</f>
        <v>80</v>
      </c>
      <c r="AB83">
        <f ca="1">IF(T_EMPLOYEES[[#This Row],[EMPLOYEE NUMBER]]="","",IF(COUNTIF(T_EMPLOYEES[EMPLOYEE NUMBER],T_EMPLOYEES[[#This Row],[EMPLOYEE NUMBER]])&gt;1,1,0))</f>
        <v>0</v>
      </c>
      <c r="AC83">
        <f ca="1">IF(T_EMPLOYEES[[#This Row],[EMPLOYEE NUMBER]]="","",IF(AND(T_EMPLOYEES[[#This Row],[DATE OF BIRTH]]&gt;0,T_EMPLOYEES[[#This Row],[DATE OF BIRTH]]&lt;TODAY()),0,1))</f>
        <v>0</v>
      </c>
      <c r="AD83">
        <f ca="1">IF(T_EMPLOYEES[[#This Row],[EMPLOYEE NUMBER]]="","",IF(AND(T_EMPLOYEES[[#This Row],[START DATE]]&gt;0,T_EMPLOYEES[[#This Row],[START DATE]]&lt;TODAY()+60),0,1))</f>
        <v>0</v>
      </c>
      <c r="AE83">
        <f ca="1">IF(T_EMPLOYEES[[#This Row],[EMPLOYEE NUMBER]]="","",MATCH(T_EMPLOYEES[[#This Row],[GENDER]],L_GENDER,0))</f>
        <v>1</v>
      </c>
      <c r="AF83">
        <f ca="1">IF(T_EMPLOYEES[[#This Row],[EMPLOYEE NUMBER]]="","",MATCH(T_EMPLOYEES[[#This Row],[HIRE SOURCE]],L_HIRESOURCE,0))</f>
        <v>4</v>
      </c>
      <c r="AG83">
        <f ca="1">IF(T_EMPLOYEES[[#This Row],[EMPLOYEE NUMBER]]="","",MATCH(T_EMPLOYEES[[#This Row],[ETHNICITY]],L_ETHNICITY,0))</f>
        <v>3</v>
      </c>
      <c r="AH83">
        <f ca="1">IF(T_EMPLOYEES[[#This Row],[EMPLOYEE NUMBER]]="","",MATCH(T_EMPLOYEES[[#This Row],[LOCATION]],L_LOCATION,0))</f>
        <v>1</v>
      </c>
      <c r="AI83">
        <f ca="1">IF(T_EMPLOYEES[[#This Row],[EMPLOYEE NUMBER]]="","",MATCH(T_EMPLOYEES[[#This Row],[DEPARTMENT]],L_DEPARTMENT,0))</f>
        <v>2</v>
      </c>
      <c r="AJ83">
        <f ca="1">IF(T_EMPLOYEES[[#This Row],[EMPLOYEE NUMBER]]="","",MATCH(T_EMPLOYEES[[#This Row],[JOB TYPE]],L_JOBTYPE,0))</f>
        <v>2</v>
      </c>
      <c r="AK83">
        <f ca="1">IF(T_EMPLOYEES[[#This Row],[EMPLOYEE NUMBER]]="","",MATCH(T_EMPLOYEES[[#This Row],[JOB CATEGORY]],L_JOBCATEGORY,0))</f>
        <v>5</v>
      </c>
      <c r="AL83">
        <f ca="1">IF(T_EMPLOYEES[[#This Row],[EMPLOYEE NUMBER]]="","",MATCH(T_EMPLOYEES[[#This Row],[JOB LEVEL]],L_JOBLEVEL,0))</f>
        <v>5</v>
      </c>
      <c r="AM83">
        <f ca="1">IF(T_EMPLOYEES[[#This Row],[EMPLOYEE NUMBER]]="","",MATCH(T_EMPLOYEES[[#This Row],[JOB TITLE]],L_JOBTITLE,0))</f>
        <v>5</v>
      </c>
      <c r="AN83">
        <f ca="1">IF(T_EMPLOYEES[[#This Row],[EMPLOYEE NUMBER]]="","",MATCH(T_EMPLOYEES[[#This Row],[MANAGER]],L_EMPLABELS,0))</f>
        <v>9</v>
      </c>
      <c r="AO83">
        <f ca="1">IF(T_EMPLOYEES[[#This Row],[EMPLOYEE NUMBER]]="","",IF(T_EMPLOYEES[[#This Row],[ERROR]]="",0,1))</f>
        <v>0</v>
      </c>
      <c r="AP8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4" spans="1:42">
      <c r="A84" t="s">
        <v>458</v>
      </c>
      <c r="B84" t="s">
        <v>226</v>
      </c>
      <c r="C84">
        <v>1029717</v>
      </c>
      <c r="D84" t="s">
        <v>459</v>
      </c>
      <c r="E84" s="26">
        <v>30498</v>
      </c>
      <c r="F84" s="26">
        <v>44776</v>
      </c>
      <c r="H84" t="s">
        <v>27</v>
      </c>
      <c r="I84" t="s">
        <v>54</v>
      </c>
      <c r="J84" t="s">
        <v>64</v>
      </c>
      <c r="K84" t="s">
        <v>30</v>
      </c>
      <c r="L84" s="27" t="s">
        <v>45</v>
      </c>
      <c r="M84" t="s">
        <v>46</v>
      </c>
      <c r="N84" t="s">
        <v>144</v>
      </c>
      <c r="O84" t="s">
        <v>96</v>
      </c>
      <c r="P84" t="s">
        <v>144</v>
      </c>
      <c r="Q84" t="s">
        <v>280</v>
      </c>
      <c r="R84" s="27"/>
      <c r="S84" s="1">
        <v>320000</v>
      </c>
      <c r="T84" s="1">
        <f ca="1">ROUND(T_EMPLOYEES[[#This Row],[EMP_CTC1]]/12, 0)</f>
        <v>26667</v>
      </c>
      <c r="U84" s="1">
        <v>72000</v>
      </c>
      <c r="V84" s="1" t="s">
        <v>207</v>
      </c>
      <c r="W84" s="1" t="s">
        <v>207</v>
      </c>
      <c r="X8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Somnath K (1029717)</v>
      </c>
      <c r="Y84">
        <v>60000</v>
      </c>
      <c r="Z84" s="29">
        <f t="shared" ca="1" si="2"/>
        <v>77.5</v>
      </c>
      <c r="AA84">
        <f ca="1">IF(T_EMPLOYEES[[#This Row],[EMPLOYEE NUMBER]]="","",ROW(T_EMPLOYEES[[#This Row],[EMPLOYEE LABEL]])-ROW(T_EMPLOYEES[[#Headers],[EMPLOYEE LABEL]]))</f>
        <v>81</v>
      </c>
      <c r="AB84">
        <f ca="1">IF(T_EMPLOYEES[[#This Row],[EMPLOYEE NUMBER]]="","",IF(COUNTIF(T_EMPLOYEES[EMPLOYEE NUMBER],T_EMPLOYEES[[#This Row],[EMPLOYEE NUMBER]])&gt;1,1,0))</f>
        <v>0</v>
      </c>
      <c r="AC84">
        <f ca="1">IF(T_EMPLOYEES[[#This Row],[EMPLOYEE NUMBER]]="","",IF(AND(T_EMPLOYEES[[#This Row],[DATE OF BIRTH]]&gt;0,T_EMPLOYEES[[#This Row],[DATE OF BIRTH]]&lt;TODAY()),0,1))</f>
        <v>0</v>
      </c>
      <c r="AD84">
        <f ca="1">IF(T_EMPLOYEES[[#This Row],[EMPLOYEE NUMBER]]="","",IF(AND(T_EMPLOYEES[[#This Row],[START DATE]]&gt;0,T_EMPLOYEES[[#This Row],[START DATE]]&lt;TODAY()+60),0,1))</f>
        <v>0</v>
      </c>
      <c r="AE84">
        <f ca="1">IF(T_EMPLOYEES[[#This Row],[EMPLOYEE NUMBER]]="","",MATCH(T_EMPLOYEES[[#This Row],[GENDER]],L_GENDER,0))</f>
        <v>1</v>
      </c>
      <c r="AF84">
        <f ca="1">IF(T_EMPLOYEES[[#This Row],[EMPLOYEE NUMBER]]="","",MATCH(T_EMPLOYEES[[#This Row],[HIRE SOURCE]],L_HIRESOURCE,0))</f>
        <v>4</v>
      </c>
      <c r="AG84">
        <f ca="1">IF(T_EMPLOYEES[[#This Row],[EMPLOYEE NUMBER]]="","",MATCH(T_EMPLOYEES[[#This Row],[ETHNICITY]],L_ETHNICITY,0))</f>
        <v>3</v>
      </c>
      <c r="AH84">
        <f ca="1">IF(T_EMPLOYEES[[#This Row],[EMPLOYEE NUMBER]]="","",MATCH(T_EMPLOYEES[[#This Row],[LOCATION]],L_LOCATION,0))</f>
        <v>1</v>
      </c>
      <c r="AI84">
        <f ca="1">IF(T_EMPLOYEES[[#This Row],[EMPLOYEE NUMBER]]="","",MATCH(T_EMPLOYEES[[#This Row],[DEPARTMENT]],L_DEPARTMENT,0))</f>
        <v>2</v>
      </c>
      <c r="AJ84">
        <f ca="1">IF(T_EMPLOYEES[[#This Row],[EMPLOYEE NUMBER]]="","",MATCH(T_EMPLOYEES[[#This Row],[JOB TYPE]],L_JOBTYPE,0))</f>
        <v>2</v>
      </c>
      <c r="AK84">
        <f ca="1">IF(T_EMPLOYEES[[#This Row],[EMPLOYEE NUMBER]]="","",MATCH(T_EMPLOYEES[[#This Row],[JOB CATEGORY]],L_JOBCATEGORY,0))</f>
        <v>23</v>
      </c>
      <c r="AL84">
        <f ca="1">IF(T_EMPLOYEES[[#This Row],[EMPLOYEE NUMBER]]="","",MATCH(T_EMPLOYEES[[#This Row],[JOB LEVEL]],L_JOBLEVEL,0))</f>
        <v>7</v>
      </c>
      <c r="AM84">
        <f ca="1">IF(T_EMPLOYEES[[#This Row],[EMPLOYEE NUMBER]]="","",MATCH(T_EMPLOYEES[[#This Row],[JOB TITLE]],L_JOBTITLE,0))</f>
        <v>23</v>
      </c>
      <c r="AN84">
        <f ca="1">IF(T_EMPLOYEES[[#This Row],[EMPLOYEE NUMBER]]="","",MATCH(T_EMPLOYEES[[#This Row],[MANAGER]],L_EMPLABELS,0))</f>
        <v>86</v>
      </c>
      <c r="AO84">
        <f ca="1">IF(T_EMPLOYEES[[#This Row],[EMPLOYEE NUMBER]]="","",IF(T_EMPLOYEES[[#This Row],[ERROR]]="",0,1))</f>
        <v>0</v>
      </c>
      <c r="AP8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5" spans="1:42">
      <c r="A85" t="s">
        <v>39</v>
      </c>
      <c r="B85" t="s">
        <v>460</v>
      </c>
      <c r="C85">
        <v>1023397</v>
      </c>
      <c r="D85" t="s">
        <v>461</v>
      </c>
      <c r="E85" s="26">
        <v>30558</v>
      </c>
      <c r="F85" s="26">
        <v>44006</v>
      </c>
      <c r="H85" t="s">
        <v>27</v>
      </c>
      <c r="I85" t="s">
        <v>54</v>
      </c>
      <c r="J85" t="s">
        <v>64</v>
      </c>
      <c r="K85" t="s">
        <v>30</v>
      </c>
      <c r="L85" s="27" t="s">
        <v>45</v>
      </c>
      <c r="M85" t="s">
        <v>46</v>
      </c>
      <c r="N85" t="s">
        <v>111</v>
      </c>
      <c r="O85" t="s">
        <v>71</v>
      </c>
      <c r="P85" t="s">
        <v>111</v>
      </c>
      <c r="Q85" t="s">
        <v>218</v>
      </c>
      <c r="R85">
        <v>5</v>
      </c>
      <c r="S85" s="1">
        <v>320000</v>
      </c>
      <c r="T85" s="1">
        <f ca="1">ROUND(T_EMPLOYEES[[#This Row],[EMP_CTC1]]/12, 0)</f>
        <v>26667</v>
      </c>
      <c r="U85" s="1">
        <v>72000</v>
      </c>
      <c r="V85" s="1" t="s">
        <v>207</v>
      </c>
      <c r="W85" s="1" t="s">
        <v>207</v>
      </c>
      <c r="X8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 V N Pavankrishnamantada (1023397)</v>
      </c>
      <c r="Y85">
        <v>60000</v>
      </c>
      <c r="Z85" s="29">
        <f t="shared" ca="1" si="2"/>
        <v>77.5</v>
      </c>
      <c r="AA85">
        <f ca="1">IF(T_EMPLOYEES[[#This Row],[EMPLOYEE NUMBER]]="","",ROW(T_EMPLOYEES[[#This Row],[EMPLOYEE LABEL]])-ROW(T_EMPLOYEES[[#Headers],[EMPLOYEE LABEL]]))</f>
        <v>82</v>
      </c>
      <c r="AB85">
        <f ca="1">IF(T_EMPLOYEES[[#This Row],[EMPLOYEE NUMBER]]="","",IF(COUNTIF(T_EMPLOYEES[EMPLOYEE NUMBER],T_EMPLOYEES[[#This Row],[EMPLOYEE NUMBER]])&gt;1,1,0))</f>
        <v>0</v>
      </c>
      <c r="AC85">
        <f ca="1">IF(T_EMPLOYEES[[#This Row],[EMPLOYEE NUMBER]]="","",IF(AND(T_EMPLOYEES[[#This Row],[DATE OF BIRTH]]&gt;0,T_EMPLOYEES[[#This Row],[DATE OF BIRTH]]&lt;TODAY()),0,1))</f>
        <v>0</v>
      </c>
      <c r="AD85">
        <f ca="1">IF(T_EMPLOYEES[[#This Row],[EMPLOYEE NUMBER]]="","",IF(AND(T_EMPLOYEES[[#This Row],[START DATE]]&gt;0,T_EMPLOYEES[[#This Row],[START DATE]]&lt;TODAY()+60),0,1))</f>
        <v>0</v>
      </c>
      <c r="AE85">
        <f ca="1">IF(T_EMPLOYEES[[#This Row],[EMPLOYEE NUMBER]]="","",MATCH(T_EMPLOYEES[[#This Row],[GENDER]],L_GENDER,0))</f>
        <v>1</v>
      </c>
      <c r="AF85">
        <f ca="1">IF(T_EMPLOYEES[[#This Row],[EMPLOYEE NUMBER]]="","",MATCH(T_EMPLOYEES[[#This Row],[HIRE SOURCE]],L_HIRESOURCE,0))</f>
        <v>4</v>
      </c>
      <c r="AG85">
        <f ca="1">IF(T_EMPLOYEES[[#This Row],[EMPLOYEE NUMBER]]="","",MATCH(T_EMPLOYEES[[#This Row],[ETHNICITY]],L_ETHNICITY,0))</f>
        <v>3</v>
      </c>
      <c r="AH85">
        <f ca="1">IF(T_EMPLOYEES[[#This Row],[EMPLOYEE NUMBER]]="","",MATCH(T_EMPLOYEES[[#This Row],[LOCATION]],L_LOCATION,0))</f>
        <v>1</v>
      </c>
      <c r="AI85">
        <f ca="1">IF(T_EMPLOYEES[[#This Row],[EMPLOYEE NUMBER]]="","",MATCH(T_EMPLOYEES[[#This Row],[DEPARTMENT]],L_DEPARTMENT,0))</f>
        <v>2</v>
      </c>
      <c r="AJ85">
        <f ca="1">IF(T_EMPLOYEES[[#This Row],[EMPLOYEE NUMBER]]="","",MATCH(T_EMPLOYEES[[#This Row],[JOB TYPE]],L_JOBTYPE,0))</f>
        <v>2</v>
      </c>
      <c r="AK85">
        <f ca="1">IF(T_EMPLOYEES[[#This Row],[EMPLOYEE NUMBER]]="","",MATCH(T_EMPLOYEES[[#This Row],[JOB CATEGORY]],L_JOBCATEGORY,0))</f>
        <v>10</v>
      </c>
      <c r="AL85">
        <f ca="1">IF(T_EMPLOYEES[[#This Row],[EMPLOYEE NUMBER]]="","",MATCH(T_EMPLOYEES[[#This Row],[JOB LEVEL]],L_JOBLEVEL,0))</f>
        <v>4</v>
      </c>
      <c r="AM85">
        <f ca="1">IF(T_EMPLOYEES[[#This Row],[EMPLOYEE NUMBER]]="","",MATCH(T_EMPLOYEES[[#This Row],[JOB TITLE]],L_JOBTITLE,0))</f>
        <v>10</v>
      </c>
      <c r="AN85">
        <f ca="1">IF(T_EMPLOYEES[[#This Row],[EMPLOYEE NUMBER]]="","",MATCH(T_EMPLOYEES[[#This Row],[MANAGER]],L_EMPLABELS,0))</f>
        <v>43</v>
      </c>
      <c r="AO85">
        <f ca="1">IF(T_EMPLOYEES[[#This Row],[EMPLOYEE NUMBER]]="","",IF(T_EMPLOYEES[[#This Row],[ERROR]]="",0,1))</f>
        <v>0</v>
      </c>
      <c r="AP8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6" spans="1:42">
      <c r="A86" t="s">
        <v>462</v>
      </c>
      <c r="B86" t="s">
        <v>463</v>
      </c>
      <c r="C86">
        <v>1031852</v>
      </c>
      <c r="D86" t="s">
        <v>464</v>
      </c>
      <c r="E86" s="26">
        <v>30564</v>
      </c>
      <c r="F86" s="26">
        <v>44914</v>
      </c>
      <c r="H86" t="s">
        <v>27</v>
      </c>
      <c r="I86" t="s">
        <v>54</v>
      </c>
      <c r="J86" t="s">
        <v>64</v>
      </c>
      <c r="K86" t="s">
        <v>30</v>
      </c>
      <c r="L86" s="27" t="s">
        <v>45</v>
      </c>
      <c r="M86" t="s">
        <v>46</v>
      </c>
      <c r="N86" t="s">
        <v>134</v>
      </c>
      <c r="O86" t="s">
        <v>96</v>
      </c>
      <c r="P86" t="s">
        <v>134</v>
      </c>
      <c r="Q86" t="s">
        <v>377</v>
      </c>
      <c r="R86" s="27"/>
      <c r="S86" s="1">
        <v>320000</v>
      </c>
      <c r="T86" s="1">
        <f ca="1">ROUND(T_EMPLOYEES[[#This Row],[EMP_CTC1]]/12, 0)</f>
        <v>26667</v>
      </c>
      <c r="U86" s="1">
        <v>72000</v>
      </c>
      <c r="V86" s="1" t="s">
        <v>207</v>
      </c>
      <c r="W86" s="1" t="s">
        <v>207</v>
      </c>
      <c r="X8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Numan Sharieff (1031852)</v>
      </c>
      <c r="Y86">
        <v>60000</v>
      </c>
      <c r="Z86" s="29">
        <f t="shared" ca="1" si="2"/>
        <v>77.5</v>
      </c>
      <c r="AA86">
        <f ca="1">IF(T_EMPLOYEES[[#This Row],[EMPLOYEE NUMBER]]="","",ROW(T_EMPLOYEES[[#This Row],[EMPLOYEE LABEL]])-ROW(T_EMPLOYEES[[#Headers],[EMPLOYEE LABEL]]))</f>
        <v>83</v>
      </c>
      <c r="AB86">
        <f ca="1">IF(T_EMPLOYEES[[#This Row],[EMPLOYEE NUMBER]]="","",IF(COUNTIF(T_EMPLOYEES[EMPLOYEE NUMBER],T_EMPLOYEES[[#This Row],[EMPLOYEE NUMBER]])&gt;1,1,0))</f>
        <v>0</v>
      </c>
      <c r="AC86">
        <f ca="1">IF(T_EMPLOYEES[[#This Row],[EMPLOYEE NUMBER]]="","",IF(AND(T_EMPLOYEES[[#This Row],[DATE OF BIRTH]]&gt;0,T_EMPLOYEES[[#This Row],[DATE OF BIRTH]]&lt;TODAY()),0,1))</f>
        <v>0</v>
      </c>
      <c r="AD86">
        <f ca="1">IF(T_EMPLOYEES[[#This Row],[EMPLOYEE NUMBER]]="","",IF(AND(T_EMPLOYEES[[#This Row],[START DATE]]&gt;0,T_EMPLOYEES[[#This Row],[START DATE]]&lt;TODAY()+60),0,1))</f>
        <v>0</v>
      </c>
      <c r="AE86">
        <f ca="1">IF(T_EMPLOYEES[[#This Row],[EMPLOYEE NUMBER]]="","",MATCH(T_EMPLOYEES[[#This Row],[GENDER]],L_GENDER,0))</f>
        <v>1</v>
      </c>
      <c r="AF86">
        <f ca="1">IF(T_EMPLOYEES[[#This Row],[EMPLOYEE NUMBER]]="","",MATCH(T_EMPLOYEES[[#This Row],[HIRE SOURCE]],L_HIRESOURCE,0))</f>
        <v>4</v>
      </c>
      <c r="AG86">
        <f ca="1">IF(T_EMPLOYEES[[#This Row],[EMPLOYEE NUMBER]]="","",MATCH(T_EMPLOYEES[[#This Row],[ETHNICITY]],L_ETHNICITY,0))</f>
        <v>3</v>
      </c>
      <c r="AH86">
        <f ca="1">IF(T_EMPLOYEES[[#This Row],[EMPLOYEE NUMBER]]="","",MATCH(T_EMPLOYEES[[#This Row],[LOCATION]],L_LOCATION,0))</f>
        <v>1</v>
      </c>
      <c r="AI86">
        <f ca="1">IF(T_EMPLOYEES[[#This Row],[EMPLOYEE NUMBER]]="","",MATCH(T_EMPLOYEES[[#This Row],[DEPARTMENT]],L_DEPARTMENT,0))</f>
        <v>2</v>
      </c>
      <c r="AJ86">
        <f ca="1">IF(T_EMPLOYEES[[#This Row],[EMPLOYEE NUMBER]]="","",MATCH(T_EMPLOYEES[[#This Row],[JOB TYPE]],L_JOBTYPE,0))</f>
        <v>2</v>
      </c>
      <c r="AK86">
        <f ca="1">IF(T_EMPLOYEES[[#This Row],[EMPLOYEE NUMBER]]="","",MATCH(T_EMPLOYEES[[#This Row],[JOB CATEGORY]],L_JOBCATEGORY,0))</f>
        <v>17</v>
      </c>
      <c r="AL86">
        <f ca="1">IF(T_EMPLOYEES[[#This Row],[EMPLOYEE NUMBER]]="","",MATCH(T_EMPLOYEES[[#This Row],[JOB LEVEL]],L_JOBLEVEL,0))</f>
        <v>7</v>
      </c>
      <c r="AM86">
        <f ca="1">IF(T_EMPLOYEES[[#This Row],[EMPLOYEE NUMBER]]="","",MATCH(T_EMPLOYEES[[#This Row],[JOB TITLE]],L_JOBTITLE,0))</f>
        <v>17</v>
      </c>
      <c r="AN86">
        <f ca="1">IF(T_EMPLOYEES[[#This Row],[EMPLOYEE NUMBER]]="","",MATCH(T_EMPLOYEES[[#This Row],[MANAGER]],L_EMPLABELS,0))</f>
        <v>64</v>
      </c>
      <c r="AO86">
        <f ca="1">IF(T_EMPLOYEES[[#This Row],[EMPLOYEE NUMBER]]="","",IF(T_EMPLOYEES[[#This Row],[ERROR]]="",0,1))</f>
        <v>0</v>
      </c>
      <c r="AP8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7" spans="1:42">
      <c r="A87" t="s">
        <v>465</v>
      </c>
      <c r="B87" t="s">
        <v>466</v>
      </c>
      <c r="C87">
        <v>1031768</v>
      </c>
      <c r="D87" t="s">
        <v>467</v>
      </c>
      <c r="E87" s="26">
        <v>31267</v>
      </c>
      <c r="F87" s="26">
        <v>44902</v>
      </c>
      <c r="H87" t="s">
        <v>40</v>
      </c>
      <c r="I87" t="s">
        <v>54</v>
      </c>
      <c r="J87" t="s">
        <v>64</v>
      </c>
      <c r="K87" t="s">
        <v>30</v>
      </c>
      <c r="L87" s="27" t="s">
        <v>121</v>
      </c>
      <c r="M87" t="s">
        <v>46</v>
      </c>
      <c r="N87" t="s">
        <v>81</v>
      </c>
      <c r="O87" t="s">
        <v>82</v>
      </c>
      <c r="P87" t="s">
        <v>81</v>
      </c>
      <c r="Q87" t="s">
        <v>468</v>
      </c>
      <c r="R87">
        <v>7</v>
      </c>
      <c r="S87" s="1">
        <v>320000</v>
      </c>
      <c r="T87" s="1">
        <f ca="1">ROUND(T_EMPLOYEES[[#This Row],[EMP_CTC1]]/12, 0)</f>
        <v>26667</v>
      </c>
      <c r="U87" s="1">
        <v>72000</v>
      </c>
      <c r="V87" s="1" t="s">
        <v>207</v>
      </c>
      <c r="W87" s="1" t="s">
        <v>207</v>
      </c>
      <c r="X8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Archana  R P (1031768)</v>
      </c>
      <c r="Y87">
        <v>60000</v>
      </c>
      <c r="Z87" s="29">
        <f t="shared" ca="1" si="2"/>
        <v>77.5</v>
      </c>
      <c r="AA87">
        <f ca="1">IF(T_EMPLOYEES[[#This Row],[EMPLOYEE NUMBER]]="","",ROW(T_EMPLOYEES[[#This Row],[EMPLOYEE LABEL]])-ROW(T_EMPLOYEES[[#Headers],[EMPLOYEE LABEL]]))</f>
        <v>84</v>
      </c>
      <c r="AB87">
        <f ca="1">IF(T_EMPLOYEES[[#This Row],[EMPLOYEE NUMBER]]="","",IF(COUNTIF(T_EMPLOYEES[EMPLOYEE NUMBER],T_EMPLOYEES[[#This Row],[EMPLOYEE NUMBER]])&gt;1,1,0))</f>
        <v>0</v>
      </c>
      <c r="AC87">
        <f ca="1">IF(T_EMPLOYEES[[#This Row],[EMPLOYEE NUMBER]]="","",IF(AND(T_EMPLOYEES[[#This Row],[DATE OF BIRTH]]&gt;0,T_EMPLOYEES[[#This Row],[DATE OF BIRTH]]&lt;TODAY()),0,1))</f>
        <v>0</v>
      </c>
      <c r="AD87">
        <f ca="1">IF(T_EMPLOYEES[[#This Row],[EMPLOYEE NUMBER]]="","",IF(AND(T_EMPLOYEES[[#This Row],[START DATE]]&gt;0,T_EMPLOYEES[[#This Row],[START DATE]]&lt;TODAY()+60),0,1))</f>
        <v>0</v>
      </c>
      <c r="AE87">
        <f ca="1">IF(T_EMPLOYEES[[#This Row],[EMPLOYEE NUMBER]]="","",MATCH(T_EMPLOYEES[[#This Row],[GENDER]],L_GENDER,0))</f>
        <v>2</v>
      </c>
      <c r="AF87">
        <f ca="1">IF(T_EMPLOYEES[[#This Row],[EMPLOYEE NUMBER]]="","",MATCH(T_EMPLOYEES[[#This Row],[HIRE SOURCE]],L_HIRESOURCE,0))</f>
        <v>4</v>
      </c>
      <c r="AG87">
        <f ca="1">IF(T_EMPLOYEES[[#This Row],[EMPLOYEE NUMBER]]="","",MATCH(T_EMPLOYEES[[#This Row],[ETHNICITY]],L_ETHNICITY,0))</f>
        <v>3</v>
      </c>
      <c r="AH87">
        <f ca="1">IF(T_EMPLOYEES[[#This Row],[EMPLOYEE NUMBER]]="","",MATCH(T_EMPLOYEES[[#This Row],[LOCATION]],L_LOCATION,0))</f>
        <v>1</v>
      </c>
      <c r="AI87">
        <f ca="1">IF(T_EMPLOYEES[[#This Row],[EMPLOYEE NUMBER]]="","",MATCH(T_EMPLOYEES[[#This Row],[DEPARTMENT]],L_DEPARTMENT,0))</f>
        <v>13</v>
      </c>
      <c r="AJ87">
        <f ca="1">IF(T_EMPLOYEES[[#This Row],[EMPLOYEE NUMBER]]="","",MATCH(T_EMPLOYEES[[#This Row],[JOB TYPE]],L_JOBTYPE,0))</f>
        <v>2</v>
      </c>
      <c r="AK87">
        <f ca="1">IF(T_EMPLOYEES[[#This Row],[EMPLOYEE NUMBER]]="","",MATCH(T_EMPLOYEES[[#This Row],[JOB CATEGORY]],L_JOBCATEGORY,0))</f>
        <v>5</v>
      </c>
      <c r="AL87">
        <f ca="1">IF(T_EMPLOYEES[[#This Row],[EMPLOYEE NUMBER]]="","",MATCH(T_EMPLOYEES[[#This Row],[JOB LEVEL]],L_JOBLEVEL,0))</f>
        <v>5</v>
      </c>
      <c r="AM87">
        <f ca="1">IF(T_EMPLOYEES[[#This Row],[EMPLOYEE NUMBER]]="","",MATCH(T_EMPLOYEES[[#This Row],[JOB TITLE]],L_JOBTITLE,0))</f>
        <v>5</v>
      </c>
      <c r="AN87">
        <f ca="1">IF(T_EMPLOYEES[[#This Row],[EMPLOYEE NUMBER]]="","",MATCH(T_EMPLOYEES[[#This Row],[MANAGER]],L_EMPLABELS,0))</f>
        <v>56</v>
      </c>
      <c r="AO87">
        <f ca="1">IF(T_EMPLOYEES[[#This Row],[EMPLOYEE NUMBER]]="","",IF(T_EMPLOYEES[[#This Row],[ERROR]]="",0,1))</f>
        <v>0</v>
      </c>
      <c r="AP8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8" spans="1:42">
      <c r="A88" t="s">
        <v>469</v>
      </c>
      <c r="B88" t="s">
        <v>470</v>
      </c>
      <c r="C88">
        <v>1029362</v>
      </c>
      <c r="D88" t="s">
        <v>471</v>
      </c>
      <c r="E88" s="26">
        <v>30664</v>
      </c>
      <c r="F88" s="26">
        <v>44735</v>
      </c>
      <c r="H88" t="s">
        <v>40</v>
      </c>
      <c r="I88" t="s">
        <v>54</v>
      </c>
      <c r="J88" t="s">
        <v>64</v>
      </c>
      <c r="K88" t="s">
        <v>43</v>
      </c>
      <c r="L88" s="27" t="s">
        <v>45</v>
      </c>
      <c r="M88" t="s">
        <v>46</v>
      </c>
      <c r="N88" t="s">
        <v>81</v>
      </c>
      <c r="O88" t="s">
        <v>82</v>
      </c>
      <c r="P88" t="s">
        <v>81</v>
      </c>
      <c r="Q88" t="s">
        <v>276</v>
      </c>
      <c r="R88" s="27">
        <v>7</v>
      </c>
      <c r="S88" s="1">
        <v>320000</v>
      </c>
      <c r="T88" s="1">
        <f ca="1">ROUND(T_EMPLOYEES[[#This Row],[EMP_CTC1]]/12, 0)</f>
        <v>26667</v>
      </c>
      <c r="U88" s="1">
        <v>72000</v>
      </c>
      <c r="V88" s="1" t="s">
        <v>207</v>
      </c>
      <c r="W88" s="1" t="s">
        <v>207</v>
      </c>
      <c r="X8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Karthigaselvi  Sivanantham (1029362)</v>
      </c>
      <c r="Y88">
        <v>60000</v>
      </c>
      <c r="Z88" s="29">
        <f t="shared" ca="1" si="2"/>
        <v>77.5</v>
      </c>
      <c r="AA88">
        <f ca="1">IF(T_EMPLOYEES[[#This Row],[EMPLOYEE NUMBER]]="","",ROW(T_EMPLOYEES[[#This Row],[EMPLOYEE LABEL]])-ROW(T_EMPLOYEES[[#Headers],[EMPLOYEE LABEL]]))</f>
        <v>85</v>
      </c>
      <c r="AB88">
        <f ca="1">IF(T_EMPLOYEES[[#This Row],[EMPLOYEE NUMBER]]="","",IF(COUNTIF(T_EMPLOYEES[EMPLOYEE NUMBER],T_EMPLOYEES[[#This Row],[EMPLOYEE NUMBER]])&gt;1,1,0))</f>
        <v>0</v>
      </c>
      <c r="AC88">
        <f ca="1">IF(T_EMPLOYEES[[#This Row],[EMPLOYEE NUMBER]]="","",IF(AND(T_EMPLOYEES[[#This Row],[DATE OF BIRTH]]&gt;0,T_EMPLOYEES[[#This Row],[DATE OF BIRTH]]&lt;TODAY()),0,1))</f>
        <v>0</v>
      </c>
      <c r="AD88">
        <f ca="1">IF(T_EMPLOYEES[[#This Row],[EMPLOYEE NUMBER]]="","",IF(AND(T_EMPLOYEES[[#This Row],[START DATE]]&gt;0,T_EMPLOYEES[[#This Row],[START DATE]]&lt;TODAY()+60),0,1))</f>
        <v>0</v>
      </c>
      <c r="AE88">
        <f ca="1">IF(T_EMPLOYEES[[#This Row],[EMPLOYEE NUMBER]]="","",MATCH(T_EMPLOYEES[[#This Row],[GENDER]],L_GENDER,0))</f>
        <v>2</v>
      </c>
      <c r="AF88">
        <f ca="1">IF(T_EMPLOYEES[[#This Row],[EMPLOYEE NUMBER]]="","",MATCH(T_EMPLOYEES[[#This Row],[HIRE SOURCE]],L_HIRESOURCE,0))</f>
        <v>4</v>
      </c>
      <c r="AG88">
        <f ca="1">IF(T_EMPLOYEES[[#This Row],[EMPLOYEE NUMBER]]="","",MATCH(T_EMPLOYEES[[#This Row],[ETHNICITY]],L_ETHNICITY,0))</f>
        <v>3</v>
      </c>
      <c r="AH88">
        <f ca="1">IF(T_EMPLOYEES[[#This Row],[EMPLOYEE NUMBER]]="","",MATCH(T_EMPLOYEES[[#This Row],[LOCATION]],L_LOCATION,0))</f>
        <v>2</v>
      </c>
      <c r="AI88">
        <f ca="1">IF(T_EMPLOYEES[[#This Row],[EMPLOYEE NUMBER]]="","",MATCH(T_EMPLOYEES[[#This Row],[DEPARTMENT]],L_DEPARTMENT,0))</f>
        <v>2</v>
      </c>
      <c r="AJ88">
        <f ca="1">IF(T_EMPLOYEES[[#This Row],[EMPLOYEE NUMBER]]="","",MATCH(T_EMPLOYEES[[#This Row],[JOB TYPE]],L_JOBTYPE,0))</f>
        <v>2</v>
      </c>
      <c r="AK88">
        <f ca="1">IF(T_EMPLOYEES[[#This Row],[EMPLOYEE NUMBER]]="","",MATCH(T_EMPLOYEES[[#This Row],[JOB CATEGORY]],L_JOBCATEGORY,0))</f>
        <v>5</v>
      </c>
      <c r="AL88">
        <f ca="1">IF(T_EMPLOYEES[[#This Row],[EMPLOYEE NUMBER]]="","",MATCH(T_EMPLOYEES[[#This Row],[JOB LEVEL]],L_JOBLEVEL,0))</f>
        <v>5</v>
      </c>
      <c r="AM88">
        <f ca="1">IF(T_EMPLOYEES[[#This Row],[EMPLOYEE NUMBER]]="","",MATCH(T_EMPLOYEES[[#This Row],[JOB TITLE]],L_JOBTITLE,0))</f>
        <v>5</v>
      </c>
      <c r="AN88">
        <f ca="1">IF(T_EMPLOYEES[[#This Row],[EMPLOYEE NUMBER]]="","",MATCH(T_EMPLOYEES[[#This Row],[MANAGER]],L_EMPLABELS,0))</f>
        <v>8</v>
      </c>
      <c r="AO88">
        <f ca="1">IF(T_EMPLOYEES[[#This Row],[EMPLOYEE NUMBER]]="","",IF(T_EMPLOYEES[[#This Row],[ERROR]]="",0,1))</f>
        <v>0</v>
      </c>
      <c r="AP8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9" spans="1:42">
      <c r="A89" t="s">
        <v>472</v>
      </c>
      <c r="B89" t="s">
        <v>473</v>
      </c>
      <c r="C89">
        <v>1013703</v>
      </c>
      <c r="D89" t="s">
        <v>474</v>
      </c>
      <c r="E89" s="26">
        <v>30731</v>
      </c>
      <c r="F89" s="26">
        <v>41548</v>
      </c>
      <c r="H89" t="s">
        <v>27</v>
      </c>
      <c r="I89" t="s">
        <v>54</v>
      </c>
      <c r="J89" t="s">
        <v>64</v>
      </c>
      <c r="K89" t="s">
        <v>30</v>
      </c>
      <c r="L89" s="27" t="s">
        <v>45</v>
      </c>
      <c r="M89" t="s">
        <v>46</v>
      </c>
      <c r="N89" t="s">
        <v>115</v>
      </c>
      <c r="O89" t="s">
        <v>112</v>
      </c>
      <c r="P89" t="s">
        <v>115</v>
      </c>
      <c r="Q89" t="s">
        <v>215</v>
      </c>
      <c r="R89">
        <v>21</v>
      </c>
      <c r="S89" s="1">
        <v>320000</v>
      </c>
      <c r="T89" s="1">
        <f ca="1">ROUND(T_EMPLOYEES[[#This Row],[EMP_CTC1]]/12, 0)</f>
        <v>26667</v>
      </c>
      <c r="U89" s="1">
        <v>72000</v>
      </c>
      <c r="V89" s="1" t="s">
        <v>207</v>
      </c>
      <c r="W89" s="1" t="s">
        <v>207</v>
      </c>
      <c r="X8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Vijaykrishnan  Ragavan (1013703)</v>
      </c>
      <c r="Y89">
        <v>60000</v>
      </c>
      <c r="Z89" s="29">
        <f t="shared" ca="1" si="2"/>
        <v>77.5</v>
      </c>
      <c r="AA89">
        <f ca="1">IF(T_EMPLOYEES[[#This Row],[EMPLOYEE NUMBER]]="","",ROW(T_EMPLOYEES[[#This Row],[EMPLOYEE LABEL]])-ROW(T_EMPLOYEES[[#Headers],[EMPLOYEE LABEL]]))</f>
        <v>86</v>
      </c>
      <c r="AB89">
        <f ca="1">IF(T_EMPLOYEES[[#This Row],[EMPLOYEE NUMBER]]="","",IF(COUNTIF(T_EMPLOYEES[EMPLOYEE NUMBER],T_EMPLOYEES[[#This Row],[EMPLOYEE NUMBER]])&gt;1,1,0))</f>
        <v>0</v>
      </c>
      <c r="AC89">
        <f ca="1">IF(T_EMPLOYEES[[#This Row],[EMPLOYEE NUMBER]]="","",IF(AND(T_EMPLOYEES[[#This Row],[DATE OF BIRTH]]&gt;0,T_EMPLOYEES[[#This Row],[DATE OF BIRTH]]&lt;TODAY()),0,1))</f>
        <v>0</v>
      </c>
      <c r="AD89">
        <f ca="1">IF(T_EMPLOYEES[[#This Row],[EMPLOYEE NUMBER]]="","",IF(AND(T_EMPLOYEES[[#This Row],[START DATE]]&gt;0,T_EMPLOYEES[[#This Row],[START DATE]]&lt;TODAY()+60),0,1))</f>
        <v>0</v>
      </c>
      <c r="AE89">
        <f ca="1">IF(T_EMPLOYEES[[#This Row],[EMPLOYEE NUMBER]]="","",MATCH(T_EMPLOYEES[[#This Row],[GENDER]],L_GENDER,0))</f>
        <v>1</v>
      </c>
      <c r="AF89">
        <f ca="1">IF(T_EMPLOYEES[[#This Row],[EMPLOYEE NUMBER]]="","",MATCH(T_EMPLOYEES[[#This Row],[HIRE SOURCE]],L_HIRESOURCE,0))</f>
        <v>4</v>
      </c>
      <c r="AG89">
        <f ca="1">IF(T_EMPLOYEES[[#This Row],[EMPLOYEE NUMBER]]="","",MATCH(T_EMPLOYEES[[#This Row],[ETHNICITY]],L_ETHNICITY,0))</f>
        <v>3</v>
      </c>
      <c r="AH89">
        <f ca="1">IF(T_EMPLOYEES[[#This Row],[EMPLOYEE NUMBER]]="","",MATCH(T_EMPLOYEES[[#This Row],[LOCATION]],L_LOCATION,0))</f>
        <v>1</v>
      </c>
      <c r="AI89">
        <f ca="1">IF(T_EMPLOYEES[[#This Row],[EMPLOYEE NUMBER]]="","",MATCH(T_EMPLOYEES[[#This Row],[DEPARTMENT]],L_DEPARTMENT,0))</f>
        <v>2</v>
      </c>
      <c r="AJ89">
        <f ca="1">IF(T_EMPLOYEES[[#This Row],[EMPLOYEE NUMBER]]="","",MATCH(T_EMPLOYEES[[#This Row],[JOB TYPE]],L_JOBTYPE,0))</f>
        <v>2</v>
      </c>
      <c r="AK89">
        <f ca="1">IF(T_EMPLOYEES[[#This Row],[EMPLOYEE NUMBER]]="","",MATCH(T_EMPLOYEES[[#This Row],[JOB CATEGORY]],L_JOBCATEGORY,0))</f>
        <v>11</v>
      </c>
      <c r="AL89">
        <f ca="1">IF(T_EMPLOYEES[[#This Row],[EMPLOYEE NUMBER]]="","",MATCH(T_EMPLOYEES[[#This Row],[JOB LEVEL]],L_JOBLEVEL,0))</f>
        <v>10</v>
      </c>
      <c r="AM89">
        <f ca="1">IF(T_EMPLOYEES[[#This Row],[EMPLOYEE NUMBER]]="","",MATCH(T_EMPLOYEES[[#This Row],[JOB TITLE]],L_JOBTITLE,0))</f>
        <v>11</v>
      </c>
      <c r="AN89">
        <f ca="1">IF(T_EMPLOYEES[[#This Row],[EMPLOYEE NUMBER]]="","",MATCH(T_EMPLOYEES[[#This Row],[MANAGER]],L_EMPLABELS,0))</f>
        <v>13</v>
      </c>
      <c r="AO89">
        <f ca="1">IF(T_EMPLOYEES[[#This Row],[EMPLOYEE NUMBER]]="","",IF(T_EMPLOYEES[[#This Row],[ERROR]]="",0,1))</f>
        <v>0</v>
      </c>
      <c r="AP8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0" spans="1:42">
      <c r="A90" t="s">
        <v>361</v>
      </c>
      <c r="B90" t="s">
        <v>475</v>
      </c>
      <c r="C90">
        <v>1022795</v>
      </c>
      <c r="D90" t="s">
        <v>476</v>
      </c>
      <c r="E90" s="26">
        <v>30759</v>
      </c>
      <c r="F90" s="26">
        <v>43773</v>
      </c>
      <c r="H90" t="s">
        <v>27</v>
      </c>
      <c r="I90" t="s">
        <v>54</v>
      </c>
      <c r="J90" t="s">
        <v>64</v>
      </c>
      <c r="K90" t="s">
        <v>30</v>
      </c>
      <c r="L90" s="27" t="s">
        <v>45</v>
      </c>
      <c r="M90" t="s">
        <v>46</v>
      </c>
      <c r="N90" t="s">
        <v>101</v>
      </c>
      <c r="O90" t="s">
        <v>90</v>
      </c>
      <c r="P90" t="s">
        <v>101</v>
      </c>
      <c r="Q90" t="s">
        <v>215</v>
      </c>
      <c r="R90" s="27">
        <v>7</v>
      </c>
      <c r="S90" s="1">
        <v>320000</v>
      </c>
      <c r="T90" s="1">
        <f ca="1">ROUND(T_EMPLOYEES[[#This Row],[EMP_CTC1]]/12, 0)</f>
        <v>26667</v>
      </c>
      <c r="U90" s="1">
        <v>72000</v>
      </c>
      <c r="V90" s="1" t="s">
        <v>207</v>
      </c>
      <c r="W90" s="1" t="s">
        <v>207</v>
      </c>
      <c r="X9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  Muthukumar (1022795)</v>
      </c>
      <c r="Y90">
        <v>60000</v>
      </c>
      <c r="Z90" s="29">
        <f t="shared" ca="1" si="2"/>
        <v>77.5</v>
      </c>
      <c r="AA90">
        <f ca="1">IF(T_EMPLOYEES[[#This Row],[EMPLOYEE NUMBER]]="","",ROW(T_EMPLOYEES[[#This Row],[EMPLOYEE LABEL]])-ROW(T_EMPLOYEES[[#Headers],[EMPLOYEE LABEL]]))</f>
        <v>87</v>
      </c>
      <c r="AB90">
        <f ca="1">IF(T_EMPLOYEES[[#This Row],[EMPLOYEE NUMBER]]="","",IF(COUNTIF(T_EMPLOYEES[EMPLOYEE NUMBER],T_EMPLOYEES[[#This Row],[EMPLOYEE NUMBER]])&gt;1,1,0))</f>
        <v>0</v>
      </c>
      <c r="AC90">
        <f ca="1">IF(T_EMPLOYEES[[#This Row],[EMPLOYEE NUMBER]]="","",IF(AND(T_EMPLOYEES[[#This Row],[DATE OF BIRTH]]&gt;0,T_EMPLOYEES[[#This Row],[DATE OF BIRTH]]&lt;TODAY()),0,1))</f>
        <v>0</v>
      </c>
      <c r="AD90">
        <f ca="1">IF(T_EMPLOYEES[[#This Row],[EMPLOYEE NUMBER]]="","",IF(AND(T_EMPLOYEES[[#This Row],[START DATE]]&gt;0,T_EMPLOYEES[[#This Row],[START DATE]]&lt;TODAY()+60),0,1))</f>
        <v>0</v>
      </c>
      <c r="AE90">
        <f ca="1">IF(T_EMPLOYEES[[#This Row],[EMPLOYEE NUMBER]]="","",MATCH(T_EMPLOYEES[[#This Row],[GENDER]],L_GENDER,0))</f>
        <v>1</v>
      </c>
      <c r="AF90">
        <f ca="1">IF(T_EMPLOYEES[[#This Row],[EMPLOYEE NUMBER]]="","",MATCH(T_EMPLOYEES[[#This Row],[HIRE SOURCE]],L_HIRESOURCE,0))</f>
        <v>4</v>
      </c>
      <c r="AG90">
        <f ca="1">IF(T_EMPLOYEES[[#This Row],[EMPLOYEE NUMBER]]="","",MATCH(T_EMPLOYEES[[#This Row],[ETHNICITY]],L_ETHNICITY,0))</f>
        <v>3</v>
      </c>
      <c r="AH90">
        <f ca="1">IF(T_EMPLOYEES[[#This Row],[EMPLOYEE NUMBER]]="","",MATCH(T_EMPLOYEES[[#This Row],[LOCATION]],L_LOCATION,0))</f>
        <v>1</v>
      </c>
      <c r="AI90">
        <f ca="1">IF(T_EMPLOYEES[[#This Row],[EMPLOYEE NUMBER]]="","",MATCH(T_EMPLOYEES[[#This Row],[DEPARTMENT]],L_DEPARTMENT,0))</f>
        <v>2</v>
      </c>
      <c r="AJ90">
        <f ca="1">IF(T_EMPLOYEES[[#This Row],[EMPLOYEE NUMBER]]="","",MATCH(T_EMPLOYEES[[#This Row],[JOB TYPE]],L_JOBTYPE,0))</f>
        <v>2</v>
      </c>
      <c r="AK90">
        <f ca="1">IF(T_EMPLOYEES[[#This Row],[EMPLOYEE NUMBER]]="","",MATCH(T_EMPLOYEES[[#This Row],[JOB CATEGORY]],L_JOBCATEGORY,0))</f>
        <v>8</v>
      </c>
      <c r="AL90">
        <f ca="1">IF(T_EMPLOYEES[[#This Row],[EMPLOYEE NUMBER]]="","",MATCH(T_EMPLOYEES[[#This Row],[JOB LEVEL]],L_JOBLEVEL,0))</f>
        <v>6</v>
      </c>
      <c r="AM90">
        <f ca="1">IF(T_EMPLOYEES[[#This Row],[EMPLOYEE NUMBER]]="","",MATCH(T_EMPLOYEES[[#This Row],[JOB TITLE]],L_JOBTITLE,0))</f>
        <v>8</v>
      </c>
      <c r="AN90">
        <f ca="1">IF(T_EMPLOYEES[[#This Row],[EMPLOYEE NUMBER]]="","",MATCH(T_EMPLOYEES[[#This Row],[MANAGER]],L_EMPLABELS,0))</f>
        <v>13</v>
      </c>
      <c r="AO90">
        <f ca="1">IF(T_EMPLOYEES[[#This Row],[EMPLOYEE NUMBER]]="","",IF(T_EMPLOYEES[[#This Row],[ERROR]]="",0,1))</f>
        <v>0</v>
      </c>
      <c r="AP9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1" spans="1:42">
      <c r="A91" t="s">
        <v>477</v>
      </c>
      <c r="B91" t="s">
        <v>226</v>
      </c>
      <c r="C91">
        <v>1027682</v>
      </c>
      <c r="D91" t="s">
        <v>478</v>
      </c>
      <c r="E91" s="26">
        <v>30819</v>
      </c>
      <c r="F91" s="26">
        <v>44547</v>
      </c>
      <c r="H91" t="s">
        <v>27</v>
      </c>
      <c r="I91" t="s">
        <v>54</v>
      </c>
      <c r="J91" t="s">
        <v>64</v>
      </c>
      <c r="K91" t="s">
        <v>30</v>
      </c>
      <c r="L91" s="27" t="s">
        <v>130</v>
      </c>
      <c r="M91" t="s">
        <v>46</v>
      </c>
      <c r="N91" t="s">
        <v>111</v>
      </c>
      <c r="O91" t="s">
        <v>71</v>
      </c>
      <c r="P91" t="s">
        <v>111</v>
      </c>
      <c r="Q91" t="s">
        <v>337</v>
      </c>
      <c r="R91">
        <v>5</v>
      </c>
      <c r="S91" s="1">
        <v>320000</v>
      </c>
      <c r="T91" s="1">
        <f ca="1">ROUND(T_EMPLOYEES[[#This Row],[EMP_CTC1]]/12, 0)</f>
        <v>26667</v>
      </c>
      <c r="U91" s="1">
        <v>72000</v>
      </c>
      <c r="V91" s="1" t="s">
        <v>207</v>
      </c>
      <c r="W91" s="1" t="s">
        <v>207</v>
      </c>
      <c r="X9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Saravanakumar K (1027682)</v>
      </c>
      <c r="Y91">
        <v>60000</v>
      </c>
      <c r="Z91" s="29">
        <f t="shared" ca="1" si="2"/>
        <v>77.5</v>
      </c>
      <c r="AA91">
        <f ca="1">IF(T_EMPLOYEES[[#This Row],[EMPLOYEE NUMBER]]="","",ROW(T_EMPLOYEES[[#This Row],[EMPLOYEE LABEL]])-ROW(T_EMPLOYEES[[#Headers],[EMPLOYEE LABEL]]))</f>
        <v>88</v>
      </c>
      <c r="AB91">
        <f ca="1">IF(T_EMPLOYEES[[#This Row],[EMPLOYEE NUMBER]]="","",IF(COUNTIF(T_EMPLOYEES[EMPLOYEE NUMBER],T_EMPLOYEES[[#This Row],[EMPLOYEE NUMBER]])&gt;1,1,0))</f>
        <v>0</v>
      </c>
      <c r="AC91">
        <f ca="1">IF(T_EMPLOYEES[[#This Row],[EMPLOYEE NUMBER]]="","",IF(AND(T_EMPLOYEES[[#This Row],[DATE OF BIRTH]]&gt;0,T_EMPLOYEES[[#This Row],[DATE OF BIRTH]]&lt;TODAY()),0,1))</f>
        <v>0</v>
      </c>
      <c r="AD91">
        <f ca="1">IF(T_EMPLOYEES[[#This Row],[EMPLOYEE NUMBER]]="","",IF(AND(T_EMPLOYEES[[#This Row],[START DATE]]&gt;0,T_EMPLOYEES[[#This Row],[START DATE]]&lt;TODAY()+60),0,1))</f>
        <v>0</v>
      </c>
      <c r="AE91">
        <f ca="1">IF(T_EMPLOYEES[[#This Row],[EMPLOYEE NUMBER]]="","",MATCH(T_EMPLOYEES[[#This Row],[GENDER]],L_GENDER,0))</f>
        <v>1</v>
      </c>
      <c r="AF91">
        <f ca="1">IF(T_EMPLOYEES[[#This Row],[EMPLOYEE NUMBER]]="","",MATCH(T_EMPLOYEES[[#This Row],[HIRE SOURCE]],L_HIRESOURCE,0))</f>
        <v>4</v>
      </c>
      <c r="AG91">
        <f ca="1">IF(T_EMPLOYEES[[#This Row],[EMPLOYEE NUMBER]]="","",MATCH(T_EMPLOYEES[[#This Row],[ETHNICITY]],L_ETHNICITY,0))</f>
        <v>3</v>
      </c>
      <c r="AH91">
        <f ca="1">IF(T_EMPLOYEES[[#This Row],[EMPLOYEE NUMBER]]="","",MATCH(T_EMPLOYEES[[#This Row],[LOCATION]],L_LOCATION,0))</f>
        <v>1</v>
      </c>
      <c r="AI91">
        <f ca="1">IF(T_EMPLOYEES[[#This Row],[EMPLOYEE NUMBER]]="","",MATCH(T_EMPLOYEES[[#This Row],[DEPARTMENT]],L_DEPARTMENT,0))</f>
        <v>16</v>
      </c>
      <c r="AJ91">
        <f ca="1">IF(T_EMPLOYEES[[#This Row],[EMPLOYEE NUMBER]]="","",MATCH(T_EMPLOYEES[[#This Row],[JOB TYPE]],L_JOBTYPE,0))</f>
        <v>2</v>
      </c>
      <c r="AK91">
        <f ca="1">IF(T_EMPLOYEES[[#This Row],[EMPLOYEE NUMBER]]="","",MATCH(T_EMPLOYEES[[#This Row],[JOB CATEGORY]],L_JOBCATEGORY,0))</f>
        <v>10</v>
      </c>
      <c r="AL91">
        <f ca="1">IF(T_EMPLOYEES[[#This Row],[EMPLOYEE NUMBER]]="","",MATCH(T_EMPLOYEES[[#This Row],[JOB LEVEL]],L_JOBLEVEL,0))</f>
        <v>4</v>
      </c>
      <c r="AM91">
        <f ca="1">IF(T_EMPLOYEES[[#This Row],[EMPLOYEE NUMBER]]="","",MATCH(T_EMPLOYEES[[#This Row],[JOB TITLE]],L_JOBTITLE,0))</f>
        <v>10</v>
      </c>
      <c r="AN91">
        <f ca="1">IF(T_EMPLOYEES[[#This Row],[EMPLOYEE NUMBER]]="","",MATCH(T_EMPLOYEES[[#This Row],[MANAGER]],L_EMPLABELS,0))</f>
        <v>48</v>
      </c>
      <c r="AO91">
        <f ca="1">IF(T_EMPLOYEES[[#This Row],[EMPLOYEE NUMBER]]="","",IF(T_EMPLOYEES[[#This Row],[ERROR]]="",0,1))</f>
        <v>0</v>
      </c>
      <c r="AP9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2" spans="1:42">
      <c r="A92" t="s">
        <v>442</v>
      </c>
      <c r="B92" t="s">
        <v>479</v>
      </c>
      <c r="C92">
        <v>1029823</v>
      </c>
      <c r="D92" t="s">
        <v>480</v>
      </c>
      <c r="E92" s="26">
        <v>30843</v>
      </c>
      <c r="F92" s="26">
        <v>44785</v>
      </c>
      <c r="H92" t="s">
        <v>40</v>
      </c>
      <c r="I92" t="s">
        <v>54</v>
      </c>
      <c r="J92" t="s">
        <v>64</v>
      </c>
      <c r="K92" t="s">
        <v>30</v>
      </c>
      <c r="L92" s="27" t="s">
        <v>45</v>
      </c>
      <c r="M92" t="s">
        <v>46</v>
      </c>
      <c r="N92" t="s">
        <v>81</v>
      </c>
      <c r="O92" t="s">
        <v>82</v>
      </c>
      <c r="P92" t="s">
        <v>81</v>
      </c>
      <c r="Q92" t="s">
        <v>215</v>
      </c>
      <c r="R92" s="27">
        <v>7</v>
      </c>
      <c r="S92" s="1">
        <v>320000</v>
      </c>
      <c r="T92" s="1">
        <f ca="1">ROUND(T_EMPLOYEES[[#This Row],[EMP_CTC1]]/12, 0)</f>
        <v>26667</v>
      </c>
      <c r="U92" s="1">
        <v>72000</v>
      </c>
      <c r="V92" s="1" t="s">
        <v>207</v>
      </c>
      <c r="W92" s="1" t="s">
        <v>207</v>
      </c>
      <c r="X9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Sunitha  Sudi (1029823)</v>
      </c>
      <c r="Y92">
        <v>60000</v>
      </c>
      <c r="Z92" s="29">
        <f t="shared" ca="1" si="2"/>
        <v>77.5</v>
      </c>
      <c r="AA92">
        <f ca="1">IF(T_EMPLOYEES[[#This Row],[EMPLOYEE NUMBER]]="","",ROW(T_EMPLOYEES[[#This Row],[EMPLOYEE LABEL]])-ROW(T_EMPLOYEES[[#Headers],[EMPLOYEE LABEL]]))</f>
        <v>89</v>
      </c>
      <c r="AB92">
        <f ca="1">IF(T_EMPLOYEES[[#This Row],[EMPLOYEE NUMBER]]="","",IF(COUNTIF(T_EMPLOYEES[EMPLOYEE NUMBER],T_EMPLOYEES[[#This Row],[EMPLOYEE NUMBER]])&gt;1,1,0))</f>
        <v>0</v>
      </c>
      <c r="AC92">
        <f ca="1">IF(T_EMPLOYEES[[#This Row],[EMPLOYEE NUMBER]]="","",IF(AND(T_EMPLOYEES[[#This Row],[DATE OF BIRTH]]&gt;0,T_EMPLOYEES[[#This Row],[DATE OF BIRTH]]&lt;TODAY()),0,1))</f>
        <v>0</v>
      </c>
      <c r="AD92">
        <f ca="1">IF(T_EMPLOYEES[[#This Row],[EMPLOYEE NUMBER]]="","",IF(AND(T_EMPLOYEES[[#This Row],[START DATE]]&gt;0,T_EMPLOYEES[[#This Row],[START DATE]]&lt;TODAY()+60),0,1))</f>
        <v>0</v>
      </c>
      <c r="AE92">
        <f ca="1">IF(T_EMPLOYEES[[#This Row],[EMPLOYEE NUMBER]]="","",MATCH(T_EMPLOYEES[[#This Row],[GENDER]],L_GENDER,0))</f>
        <v>2</v>
      </c>
      <c r="AF92">
        <f ca="1">IF(T_EMPLOYEES[[#This Row],[EMPLOYEE NUMBER]]="","",MATCH(T_EMPLOYEES[[#This Row],[HIRE SOURCE]],L_HIRESOURCE,0))</f>
        <v>4</v>
      </c>
      <c r="AG92">
        <f ca="1">IF(T_EMPLOYEES[[#This Row],[EMPLOYEE NUMBER]]="","",MATCH(T_EMPLOYEES[[#This Row],[ETHNICITY]],L_ETHNICITY,0))</f>
        <v>3</v>
      </c>
      <c r="AH92">
        <f ca="1">IF(T_EMPLOYEES[[#This Row],[EMPLOYEE NUMBER]]="","",MATCH(T_EMPLOYEES[[#This Row],[LOCATION]],L_LOCATION,0))</f>
        <v>1</v>
      </c>
      <c r="AI92">
        <f ca="1">IF(T_EMPLOYEES[[#This Row],[EMPLOYEE NUMBER]]="","",MATCH(T_EMPLOYEES[[#This Row],[DEPARTMENT]],L_DEPARTMENT,0))</f>
        <v>2</v>
      </c>
      <c r="AJ92">
        <f ca="1">IF(T_EMPLOYEES[[#This Row],[EMPLOYEE NUMBER]]="","",MATCH(T_EMPLOYEES[[#This Row],[JOB TYPE]],L_JOBTYPE,0))</f>
        <v>2</v>
      </c>
      <c r="AK92">
        <f ca="1">IF(T_EMPLOYEES[[#This Row],[EMPLOYEE NUMBER]]="","",MATCH(T_EMPLOYEES[[#This Row],[JOB CATEGORY]],L_JOBCATEGORY,0))</f>
        <v>5</v>
      </c>
      <c r="AL92">
        <f ca="1">IF(T_EMPLOYEES[[#This Row],[EMPLOYEE NUMBER]]="","",MATCH(T_EMPLOYEES[[#This Row],[JOB LEVEL]],L_JOBLEVEL,0))</f>
        <v>5</v>
      </c>
      <c r="AM92">
        <f ca="1">IF(T_EMPLOYEES[[#This Row],[EMPLOYEE NUMBER]]="","",MATCH(T_EMPLOYEES[[#This Row],[JOB TITLE]],L_JOBTITLE,0))</f>
        <v>5</v>
      </c>
      <c r="AN92">
        <f ca="1">IF(T_EMPLOYEES[[#This Row],[EMPLOYEE NUMBER]]="","",MATCH(T_EMPLOYEES[[#This Row],[MANAGER]],L_EMPLABELS,0))</f>
        <v>13</v>
      </c>
      <c r="AO92">
        <f ca="1">IF(T_EMPLOYEES[[#This Row],[EMPLOYEE NUMBER]]="","",IF(T_EMPLOYEES[[#This Row],[ERROR]]="",0,1))</f>
        <v>0</v>
      </c>
      <c r="AP9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3" spans="1:42">
      <c r="A93" t="s">
        <v>481</v>
      </c>
      <c r="B93" t="s">
        <v>482</v>
      </c>
      <c r="C93">
        <v>1029154</v>
      </c>
      <c r="D93" t="s">
        <v>483</v>
      </c>
      <c r="E93" s="26">
        <v>30895</v>
      </c>
      <c r="F93" s="26">
        <v>44711</v>
      </c>
      <c r="H93" t="s">
        <v>27</v>
      </c>
      <c r="I93" t="s">
        <v>54</v>
      </c>
      <c r="J93" t="s">
        <v>64</v>
      </c>
      <c r="K93" t="s">
        <v>30</v>
      </c>
      <c r="L93" s="27" t="s">
        <v>45</v>
      </c>
      <c r="M93" t="s">
        <v>46</v>
      </c>
      <c r="N93" t="s">
        <v>111</v>
      </c>
      <c r="O93" t="s">
        <v>71</v>
      </c>
      <c r="P93" t="s">
        <v>111</v>
      </c>
      <c r="Q93" t="s">
        <v>284</v>
      </c>
      <c r="R93">
        <v>5</v>
      </c>
      <c r="S93" s="1">
        <v>320000</v>
      </c>
      <c r="T93" s="1">
        <f ca="1">ROUND(T_EMPLOYEES[[#This Row],[EMP_CTC1]]/12, 0)</f>
        <v>26667</v>
      </c>
      <c r="U93" s="1">
        <v>72000</v>
      </c>
      <c r="V93" s="1" t="s">
        <v>207</v>
      </c>
      <c r="W93" s="1" t="s">
        <v>207</v>
      </c>
      <c r="X9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Nidhish Kumar Verma R (1029154)</v>
      </c>
      <c r="Y93">
        <v>60000</v>
      </c>
      <c r="Z93" s="29">
        <f t="shared" ca="1" si="2"/>
        <v>77.5</v>
      </c>
      <c r="AA93">
        <f ca="1">IF(T_EMPLOYEES[[#This Row],[EMPLOYEE NUMBER]]="","",ROW(T_EMPLOYEES[[#This Row],[EMPLOYEE LABEL]])-ROW(T_EMPLOYEES[[#Headers],[EMPLOYEE LABEL]]))</f>
        <v>90</v>
      </c>
      <c r="AB93">
        <f ca="1">IF(T_EMPLOYEES[[#This Row],[EMPLOYEE NUMBER]]="","",IF(COUNTIF(T_EMPLOYEES[EMPLOYEE NUMBER],T_EMPLOYEES[[#This Row],[EMPLOYEE NUMBER]])&gt;1,1,0))</f>
        <v>0</v>
      </c>
      <c r="AC93">
        <f ca="1">IF(T_EMPLOYEES[[#This Row],[EMPLOYEE NUMBER]]="","",IF(AND(T_EMPLOYEES[[#This Row],[DATE OF BIRTH]]&gt;0,T_EMPLOYEES[[#This Row],[DATE OF BIRTH]]&lt;TODAY()),0,1))</f>
        <v>0</v>
      </c>
      <c r="AD93">
        <f ca="1">IF(T_EMPLOYEES[[#This Row],[EMPLOYEE NUMBER]]="","",IF(AND(T_EMPLOYEES[[#This Row],[START DATE]]&gt;0,T_EMPLOYEES[[#This Row],[START DATE]]&lt;TODAY()+60),0,1))</f>
        <v>0</v>
      </c>
      <c r="AE93">
        <f ca="1">IF(T_EMPLOYEES[[#This Row],[EMPLOYEE NUMBER]]="","",MATCH(T_EMPLOYEES[[#This Row],[GENDER]],L_GENDER,0))</f>
        <v>1</v>
      </c>
      <c r="AF93">
        <f ca="1">IF(T_EMPLOYEES[[#This Row],[EMPLOYEE NUMBER]]="","",MATCH(T_EMPLOYEES[[#This Row],[HIRE SOURCE]],L_HIRESOURCE,0))</f>
        <v>4</v>
      </c>
      <c r="AG93">
        <f ca="1">IF(T_EMPLOYEES[[#This Row],[EMPLOYEE NUMBER]]="","",MATCH(T_EMPLOYEES[[#This Row],[ETHNICITY]],L_ETHNICITY,0))</f>
        <v>3</v>
      </c>
      <c r="AH93">
        <f ca="1">IF(T_EMPLOYEES[[#This Row],[EMPLOYEE NUMBER]]="","",MATCH(T_EMPLOYEES[[#This Row],[LOCATION]],L_LOCATION,0))</f>
        <v>1</v>
      </c>
      <c r="AI93">
        <f ca="1">IF(T_EMPLOYEES[[#This Row],[EMPLOYEE NUMBER]]="","",MATCH(T_EMPLOYEES[[#This Row],[DEPARTMENT]],L_DEPARTMENT,0))</f>
        <v>2</v>
      </c>
      <c r="AJ93">
        <f ca="1">IF(T_EMPLOYEES[[#This Row],[EMPLOYEE NUMBER]]="","",MATCH(T_EMPLOYEES[[#This Row],[JOB TYPE]],L_JOBTYPE,0))</f>
        <v>2</v>
      </c>
      <c r="AK93">
        <f ca="1">IF(T_EMPLOYEES[[#This Row],[EMPLOYEE NUMBER]]="","",MATCH(T_EMPLOYEES[[#This Row],[JOB CATEGORY]],L_JOBCATEGORY,0))</f>
        <v>10</v>
      </c>
      <c r="AL93">
        <f ca="1">IF(T_EMPLOYEES[[#This Row],[EMPLOYEE NUMBER]]="","",MATCH(T_EMPLOYEES[[#This Row],[JOB LEVEL]],L_JOBLEVEL,0))</f>
        <v>4</v>
      </c>
      <c r="AM93">
        <f ca="1">IF(T_EMPLOYEES[[#This Row],[EMPLOYEE NUMBER]]="","",MATCH(T_EMPLOYEES[[#This Row],[JOB TITLE]],L_JOBTITLE,0))</f>
        <v>10</v>
      </c>
      <c r="AN93">
        <f ca="1">IF(T_EMPLOYEES[[#This Row],[EMPLOYEE NUMBER]]="","",MATCH(T_EMPLOYEES[[#This Row],[MANAGER]],L_EMPLABELS,0))</f>
        <v>96</v>
      </c>
      <c r="AO93">
        <f ca="1">IF(T_EMPLOYEES[[#This Row],[EMPLOYEE NUMBER]]="","",IF(T_EMPLOYEES[[#This Row],[ERROR]]="",0,1))</f>
        <v>0</v>
      </c>
      <c r="AP9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4" spans="1:42">
      <c r="A94" t="s">
        <v>484</v>
      </c>
      <c r="B94" t="s">
        <v>485</v>
      </c>
      <c r="C94">
        <v>1020135</v>
      </c>
      <c r="D94" t="s">
        <v>486</v>
      </c>
      <c r="E94" s="26">
        <v>30899</v>
      </c>
      <c r="F94" s="26">
        <v>43108</v>
      </c>
      <c r="H94" t="s">
        <v>27</v>
      </c>
      <c r="I94" t="s">
        <v>54</v>
      </c>
      <c r="J94" t="s">
        <v>64</v>
      </c>
      <c r="K94" t="s">
        <v>43</v>
      </c>
      <c r="L94" s="27" t="s">
        <v>45</v>
      </c>
      <c r="M94" t="s">
        <v>46</v>
      </c>
      <c r="N94" t="s">
        <v>101</v>
      </c>
      <c r="O94" t="s">
        <v>90</v>
      </c>
      <c r="P94" t="s">
        <v>101</v>
      </c>
      <c r="Q94" t="s">
        <v>246</v>
      </c>
      <c r="R94" s="27">
        <v>7</v>
      </c>
      <c r="S94" s="1">
        <v>320000</v>
      </c>
      <c r="T94" s="1">
        <f ca="1">ROUND(T_EMPLOYEES[[#This Row],[EMP_CTC1]]/12, 0)</f>
        <v>26667</v>
      </c>
      <c r="U94" s="1">
        <v>72000</v>
      </c>
      <c r="V94" s="1" t="s">
        <v>207</v>
      </c>
      <c r="W94" s="1" t="s">
        <v>207</v>
      </c>
      <c r="X9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 S S  Vardhan (1020135)</v>
      </c>
      <c r="Y94">
        <v>60000</v>
      </c>
      <c r="Z94" s="29">
        <f t="shared" ca="1" si="2"/>
        <v>77.5</v>
      </c>
      <c r="AA94">
        <f ca="1">IF(T_EMPLOYEES[[#This Row],[EMPLOYEE NUMBER]]="","",ROW(T_EMPLOYEES[[#This Row],[EMPLOYEE LABEL]])-ROW(T_EMPLOYEES[[#Headers],[EMPLOYEE LABEL]]))</f>
        <v>91</v>
      </c>
      <c r="AB94">
        <f ca="1">IF(T_EMPLOYEES[[#This Row],[EMPLOYEE NUMBER]]="","",IF(COUNTIF(T_EMPLOYEES[EMPLOYEE NUMBER],T_EMPLOYEES[[#This Row],[EMPLOYEE NUMBER]])&gt;1,1,0))</f>
        <v>0</v>
      </c>
      <c r="AC94">
        <f ca="1">IF(T_EMPLOYEES[[#This Row],[EMPLOYEE NUMBER]]="","",IF(AND(T_EMPLOYEES[[#This Row],[DATE OF BIRTH]]&gt;0,T_EMPLOYEES[[#This Row],[DATE OF BIRTH]]&lt;TODAY()),0,1))</f>
        <v>0</v>
      </c>
      <c r="AD94">
        <f ca="1">IF(T_EMPLOYEES[[#This Row],[EMPLOYEE NUMBER]]="","",IF(AND(T_EMPLOYEES[[#This Row],[START DATE]]&gt;0,T_EMPLOYEES[[#This Row],[START DATE]]&lt;TODAY()+60),0,1))</f>
        <v>0</v>
      </c>
      <c r="AE94">
        <f ca="1">IF(T_EMPLOYEES[[#This Row],[EMPLOYEE NUMBER]]="","",MATCH(T_EMPLOYEES[[#This Row],[GENDER]],L_GENDER,0))</f>
        <v>1</v>
      </c>
      <c r="AF94">
        <f ca="1">IF(T_EMPLOYEES[[#This Row],[EMPLOYEE NUMBER]]="","",MATCH(T_EMPLOYEES[[#This Row],[HIRE SOURCE]],L_HIRESOURCE,0))</f>
        <v>4</v>
      </c>
      <c r="AG94">
        <f ca="1">IF(T_EMPLOYEES[[#This Row],[EMPLOYEE NUMBER]]="","",MATCH(T_EMPLOYEES[[#This Row],[ETHNICITY]],L_ETHNICITY,0))</f>
        <v>3</v>
      </c>
      <c r="AH94">
        <f ca="1">IF(T_EMPLOYEES[[#This Row],[EMPLOYEE NUMBER]]="","",MATCH(T_EMPLOYEES[[#This Row],[LOCATION]],L_LOCATION,0))</f>
        <v>2</v>
      </c>
      <c r="AI94">
        <f ca="1">IF(T_EMPLOYEES[[#This Row],[EMPLOYEE NUMBER]]="","",MATCH(T_EMPLOYEES[[#This Row],[DEPARTMENT]],L_DEPARTMENT,0))</f>
        <v>2</v>
      </c>
      <c r="AJ94">
        <f ca="1">IF(T_EMPLOYEES[[#This Row],[EMPLOYEE NUMBER]]="","",MATCH(T_EMPLOYEES[[#This Row],[JOB TYPE]],L_JOBTYPE,0))</f>
        <v>2</v>
      </c>
      <c r="AK94">
        <f ca="1">IF(T_EMPLOYEES[[#This Row],[EMPLOYEE NUMBER]]="","",MATCH(T_EMPLOYEES[[#This Row],[JOB CATEGORY]],L_JOBCATEGORY,0))</f>
        <v>8</v>
      </c>
      <c r="AL94">
        <f ca="1">IF(T_EMPLOYEES[[#This Row],[EMPLOYEE NUMBER]]="","",MATCH(T_EMPLOYEES[[#This Row],[JOB LEVEL]],L_JOBLEVEL,0))</f>
        <v>6</v>
      </c>
      <c r="AM94">
        <f ca="1">IF(T_EMPLOYEES[[#This Row],[EMPLOYEE NUMBER]]="","",MATCH(T_EMPLOYEES[[#This Row],[JOB TITLE]],L_JOBTITLE,0))</f>
        <v>8</v>
      </c>
      <c r="AN94">
        <f ca="1">IF(T_EMPLOYEES[[#This Row],[EMPLOYEE NUMBER]]="","",MATCH(T_EMPLOYEES[[#This Row],[MANAGER]],L_EMPLABELS,0))</f>
        <v>68</v>
      </c>
      <c r="AO94">
        <f ca="1">IF(T_EMPLOYEES[[#This Row],[EMPLOYEE NUMBER]]="","",IF(T_EMPLOYEES[[#This Row],[ERROR]]="",0,1))</f>
        <v>0</v>
      </c>
      <c r="AP9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5" spans="1:42">
      <c r="A95" t="s">
        <v>487</v>
      </c>
      <c r="B95" t="s">
        <v>488</v>
      </c>
      <c r="C95">
        <v>1020047</v>
      </c>
      <c r="D95" t="s">
        <v>489</v>
      </c>
      <c r="E95" s="26">
        <v>30902</v>
      </c>
      <c r="F95" s="26">
        <v>43080</v>
      </c>
      <c r="G95" s="26">
        <v>43445</v>
      </c>
      <c r="H95" t="s">
        <v>27</v>
      </c>
      <c r="I95" t="s">
        <v>54</v>
      </c>
      <c r="J95" t="s">
        <v>64</v>
      </c>
      <c r="K95" t="s">
        <v>30</v>
      </c>
      <c r="L95" s="27" t="s">
        <v>45</v>
      </c>
      <c r="M95" t="s">
        <v>46</v>
      </c>
      <c r="N95" t="s">
        <v>81</v>
      </c>
      <c r="O95" t="s">
        <v>82</v>
      </c>
      <c r="P95" t="s">
        <v>81</v>
      </c>
      <c r="Q95" t="s">
        <v>218</v>
      </c>
      <c r="R95">
        <v>7</v>
      </c>
      <c r="S95" s="1">
        <v>320000</v>
      </c>
      <c r="T95" s="1">
        <f ca="1">ROUND(T_EMPLOYEES[[#This Row],[EMP_CTC1]]/12, 0)</f>
        <v>26667</v>
      </c>
      <c r="U95" s="1">
        <v>72000</v>
      </c>
      <c r="V95" s="1" t="s">
        <v>207</v>
      </c>
      <c r="W95" s="1" t="s">
        <v>207</v>
      </c>
      <c r="X9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Kiran Kumar Uppara (1020047)</v>
      </c>
      <c r="Y95">
        <v>60000</v>
      </c>
      <c r="Z95" s="29">
        <f t="shared" ca="1" si="2"/>
        <v>77.5</v>
      </c>
      <c r="AA95">
        <f ca="1">IF(T_EMPLOYEES[[#This Row],[EMPLOYEE NUMBER]]="","",ROW(T_EMPLOYEES[[#This Row],[EMPLOYEE LABEL]])-ROW(T_EMPLOYEES[[#Headers],[EMPLOYEE LABEL]]))</f>
        <v>92</v>
      </c>
      <c r="AB95">
        <f ca="1">IF(T_EMPLOYEES[[#This Row],[EMPLOYEE NUMBER]]="","",IF(COUNTIF(T_EMPLOYEES[EMPLOYEE NUMBER],T_EMPLOYEES[[#This Row],[EMPLOYEE NUMBER]])&gt;1,1,0))</f>
        <v>0</v>
      </c>
      <c r="AC95">
        <f ca="1">IF(T_EMPLOYEES[[#This Row],[EMPLOYEE NUMBER]]="","",IF(AND(T_EMPLOYEES[[#This Row],[DATE OF BIRTH]]&gt;0,T_EMPLOYEES[[#This Row],[DATE OF BIRTH]]&lt;TODAY()),0,1))</f>
        <v>0</v>
      </c>
      <c r="AD95">
        <f ca="1">IF(T_EMPLOYEES[[#This Row],[EMPLOYEE NUMBER]]="","",IF(AND(T_EMPLOYEES[[#This Row],[START DATE]]&gt;0,T_EMPLOYEES[[#This Row],[START DATE]]&lt;TODAY()+60),0,1))</f>
        <v>0</v>
      </c>
      <c r="AE95">
        <f ca="1">IF(T_EMPLOYEES[[#This Row],[EMPLOYEE NUMBER]]="","",MATCH(T_EMPLOYEES[[#This Row],[GENDER]],L_GENDER,0))</f>
        <v>1</v>
      </c>
      <c r="AF95">
        <f ca="1">IF(T_EMPLOYEES[[#This Row],[EMPLOYEE NUMBER]]="","",MATCH(T_EMPLOYEES[[#This Row],[HIRE SOURCE]],L_HIRESOURCE,0))</f>
        <v>4</v>
      </c>
      <c r="AG95">
        <f ca="1">IF(T_EMPLOYEES[[#This Row],[EMPLOYEE NUMBER]]="","",MATCH(T_EMPLOYEES[[#This Row],[ETHNICITY]],L_ETHNICITY,0))</f>
        <v>3</v>
      </c>
      <c r="AH95">
        <f ca="1">IF(T_EMPLOYEES[[#This Row],[EMPLOYEE NUMBER]]="","",MATCH(T_EMPLOYEES[[#This Row],[LOCATION]],L_LOCATION,0))</f>
        <v>1</v>
      </c>
      <c r="AI95">
        <f ca="1">IF(T_EMPLOYEES[[#This Row],[EMPLOYEE NUMBER]]="","",MATCH(T_EMPLOYEES[[#This Row],[DEPARTMENT]],L_DEPARTMENT,0))</f>
        <v>2</v>
      </c>
      <c r="AJ95">
        <f ca="1">IF(T_EMPLOYEES[[#This Row],[EMPLOYEE NUMBER]]="","",MATCH(T_EMPLOYEES[[#This Row],[JOB TYPE]],L_JOBTYPE,0))</f>
        <v>2</v>
      </c>
      <c r="AK95">
        <f ca="1">IF(T_EMPLOYEES[[#This Row],[EMPLOYEE NUMBER]]="","",MATCH(T_EMPLOYEES[[#This Row],[JOB CATEGORY]],L_JOBCATEGORY,0))</f>
        <v>5</v>
      </c>
      <c r="AL95">
        <f ca="1">IF(T_EMPLOYEES[[#This Row],[EMPLOYEE NUMBER]]="","",MATCH(T_EMPLOYEES[[#This Row],[JOB LEVEL]],L_JOBLEVEL,0))</f>
        <v>5</v>
      </c>
      <c r="AM95">
        <f ca="1">IF(T_EMPLOYEES[[#This Row],[EMPLOYEE NUMBER]]="","",MATCH(T_EMPLOYEES[[#This Row],[JOB TITLE]],L_JOBTITLE,0))</f>
        <v>5</v>
      </c>
      <c r="AN95">
        <f ca="1">IF(T_EMPLOYEES[[#This Row],[EMPLOYEE NUMBER]]="","",MATCH(T_EMPLOYEES[[#This Row],[MANAGER]],L_EMPLABELS,0))</f>
        <v>43</v>
      </c>
      <c r="AO95">
        <f ca="1">IF(T_EMPLOYEES[[#This Row],[EMPLOYEE NUMBER]]="","",IF(T_EMPLOYEES[[#This Row],[ERROR]]="",0,1))</f>
        <v>0</v>
      </c>
      <c r="AP9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6" spans="1:42">
      <c r="A96" t="s">
        <v>490</v>
      </c>
      <c r="B96" t="s">
        <v>491</v>
      </c>
      <c r="C96">
        <v>1028690</v>
      </c>
      <c r="D96" t="s">
        <v>492</v>
      </c>
      <c r="E96" s="26">
        <v>30904</v>
      </c>
      <c r="F96" s="26">
        <v>44648</v>
      </c>
      <c r="H96" t="s">
        <v>27</v>
      </c>
      <c r="I96" t="s">
        <v>54</v>
      </c>
      <c r="J96" t="s">
        <v>64</v>
      </c>
      <c r="K96" t="s">
        <v>30</v>
      </c>
      <c r="L96" s="27" t="s">
        <v>45</v>
      </c>
      <c r="M96" t="s">
        <v>46</v>
      </c>
      <c r="N96" t="s">
        <v>47</v>
      </c>
      <c r="O96" t="s">
        <v>90</v>
      </c>
      <c r="P96" t="s">
        <v>47</v>
      </c>
      <c r="Q96" t="s">
        <v>215</v>
      </c>
      <c r="R96" s="27">
        <v>7</v>
      </c>
      <c r="S96" s="1">
        <v>320000</v>
      </c>
      <c r="T96" s="1">
        <f ca="1">ROUND(T_EMPLOYEES[[#This Row],[EMP_CTC1]]/12, 0)</f>
        <v>26667</v>
      </c>
      <c r="U96" s="1">
        <v>72000</v>
      </c>
      <c r="V96" s="1" t="s">
        <v>207</v>
      </c>
      <c r="W96" s="1" t="s">
        <v>207</v>
      </c>
      <c r="X9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Madhu Yedida (1028690)</v>
      </c>
      <c r="Y96">
        <v>60000</v>
      </c>
      <c r="Z96" s="29">
        <f t="shared" ca="1" si="2"/>
        <v>77.5</v>
      </c>
      <c r="AA96">
        <f ca="1">IF(T_EMPLOYEES[[#This Row],[EMPLOYEE NUMBER]]="","",ROW(T_EMPLOYEES[[#This Row],[EMPLOYEE LABEL]])-ROW(T_EMPLOYEES[[#Headers],[EMPLOYEE LABEL]]))</f>
        <v>93</v>
      </c>
      <c r="AB96">
        <f ca="1">IF(T_EMPLOYEES[[#This Row],[EMPLOYEE NUMBER]]="","",IF(COUNTIF(T_EMPLOYEES[EMPLOYEE NUMBER],T_EMPLOYEES[[#This Row],[EMPLOYEE NUMBER]])&gt;1,1,0))</f>
        <v>0</v>
      </c>
      <c r="AC96">
        <f ca="1">IF(T_EMPLOYEES[[#This Row],[EMPLOYEE NUMBER]]="","",IF(AND(T_EMPLOYEES[[#This Row],[DATE OF BIRTH]]&gt;0,T_EMPLOYEES[[#This Row],[DATE OF BIRTH]]&lt;TODAY()),0,1))</f>
        <v>0</v>
      </c>
      <c r="AD96">
        <f ca="1">IF(T_EMPLOYEES[[#This Row],[EMPLOYEE NUMBER]]="","",IF(AND(T_EMPLOYEES[[#This Row],[START DATE]]&gt;0,T_EMPLOYEES[[#This Row],[START DATE]]&lt;TODAY()+60),0,1))</f>
        <v>0</v>
      </c>
      <c r="AE96">
        <f ca="1">IF(T_EMPLOYEES[[#This Row],[EMPLOYEE NUMBER]]="","",MATCH(T_EMPLOYEES[[#This Row],[GENDER]],L_GENDER,0))</f>
        <v>1</v>
      </c>
      <c r="AF96">
        <f ca="1">IF(T_EMPLOYEES[[#This Row],[EMPLOYEE NUMBER]]="","",MATCH(T_EMPLOYEES[[#This Row],[HIRE SOURCE]],L_HIRESOURCE,0))</f>
        <v>4</v>
      </c>
      <c r="AG96">
        <f ca="1">IF(T_EMPLOYEES[[#This Row],[EMPLOYEE NUMBER]]="","",MATCH(T_EMPLOYEES[[#This Row],[ETHNICITY]],L_ETHNICITY,0))</f>
        <v>3</v>
      </c>
      <c r="AH96">
        <f ca="1">IF(T_EMPLOYEES[[#This Row],[EMPLOYEE NUMBER]]="","",MATCH(T_EMPLOYEES[[#This Row],[LOCATION]],L_LOCATION,0))</f>
        <v>1</v>
      </c>
      <c r="AI96">
        <f ca="1">IF(T_EMPLOYEES[[#This Row],[EMPLOYEE NUMBER]]="","",MATCH(T_EMPLOYEES[[#This Row],[DEPARTMENT]],L_DEPARTMENT,0))</f>
        <v>2</v>
      </c>
      <c r="AJ96">
        <f ca="1">IF(T_EMPLOYEES[[#This Row],[EMPLOYEE NUMBER]]="","",MATCH(T_EMPLOYEES[[#This Row],[JOB TYPE]],L_JOBTYPE,0))</f>
        <v>2</v>
      </c>
      <c r="AK96">
        <f ca="1">IF(T_EMPLOYEES[[#This Row],[EMPLOYEE NUMBER]]="","",MATCH(T_EMPLOYEES[[#This Row],[JOB CATEGORY]],L_JOBCATEGORY,0))</f>
        <v>2</v>
      </c>
      <c r="AL96">
        <f ca="1">IF(T_EMPLOYEES[[#This Row],[EMPLOYEE NUMBER]]="","",MATCH(T_EMPLOYEES[[#This Row],[JOB LEVEL]],L_JOBLEVEL,0))</f>
        <v>6</v>
      </c>
      <c r="AM96">
        <f ca="1">IF(T_EMPLOYEES[[#This Row],[EMPLOYEE NUMBER]]="","",MATCH(T_EMPLOYEES[[#This Row],[JOB TITLE]],L_JOBTITLE,0))</f>
        <v>2</v>
      </c>
      <c r="AN96">
        <f ca="1">IF(T_EMPLOYEES[[#This Row],[EMPLOYEE NUMBER]]="","",MATCH(T_EMPLOYEES[[#This Row],[MANAGER]],L_EMPLABELS,0))</f>
        <v>13</v>
      </c>
      <c r="AO96">
        <f ca="1">IF(T_EMPLOYEES[[#This Row],[EMPLOYEE NUMBER]]="","",IF(T_EMPLOYEES[[#This Row],[ERROR]]="",0,1))</f>
        <v>0</v>
      </c>
      <c r="AP9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7" spans="1:42">
      <c r="A97" t="s">
        <v>381</v>
      </c>
      <c r="B97" t="s">
        <v>493</v>
      </c>
      <c r="C97">
        <v>1026170</v>
      </c>
      <c r="D97" t="s">
        <v>494</v>
      </c>
      <c r="E97" s="26">
        <v>30942</v>
      </c>
      <c r="F97" s="26">
        <v>44426</v>
      </c>
      <c r="H97" t="s">
        <v>27</v>
      </c>
      <c r="I97" t="s">
        <v>54</v>
      </c>
      <c r="J97" t="s">
        <v>64</v>
      </c>
      <c r="K97" t="s">
        <v>30</v>
      </c>
      <c r="L97" s="27" t="s">
        <v>45</v>
      </c>
      <c r="M97" t="s">
        <v>46</v>
      </c>
      <c r="N97" t="s">
        <v>140</v>
      </c>
      <c r="O97" t="s">
        <v>82</v>
      </c>
      <c r="P97" t="s">
        <v>140</v>
      </c>
      <c r="Q97" t="s">
        <v>311</v>
      </c>
      <c r="R97">
        <v>7</v>
      </c>
      <c r="S97" s="1">
        <v>320000</v>
      </c>
      <c r="T97" s="1">
        <f ca="1">ROUND(T_EMPLOYEES[[#This Row],[EMP_CTC1]]/12, 0)</f>
        <v>26667</v>
      </c>
      <c r="U97" s="1">
        <v>72000</v>
      </c>
      <c r="V97" s="1" t="s">
        <v>207</v>
      </c>
      <c r="W97" s="1" t="s">
        <v>207</v>
      </c>
      <c r="X9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Praveen Prabhu G B (1026170)</v>
      </c>
      <c r="Y97">
        <v>60000</v>
      </c>
      <c r="Z97" s="29">
        <f t="shared" ca="1" si="2"/>
        <v>77.5</v>
      </c>
      <c r="AA97">
        <f ca="1">IF(T_EMPLOYEES[[#This Row],[EMPLOYEE NUMBER]]="","",ROW(T_EMPLOYEES[[#This Row],[EMPLOYEE LABEL]])-ROW(T_EMPLOYEES[[#Headers],[EMPLOYEE LABEL]]))</f>
        <v>94</v>
      </c>
      <c r="AB97">
        <f ca="1">IF(T_EMPLOYEES[[#This Row],[EMPLOYEE NUMBER]]="","",IF(COUNTIF(T_EMPLOYEES[EMPLOYEE NUMBER],T_EMPLOYEES[[#This Row],[EMPLOYEE NUMBER]])&gt;1,1,0))</f>
        <v>0</v>
      </c>
      <c r="AC97">
        <f ca="1">IF(T_EMPLOYEES[[#This Row],[EMPLOYEE NUMBER]]="","",IF(AND(T_EMPLOYEES[[#This Row],[DATE OF BIRTH]]&gt;0,T_EMPLOYEES[[#This Row],[DATE OF BIRTH]]&lt;TODAY()),0,1))</f>
        <v>0</v>
      </c>
      <c r="AD97">
        <f ca="1">IF(T_EMPLOYEES[[#This Row],[EMPLOYEE NUMBER]]="","",IF(AND(T_EMPLOYEES[[#This Row],[START DATE]]&gt;0,T_EMPLOYEES[[#This Row],[START DATE]]&lt;TODAY()+60),0,1))</f>
        <v>0</v>
      </c>
      <c r="AE97">
        <f ca="1">IF(T_EMPLOYEES[[#This Row],[EMPLOYEE NUMBER]]="","",MATCH(T_EMPLOYEES[[#This Row],[GENDER]],L_GENDER,0))</f>
        <v>1</v>
      </c>
      <c r="AF97">
        <f ca="1">IF(T_EMPLOYEES[[#This Row],[EMPLOYEE NUMBER]]="","",MATCH(T_EMPLOYEES[[#This Row],[HIRE SOURCE]],L_HIRESOURCE,0))</f>
        <v>4</v>
      </c>
      <c r="AG97">
        <f ca="1">IF(T_EMPLOYEES[[#This Row],[EMPLOYEE NUMBER]]="","",MATCH(T_EMPLOYEES[[#This Row],[ETHNICITY]],L_ETHNICITY,0))</f>
        <v>3</v>
      </c>
      <c r="AH97">
        <f ca="1">IF(T_EMPLOYEES[[#This Row],[EMPLOYEE NUMBER]]="","",MATCH(T_EMPLOYEES[[#This Row],[LOCATION]],L_LOCATION,0))</f>
        <v>1</v>
      </c>
      <c r="AI97">
        <f ca="1">IF(T_EMPLOYEES[[#This Row],[EMPLOYEE NUMBER]]="","",MATCH(T_EMPLOYEES[[#This Row],[DEPARTMENT]],L_DEPARTMENT,0))</f>
        <v>2</v>
      </c>
      <c r="AJ97">
        <f ca="1">IF(T_EMPLOYEES[[#This Row],[EMPLOYEE NUMBER]]="","",MATCH(T_EMPLOYEES[[#This Row],[JOB TYPE]],L_JOBTYPE,0))</f>
        <v>2</v>
      </c>
      <c r="AK97">
        <f ca="1">IF(T_EMPLOYEES[[#This Row],[EMPLOYEE NUMBER]]="","",MATCH(T_EMPLOYEES[[#This Row],[JOB CATEGORY]],L_JOBCATEGORY,0))</f>
        <v>20</v>
      </c>
      <c r="AL97">
        <f ca="1">IF(T_EMPLOYEES[[#This Row],[EMPLOYEE NUMBER]]="","",MATCH(T_EMPLOYEES[[#This Row],[JOB LEVEL]],L_JOBLEVEL,0))</f>
        <v>5</v>
      </c>
      <c r="AM97">
        <f ca="1">IF(T_EMPLOYEES[[#This Row],[EMPLOYEE NUMBER]]="","",MATCH(T_EMPLOYEES[[#This Row],[JOB TITLE]],L_JOBTITLE,0))</f>
        <v>20</v>
      </c>
      <c r="AN97">
        <f ca="1">IF(T_EMPLOYEES[[#This Row],[EMPLOYEE NUMBER]]="","",MATCH(T_EMPLOYEES[[#This Row],[MANAGER]],L_EMPLABELS,0))</f>
        <v>2</v>
      </c>
      <c r="AO97">
        <f ca="1">IF(T_EMPLOYEES[[#This Row],[EMPLOYEE NUMBER]]="","",IF(T_EMPLOYEES[[#This Row],[ERROR]]="",0,1))</f>
        <v>0</v>
      </c>
      <c r="AP9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8" spans="1:42">
      <c r="A98" t="s">
        <v>226</v>
      </c>
      <c r="B98" t="s">
        <v>495</v>
      </c>
      <c r="C98">
        <v>1033985</v>
      </c>
      <c r="D98" t="s">
        <v>496</v>
      </c>
      <c r="E98" s="26">
        <v>30991</v>
      </c>
      <c r="F98" s="26">
        <v>45261</v>
      </c>
      <c r="H98" t="s">
        <v>40</v>
      </c>
      <c r="I98" t="s">
        <v>54</v>
      </c>
      <c r="J98" t="s">
        <v>64</v>
      </c>
      <c r="K98" t="s">
        <v>55</v>
      </c>
      <c r="L98" s="27" t="s">
        <v>45</v>
      </c>
      <c r="M98" t="s">
        <v>46</v>
      </c>
      <c r="N98" t="s">
        <v>70</v>
      </c>
      <c r="O98" t="s">
        <v>96</v>
      </c>
      <c r="P98" t="s">
        <v>70</v>
      </c>
      <c r="Q98" t="s">
        <v>215</v>
      </c>
      <c r="R98" s="27"/>
      <c r="S98" s="1">
        <v>320000</v>
      </c>
      <c r="T98" s="1">
        <f ca="1">ROUND(T_EMPLOYEES[[#This Row],[EMP_CTC1]]/12, 0)</f>
        <v>26667</v>
      </c>
      <c r="U98" s="1">
        <v>72000</v>
      </c>
      <c r="V98" s="1" t="s">
        <v>207</v>
      </c>
      <c r="W98" s="1" t="s">
        <v>207</v>
      </c>
      <c r="X9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 S Archana (1033985)</v>
      </c>
      <c r="Y98">
        <v>60000</v>
      </c>
      <c r="Z98" s="29">
        <f t="shared" ca="1" si="2"/>
        <v>77.5</v>
      </c>
      <c r="AA98">
        <f ca="1">IF(T_EMPLOYEES[[#This Row],[EMPLOYEE NUMBER]]="","",ROW(T_EMPLOYEES[[#This Row],[EMPLOYEE LABEL]])-ROW(T_EMPLOYEES[[#Headers],[EMPLOYEE LABEL]]))</f>
        <v>95</v>
      </c>
      <c r="AB98">
        <f ca="1">IF(T_EMPLOYEES[[#This Row],[EMPLOYEE NUMBER]]="","",IF(COUNTIF(T_EMPLOYEES[EMPLOYEE NUMBER],T_EMPLOYEES[[#This Row],[EMPLOYEE NUMBER]])&gt;1,1,0))</f>
        <v>0</v>
      </c>
      <c r="AC98">
        <f ca="1">IF(T_EMPLOYEES[[#This Row],[EMPLOYEE NUMBER]]="","",IF(AND(T_EMPLOYEES[[#This Row],[DATE OF BIRTH]]&gt;0,T_EMPLOYEES[[#This Row],[DATE OF BIRTH]]&lt;TODAY()),0,1))</f>
        <v>0</v>
      </c>
      <c r="AD98">
        <f ca="1">IF(T_EMPLOYEES[[#This Row],[EMPLOYEE NUMBER]]="","",IF(AND(T_EMPLOYEES[[#This Row],[START DATE]]&gt;0,T_EMPLOYEES[[#This Row],[START DATE]]&lt;TODAY()+60),0,1))</f>
        <v>0</v>
      </c>
      <c r="AE98">
        <f ca="1">IF(T_EMPLOYEES[[#This Row],[EMPLOYEE NUMBER]]="","",MATCH(T_EMPLOYEES[[#This Row],[GENDER]],L_GENDER,0))</f>
        <v>2</v>
      </c>
      <c r="AF98">
        <f ca="1">IF(T_EMPLOYEES[[#This Row],[EMPLOYEE NUMBER]]="","",MATCH(T_EMPLOYEES[[#This Row],[HIRE SOURCE]],L_HIRESOURCE,0))</f>
        <v>4</v>
      </c>
      <c r="AG98">
        <f ca="1">IF(T_EMPLOYEES[[#This Row],[EMPLOYEE NUMBER]]="","",MATCH(T_EMPLOYEES[[#This Row],[ETHNICITY]],L_ETHNICITY,0))</f>
        <v>3</v>
      </c>
      <c r="AH98">
        <f ca="1">IF(T_EMPLOYEES[[#This Row],[EMPLOYEE NUMBER]]="","",MATCH(T_EMPLOYEES[[#This Row],[LOCATION]],L_LOCATION,0))</f>
        <v>3</v>
      </c>
      <c r="AI98">
        <f ca="1">IF(T_EMPLOYEES[[#This Row],[EMPLOYEE NUMBER]]="","",MATCH(T_EMPLOYEES[[#This Row],[DEPARTMENT]],L_DEPARTMENT,0))</f>
        <v>2</v>
      </c>
      <c r="AJ98">
        <f ca="1">IF(T_EMPLOYEES[[#This Row],[EMPLOYEE NUMBER]]="","",MATCH(T_EMPLOYEES[[#This Row],[JOB TYPE]],L_JOBTYPE,0))</f>
        <v>2</v>
      </c>
      <c r="AK98">
        <f ca="1">IF(T_EMPLOYEES[[#This Row],[EMPLOYEE NUMBER]]="","",MATCH(T_EMPLOYEES[[#This Row],[JOB CATEGORY]],L_JOBCATEGORY,0))</f>
        <v>4</v>
      </c>
      <c r="AL98">
        <f ca="1">IF(T_EMPLOYEES[[#This Row],[EMPLOYEE NUMBER]]="","",MATCH(T_EMPLOYEES[[#This Row],[JOB LEVEL]],L_JOBLEVEL,0))</f>
        <v>7</v>
      </c>
      <c r="AM98">
        <f ca="1">IF(T_EMPLOYEES[[#This Row],[EMPLOYEE NUMBER]]="","",MATCH(T_EMPLOYEES[[#This Row],[JOB TITLE]],L_JOBTITLE,0))</f>
        <v>4</v>
      </c>
      <c r="AN98">
        <f ca="1">IF(T_EMPLOYEES[[#This Row],[EMPLOYEE NUMBER]]="","",MATCH(T_EMPLOYEES[[#This Row],[MANAGER]],L_EMPLABELS,0))</f>
        <v>13</v>
      </c>
      <c r="AO98">
        <f ca="1">IF(T_EMPLOYEES[[#This Row],[EMPLOYEE NUMBER]]="","",IF(T_EMPLOYEES[[#This Row],[ERROR]]="",0,1))</f>
        <v>0</v>
      </c>
      <c r="AP9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9" spans="1:42">
      <c r="A99" t="s">
        <v>497</v>
      </c>
      <c r="B99" t="s">
        <v>498</v>
      </c>
      <c r="C99">
        <v>1028375</v>
      </c>
      <c r="D99" t="s">
        <v>499</v>
      </c>
      <c r="E99" s="26">
        <v>31133</v>
      </c>
      <c r="F99" s="26">
        <v>44610</v>
      </c>
      <c r="H99" t="s">
        <v>27</v>
      </c>
      <c r="I99" t="s">
        <v>54</v>
      </c>
      <c r="J99" t="s">
        <v>64</v>
      </c>
      <c r="K99" t="s">
        <v>55</v>
      </c>
      <c r="L99" s="27" t="s">
        <v>45</v>
      </c>
      <c r="M99" t="s">
        <v>46</v>
      </c>
      <c r="N99" t="s">
        <v>47</v>
      </c>
      <c r="O99" t="s">
        <v>90</v>
      </c>
      <c r="P99" t="s">
        <v>47</v>
      </c>
      <c r="Q99" t="s">
        <v>232</v>
      </c>
      <c r="R99">
        <v>7</v>
      </c>
      <c r="S99" s="1">
        <v>320000</v>
      </c>
      <c r="T99" s="1">
        <f ca="1">ROUND(T_EMPLOYEES[[#This Row],[EMP_CTC1]]/12, 0)</f>
        <v>26667</v>
      </c>
      <c r="U99" s="1">
        <v>72000</v>
      </c>
      <c r="V99" s="1" t="s">
        <v>207</v>
      </c>
      <c r="W99" s="1" t="s">
        <v>207</v>
      </c>
      <c r="X9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 N Rajesh (1028375)</v>
      </c>
      <c r="Y99">
        <v>60000</v>
      </c>
      <c r="Z99" s="29">
        <f t="shared" ca="1" si="2"/>
        <v>77.5</v>
      </c>
      <c r="AA99">
        <f ca="1">IF(T_EMPLOYEES[[#This Row],[EMPLOYEE NUMBER]]="","",ROW(T_EMPLOYEES[[#This Row],[EMPLOYEE LABEL]])-ROW(T_EMPLOYEES[[#Headers],[EMPLOYEE LABEL]]))</f>
        <v>96</v>
      </c>
      <c r="AB99">
        <f ca="1">IF(T_EMPLOYEES[[#This Row],[EMPLOYEE NUMBER]]="","",IF(COUNTIF(T_EMPLOYEES[EMPLOYEE NUMBER],T_EMPLOYEES[[#This Row],[EMPLOYEE NUMBER]])&gt;1,1,0))</f>
        <v>0</v>
      </c>
      <c r="AC99">
        <f ca="1">IF(T_EMPLOYEES[[#This Row],[EMPLOYEE NUMBER]]="","",IF(AND(T_EMPLOYEES[[#This Row],[DATE OF BIRTH]]&gt;0,T_EMPLOYEES[[#This Row],[DATE OF BIRTH]]&lt;TODAY()),0,1))</f>
        <v>0</v>
      </c>
      <c r="AD99">
        <f ca="1">IF(T_EMPLOYEES[[#This Row],[EMPLOYEE NUMBER]]="","",IF(AND(T_EMPLOYEES[[#This Row],[START DATE]]&gt;0,T_EMPLOYEES[[#This Row],[START DATE]]&lt;TODAY()+60),0,1))</f>
        <v>0</v>
      </c>
      <c r="AE99">
        <f ca="1">IF(T_EMPLOYEES[[#This Row],[EMPLOYEE NUMBER]]="","",MATCH(T_EMPLOYEES[[#This Row],[GENDER]],L_GENDER,0))</f>
        <v>1</v>
      </c>
      <c r="AF99">
        <f ca="1">IF(T_EMPLOYEES[[#This Row],[EMPLOYEE NUMBER]]="","",MATCH(T_EMPLOYEES[[#This Row],[HIRE SOURCE]],L_HIRESOURCE,0))</f>
        <v>4</v>
      </c>
      <c r="AG99">
        <f ca="1">IF(T_EMPLOYEES[[#This Row],[EMPLOYEE NUMBER]]="","",MATCH(T_EMPLOYEES[[#This Row],[ETHNICITY]],L_ETHNICITY,0))</f>
        <v>3</v>
      </c>
      <c r="AH99">
        <f ca="1">IF(T_EMPLOYEES[[#This Row],[EMPLOYEE NUMBER]]="","",MATCH(T_EMPLOYEES[[#This Row],[LOCATION]],L_LOCATION,0))</f>
        <v>3</v>
      </c>
      <c r="AI99">
        <f ca="1">IF(T_EMPLOYEES[[#This Row],[EMPLOYEE NUMBER]]="","",MATCH(T_EMPLOYEES[[#This Row],[DEPARTMENT]],L_DEPARTMENT,0))</f>
        <v>2</v>
      </c>
      <c r="AJ99">
        <f ca="1">IF(T_EMPLOYEES[[#This Row],[EMPLOYEE NUMBER]]="","",MATCH(T_EMPLOYEES[[#This Row],[JOB TYPE]],L_JOBTYPE,0))</f>
        <v>2</v>
      </c>
      <c r="AK99">
        <f ca="1">IF(T_EMPLOYEES[[#This Row],[EMPLOYEE NUMBER]]="","",MATCH(T_EMPLOYEES[[#This Row],[JOB CATEGORY]],L_JOBCATEGORY,0))</f>
        <v>2</v>
      </c>
      <c r="AL99">
        <f ca="1">IF(T_EMPLOYEES[[#This Row],[EMPLOYEE NUMBER]]="","",MATCH(T_EMPLOYEES[[#This Row],[JOB LEVEL]],L_JOBLEVEL,0))</f>
        <v>6</v>
      </c>
      <c r="AM99">
        <f ca="1">IF(T_EMPLOYEES[[#This Row],[EMPLOYEE NUMBER]]="","",MATCH(T_EMPLOYEES[[#This Row],[JOB TITLE]],L_JOBTITLE,0))</f>
        <v>2</v>
      </c>
      <c r="AN99">
        <f ca="1">IF(T_EMPLOYEES[[#This Row],[EMPLOYEE NUMBER]]="","",MATCH(T_EMPLOYEES[[#This Row],[MANAGER]],L_EMPLABELS,0))</f>
        <v>19</v>
      </c>
      <c r="AO99">
        <f ca="1">IF(T_EMPLOYEES[[#This Row],[EMPLOYEE NUMBER]]="","",IF(T_EMPLOYEES[[#This Row],[ERROR]]="",0,1))</f>
        <v>0</v>
      </c>
      <c r="AP9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0" spans="1:42">
      <c r="A100" t="s">
        <v>500</v>
      </c>
      <c r="B100" t="s">
        <v>501</v>
      </c>
      <c r="C100">
        <v>1017913</v>
      </c>
      <c r="D100" t="s">
        <v>502</v>
      </c>
      <c r="E100" s="26">
        <v>31145</v>
      </c>
      <c r="F100" s="26">
        <v>42387</v>
      </c>
      <c r="H100" t="s">
        <v>40</v>
      </c>
      <c r="I100" t="s">
        <v>54</v>
      </c>
      <c r="J100" t="s">
        <v>64</v>
      </c>
      <c r="K100" t="s">
        <v>30</v>
      </c>
      <c r="L100" s="27" t="s">
        <v>45</v>
      </c>
      <c r="M100" t="s">
        <v>46</v>
      </c>
      <c r="N100" t="s">
        <v>136</v>
      </c>
      <c r="O100" t="s">
        <v>82</v>
      </c>
      <c r="P100" t="s">
        <v>136</v>
      </c>
      <c r="Q100" t="s">
        <v>218</v>
      </c>
      <c r="R100" s="27">
        <v>7</v>
      </c>
      <c r="S100" s="1">
        <v>320000</v>
      </c>
      <c r="T100" s="1">
        <f ca="1">ROUND(T_EMPLOYEES[[#This Row],[EMP_CTC1]]/12, 0)</f>
        <v>26667</v>
      </c>
      <c r="U100" s="1">
        <v>72000</v>
      </c>
      <c r="V100" s="1" t="s">
        <v>207</v>
      </c>
      <c r="W100" s="1" t="s">
        <v>207</v>
      </c>
      <c r="X10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Neha Abhijeet Mehta (1017913)</v>
      </c>
      <c r="Y100">
        <v>60000</v>
      </c>
      <c r="Z100" s="29">
        <f t="shared" ca="1" si="2"/>
        <v>77.5</v>
      </c>
      <c r="AA100">
        <f ca="1">IF(T_EMPLOYEES[[#This Row],[EMPLOYEE NUMBER]]="","",ROW(T_EMPLOYEES[[#This Row],[EMPLOYEE LABEL]])-ROW(T_EMPLOYEES[[#Headers],[EMPLOYEE LABEL]]))</f>
        <v>97</v>
      </c>
      <c r="AB100">
        <f ca="1">IF(T_EMPLOYEES[[#This Row],[EMPLOYEE NUMBER]]="","",IF(COUNTIF(T_EMPLOYEES[EMPLOYEE NUMBER],T_EMPLOYEES[[#This Row],[EMPLOYEE NUMBER]])&gt;1,1,0))</f>
        <v>0</v>
      </c>
      <c r="AC100">
        <f ca="1">IF(T_EMPLOYEES[[#This Row],[EMPLOYEE NUMBER]]="","",IF(AND(T_EMPLOYEES[[#This Row],[DATE OF BIRTH]]&gt;0,T_EMPLOYEES[[#This Row],[DATE OF BIRTH]]&lt;TODAY()),0,1))</f>
        <v>0</v>
      </c>
      <c r="AD100">
        <f ca="1">IF(T_EMPLOYEES[[#This Row],[EMPLOYEE NUMBER]]="","",IF(AND(T_EMPLOYEES[[#This Row],[START DATE]]&gt;0,T_EMPLOYEES[[#This Row],[START DATE]]&lt;TODAY()+60),0,1))</f>
        <v>0</v>
      </c>
      <c r="AE100">
        <f ca="1">IF(T_EMPLOYEES[[#This Row],[EMPLOYEE NUMBER]]="","",MATCH(T_EMPLOYEES[[#This Row],[GENDER]],L_GENDER,0))</f>
        <v>2</v>
      </c>
      <c r="AF100">
        <f ca="1">IF(T_EMPLOYEES[[#This Row],[EMPLOYEE NUMBER]]="","",MATCH(T_EMPLOYEES[[#This Row],[HIRE SOURCE]],L_HIRESOURCE,0))</f>
        <v>4</v>
      </c>
      <c r="AG100">
        <f ca="1">IF(T_EMPLOYEES[[#This Row],[EMPLOYEE NUMBER]]="","",MATCH(T_EMPLOYEES[[#This Row],[ETHNICITY]],L_ETHNICITY,0))</f>
        <v>3</v>
      </c>
      <c r="AH100">
        <f ca="1">IF(T_EMPLOYEES[[#This Row],[EMPLOYEE NUMBER]]="","",MATCH(T_EMPLOYEES[[#This Row],[LOCATION]],L_LOCATION,0))</f>
        <v>1</v>
      </c>
      <c r="AI100">
        <f ca="1">IF(T_EMPLOYEES[[#This Row],[EMPLOYEE NUMBER]]="","",MATCH(T_EMPLOYEES[[#This Row],[DEPARTMENT]],L_DEPARTMENT,0))</f>
        <v>2</v>
      </c>
      <c r="AJ100">
        <f ca="1">IF(T_EMPLOYEES[[#This Row],[EMPLOYEE NUMBER]]="","",MATCH(T_EMPLOYEES[[#This Row],[JOB TYPE]],L_JOBTYPE,0))</f>
        <v>2</v>
      </c>
      <c r="AK100">
        <f ca="1">IF(T_EMPLOYEES[[#This Row],[EMPLOYEE NUMBER]]="","",MATCH(T_EMPLOYEES[[#This Row],[JOB CATEGORY]],L_JOBCATEGORY,0))</f>
        <v>18</v>
      </c>
      <c r="AL100">
        <f ca="1">IF(T_EMPLOYEES[[#This Row],[EMPLOYEE NUMBER]]="","",MATCH(T_EMPLOYEES[[#This Row],[JOB LEVEL]],L_JOBLEVEL,0))</f>
        <v>5</v>
      </c>
      <c r="AM100">
        <f ca="1">IF(T_EMPLOYEES[[#This Row],[EMPLOYEE NUMBER]]="","",MATCH(T_EMPLOYEES[[#This Row],[JOB TITLE]],L_JOBTITLE,0))</f>
        <v>18</v>
      </c>
      <c r="AN100">
        <f ca="1">IF(T_EMPLOYEES[[#This Row],[EMPLOYEE NUMBER]]="","",MATCH(T_EMPLOYEES[[#This Row],[MANAGER]],L_EMPLABELS,0))</f>
        <v>43</v>
      </c>
      <c r="AO100">
        <f ca="1">IF(T_EMPLOYEES[[#This Row],[EMPLOYEE NUMBER]]="","",IF(T_EMPLOYEES[[#This Row],[ERROR]]="",0,1))</f>
        <v>0</v>
      </c>
      <c r="AP10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1" spans="1:42">
      <c r="A101" t="s">
        <v>51</v>
      </c>
      <c r="B101" t="s">
        <v>503</v>
      </c>
      <c r="C101">
        <v>1019682</v>
      </c>
      <c r="D101" t="s">
        <v>504</v>
      </c>
      <c r="E101" s="26">
        <v>31210</v>
      </c>
      <c r="F101" s="26">
        <v>42942</v>
      </c>
      <c r="H101" t="s">
        <v>27</v>
      </c>
      <c r="I101" t="s">
        <v>54</v>
      </c>
      <c r="J101" t="s">
        <v>64</v>
      </c>
      <c r="K101" t="s">
        <v>30</v>
      </c>
      <c r="L101" s="27" t="s">
        <v>114</v>
      </c>
      <c r="M101" t="s">
        <v>46</v>
      </c>
      <c r="N101" t="s">
        <v>111</v>
      </c>
      <c r="O101" t="s">
        <v>71</v>
      </c>
      <c r="P101" t="s">
        <v>111</v>
      </c>
      <c r="Q101" t="s">
        <v>505</v>
      </c>
      <c r="R101">
        <v>5</v>
      </c>
      <c r="S101" s="1">
        <v>320000</v>
      </c>
      <c r="T101" s="1">
        <f ca="1">ROUND(T_EMPLOYEES[[#This Row],[EMP_CTC1]]/12, 0)</f>
        <v>26667</v>
      </c>
      <c r="U101" s="1">
        <v>72000</v>
      </c>
      <c r="V101" s="1" t="s">
        <v>207</v>
      </c>
      <c r="W101" s="1" t="s">
        <v>207</v>
      </c>
      <c r="X10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 Mohammed Shamsheer Ali (1019682)</v>
      </c>
      <c r="Y101">
        <v>60000</v>
      </c>
      <c r="Z101" s="29">
        <f t="shared" ca="1" si="2"/>
        <v>77.5</v>
      </c>
      <c r="AA101">
        <f ca="1">IF(T_EMPLOYEES[[#This Row],[EMPLOYEE NUMBER]]="","",ROW(T_EMPLOYEES[[#This Row],[EMPLOYEE LABEL]])-ROW(T_EMPLOYEES[[#Headers],[EMPLOYEE LABEL]]))</f>
        <v>98</v>
      </c>
      <c r="AB101">
        <f ca="1">IF(T_EMPLOYEES[[#This Row],[EMPLOYEE NUMBER]]="","",IF(COUNTIF(T_EMPLOYEES[EMPLOYEE NUMBER],T_EMPLOYEES[[#This Row],[EMPLOYEE NUMBER]])&gt;1,1,0))</f>
        <v>0</v>
      </c>
      <c r="AC101">
        <f ca="1">IF(T_EMPLOYEES[[#This Row],[EMPLOYEE NUMBER]]="","",IF(AND(T_EMPLOYEES[[#This Row],[DATE OF BIRTH]]&gt;0,T_EMPLOYEES[[#This Row],[DATE OF BIRTH]]&lt;TODAY()),0,1))</f>
        <v>0</v>
      </c>
      <c r="AD101">
        <f ca="1">IF(T_EMPLOYEES[[#This Row],[EMPLOYEE NUMBER]]="","",IF(AND(T_EMPLOYEES[[#This Row],[START DATE]]&gt;0,T_EMPLOYEES[[#This Row],[START DATE]]&lt;TODAY()+60),0,1))</f>
        <v>0</v>
      </c>
      <c r="AE101">
        <f ca="1">IF(T_EMPLOYEES[[#This Row],[EMPLOYEE NUMBER]]="","",MATCH(T_EMPLOYEES[[#This Row],[GENDER]],L_GENDER,0))</f>
        <v>1</v>
      </c>
      <c r="AF101">
        <f ca="1">IF(T_EMPLOYEES[[#This Row],[EMPLOYEE NUMBER]]="","",MATCH(T_EMPLOYEES[[#This Row],[HIRE SOURCE]],L_HIRESOURCE,0))</f>
        <v>4</v>
      </c>
      <c r="AG101">
        <f ca="1">IF(T_EMPLOYEES[[#This Row],[EMPLOYEE NUMBER]]="","",MATCH(T_EMPLOYEES[[#This Row],[ETHNICITY]],L_ETHNICITY,0))</f>
        <v>3</v>
      </c>
      <c r="AH101">
        <f ca="1">IF(T_EMPLOYEES[[#This Row],[EMPLOYEE NUMBER]]="","",MATCH(T_EMPLOYEES[[#This Row],[LOCATION]],L_LOCATION,0))</f>
        <v>1</v>
      </c>
      <c r="AI101">
        <f ca="1">IF(T_EMPLOYEES[[#This Row],[EMPLOYEE NUMBER]]="","",MATCH(T_EMPLOYEES[[#This Row],[DEPARTMENT]],L_DEPARTMENT,0))</f>
        <v>11</v>
      </c>
      <c r="AJ101">
        <f ca="1">IF(T_EMPLOYEES[[#This Row],[EMPLOYEE NUMBER]]="","",MATCH(T_EMPLOYEES[[#This Row],[JOB TYPE]],L_JOBTYPE,0))</f>
        <v>2</v>
      </c>
      <c r="AK101">
        <f ca="1">IF(T_EMPLOYEES[[#This Row],[EMPLOYEE NUMBER]]="","",MATCH(T_EMPLOYEES[[#This Row],[JOB CATEGORY]],L_JOBCATEGORY,0))</f>
        <v>10</v>
      </c>
      <c r="AL101">
        <f ca="1">IF(T_EMPLOYEES[[#This Row],[EMPLOYEE NUMBER]]="","",MATCH(T_EMPLOYEES[[#This Row],[JOB LEVEL]],L_JOBLEVEL,0))</f>
        <v>4</v>
      </c>
      <c r="AM101">
        <f ca="1">IF(T_EMPLOYEES[[#This Row],[EMPLOYEE NUMBER]]="","",MATCH(T_EMPLOYEES[[#This Row],[JOB TITLE]],L_JOBTITLE,0))</f>
        <v>10</v>
      </c>
      <c r="AN101">
        <f ca="1">IF(T_EMPLOYEES[[#This Row],[EMPLOYEE NUMBER]]="","",MATCH(T_EMPLOYEES[[#This Row],[MANAGER]],L_EMPLABELS,0))</f>
        <v>57</v>
      </c>
      <c r="AO101">
        <f ca="1">IF(T_EMPLOYEES[[#This Row],[EMPLOYEE NUMBER]]="","",IF(T_EMPLOYEES[[#This Row],[ERROR]]="",0,1))</f>
        <v>0</v>
      </c>
      <c r="AP10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2" spans="1:42">
      <c r="A102" t="s">
        <v>506</v>
      </c>
      <c r="B102" t="s">
        <v>507</v>
      </c>
      <c r="C102">
        <v>1019816</v>
      </c>
      <c r="D102" t="s">
        <v>508</v>
      </c>
      <c r="E102" s="26">
        <v>32006</v>
      </c>
      <c r="F102" s="26">
        <v>42996</v>
      </c>
      <c r="G102" s="26">
        <v>43361</v>
      </c>
      <c r="H102" t="s">
        <v>27</v>
      </c>
      <c r="I102" t="s">
        <v>54</v>
      </c>
      <c r="J102" t="s">
        <v>64</v>
      </c>
      <c r="K102" t="s">
        <v>30</v>
      </c>
      <c r="L102" s="27" t="s">
        <v>121</v>
      </c>
      <c r="M102" t="s">
        <v>46</v>
      </c>
      <c r="N102" t="s">
        <v>81</v>
      </c>
      <c r="O102" t="s">
        <v>82</v>
      </c>
      <c r="P102" t="s">
        <v>81</v>
      </c>
      <c r="Q102" t="s">
        <v>468</v>
      </c>
      <c r="R102" s="27">
        <v>7</v>
      </c>
      <c r="S102" s="1">
        <v>320000</v>
      </c>
      <c r="T102" s="1">
        <f ca="1">ROUND(T_EMPLOYEES[[#This Row],[EMP_CTC1]]/12, 0)</f>
        <v>26667</v>
      </c>
      <c r="U102" s="1">
        <v>72000</v>
      </c>
      <c r="V102" s="1" t="s">
        <v>207</v>
      </c>
      <c r="W102" s="1" t="s">
        <v>207</v>
      </c>
      <c r="X10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Nagarjun Naidu Mannem (1019816)</v>
      </c>
      <c r="Y102">
        <v>60000</v>
      </c>
      <c r="Z102" s="29">
        <f t="shared" ca="1" si="2"/>
        <v>77.5</v>
      </c>
      <c r="AA102">
        <f ca="1">IF(T_EMPLOYEES[[#This Row],[EMPLOYEE NUMBER]]="","",ROW(T_EMPLOYEES[[#This Row],[EMPLOYEE LABEL]])-ROW(T_EMPLOYEES[[#Headers],[EMPLOYEE LABEL]]))</f>
        <v>99</v>
      </c>
      <c r="AB102">
        <f ca="1">IF(T_EMPLOYEES[[#This Row],[EMPLOYEE NUMBER]]="","",IF(COUNTIF(T_EMPLOYEES[EMPLOYEE NUMBER],T_EMPLOYEES[[#This Row],[EMPLOYEE NUMBER]])&gt;1,1,0))</f>
        <v>0</v>
      </c>
      <c r="AC102">
        <f ca="1">IF(T_EMPLOYEES[[#This Row],[EMPLOYEE NUMBER]]="","",IF(AND(T_EMPLOYEES[[#This Row],[DATE OF BIRTH]]&gt;0,T_EMPLOYEES[[#This Row],[DATE OF BIRTH]]&lt;TODAY()),0,1))</f>
        <v>0</v>
      </c>
      <c r="AD102">
        <f ca="1">IF(T_EMPLOYEES[[#This Row],[EMPLOYEE NUMBER]]="","",IF(AND(T_EMPLOYEES[[#This Row],[START DATE]]&gt;0,T_EMPLOYEES[[#This Row],[START DATE]]&lt;TODAY()+60),0,1))</f>
        <v>0</v>
      </c>
      <c r="AE102">
        <f ca="1">IF(T_EMPLOYEES[[#This Row],[EMPLOYEE NUMBER]]="","",MATCH(T_EMPLOYEES[[#This Row],[GENDER]],L_GENDER,0))</f>
        <v>1</v>
      </c>
      <c r="AF102">
        <f ca="1">IF(T_EMPLOYEES[[#This Row],[EMPLOYEE NUMBER]]="","",MATCH(T_EMPLOYEES[[#This Row],[HIRE SOURCE]],L_HIRESOURCE,0))</f>
        <v>4</v>
      </c>
      <c r="AG102">
        <f ca="1">IF(T_EMPLOYEES[[#This Row],[EMPLOYEE NUMBER]]="","",MATCH(T_EMPLOYEES[[#This Row],[ETHNICITY]],L_ETHNICITY,0))</f>
        <v>3</v>
      </c>
      <c r="AH102">
        <f ca="1">IF(T_EMPLOYEES[[#This Row],[EMPLOYEE NUMBER]]="","",MATCH(T_EMPLOYEES[[#This Row],[LOCATION]],L_LOCATION,0))</f>
        <v>1</v>
      </c>
      <c r="AI102">
        <f ca="1">IF(T_EMPLOYEES[[#This Row],[EMPLOYEE NUMBER]]="","",MATCH(T_EMPLOYEES[[#This Row],[DEPARTMENT]],L_DEPARTMENT,0))</f>
        <v>13</v>
      </c>
      <c r="AJ102">
        <f ca="1">IF(T_EMPLOYEES[[#This Row],[EMPLOYEE NUMBER]]="","",MATCH(T_EMPLOYEES[[#This Row],[JOB TYPE]],L_JOBTYPE,0))</f>
        <v>2</v>
      </c>
      <c r="AK102">
        <f ca="1">IF(T_EMPLOYEES[[#This Row],[EMPLOYEE NUMBER]]="","",MATCH(T_EMPLOYEES[[#This Row],[JOB CATEGORY]],L_JOBCATEGORY,0))</f>
        <v>5</v>
      </c>
      <c r="AL102">
        <f ca="1">IF(T_EMPLOYEES[[#This Row],[EMPLOYEE NUMBER]]="","",MATCH(T_EMPLOYEES[[#This Row],[JOB LEVEL]],L_JOBLEVEL,0))</f>
        <v>5</v>
      </c>
      <c r="AM102">
        <f ca="1">IF(T_EMPLOYEES[[#This Row],[EMPLOYEE NUMBER]]="","",MATCH(T_EMPLOYEES[[#This Row],[JOB TITLE]],L_JOBTITLE,0))</f>
        <v>5</v>
      </c>
      <c r="AN102">
        <f ca="1">IF(T_EMPLOYEES[[#This Row],[EMPLOYEE NUMBER]]="","",MATCH(T_EMPLOYEES[[#This Row],[MANAGER]],L_EMPLABELS,0))</f>
        <v>56</v>
      </c>
      <c r="AO102">
        <f ca="1">IF(T_EMPLOYEES[[#This Row],[EMPLOYEE NUMBER]]="","",IF(T_EMPLOYEES[[#This Row],[ERROR]]="",0,1))</f>
        <v>0</v>
      </c>
      <c r="AP10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3" spans="1:42">
      <c r="A103" t="s">
        <v>509</v>
      </c>
      <c r="B103" t="s">
        <v>510</v>
      </c>
      <c r="C103">
        <v>1021404</v>
      </c>
      <c r="D103" t="s">
        <v>511</v>
      </c>
      <c r="E103" s="26">
        <v>31233</v>
      </c>
      <c r="F103" s="26">
        <v>43472</v>
      </c>
      <c r="H103" t="s">
        <v>27</v>
      </c>
      <c r="I103" t="s">
        <v>54</v>
      </c>
      <c r="J103" t="s">
        <v>64</v>
      </c>
      <c r="K103" t="s">
        <v>55</v>
      </c>
      <c r="L103" s="27" t="s">
        <v>45</v>
      </c>
      <c r="M103" t="s">
        <v>46</v>
      </c>
      <c r="N103" t="s">
        <v>111</v>
      </c>
      <c r="O103" t="s">
        <v>71</v>
      </c>
      <c r="P103" t="s">
        <v>111</v>
      </c>
      <c r="Q103" t="s">
        <v>512</v>
      </c>
      <c r="R103">
        <v>5</v>
      </c>
      <c r="S103" s="1">
        <v>320000</v>
      </c>
      <c r="T103" s="1">
        <f ca="1">ROUND(T_EMPLOYEES[[#This Row],[EMP_CTC1]]/12, 0)</f>
        <v>26667</v>
      </c>
      <c r="U103" s="1">
        <v>72000</v>
      </c>
      <c r="V103" s="1" t="s">
        <v>207</v>
      </c>
      <c r="W103" s="1" t="s">
        <v>207</v>
      </c>
      <c r="X10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Nagadurga Kaladhar Raju Cholaraju (1021404)</v>
      </c>
      <c r="Y103">
        <v>60000</v>
      </c>
      <c r="Z103" s="29">
        <f t="shared" ca="1" si="2"/>
        <v>77.5</v>
      </c>
      <c r="AA103">
        <f ca="1">IF(T_EMPLOYEES[[#This Row],[EMPLOYEE NUMBER]]="","",ROW(T_EMPLOYEES[[#This Row],[EMPLOYEE LABEL]])-ROW(T_EMPLOYEES[[#Headers],[EMPLOYEE LABEL]]))</f>
        <v>100</v>
      </c>
      <c r="AB103">
        <f ca="1">IF(T_EMPLOYEES[[#This Row],[EMPLOYEE NUMBER]]="","",IF(COUNTIF(T_EMPLOYEES[EMPLOYEE NUMBER],T_EMPLOYEES[[#This Row],[EMPLOYEE NUMBER]])&gt;1,1,0))</f>
        <v>0</v>
      </c>
      <c r="AC103">
        <f ca="1">IF(T_EMPLOYEES[[#This Row],[EMPLOYEE NUMBER]]="","",IF(AND(T_EMPLOYEES[[#This Row],[DATE OF BIRTH]]&gt;0,T_EMPLOYEES[[#This Row],[DATE OF BIRTH]]&lt;TODAY()),0,1))</f>
        <v>0</v>
      </c>
      <c r="AD103">
        <f ca="1">IF(T_EMPLOYEES[[#This Row],[EMPLOYEE NUMBER]]="","",IF(AND(T_EMPLOYEES[[#This Row],[START DATE]]&gt;0,T_EMPLOYEES[[#This Row],[START DATE]]&lt;TODAY()+60),0,1))</f>
        <v>0</v>
      </c>
      <c r="AE103">
        <f ca="1">IF(T_EMPLOYEES[[#This Row],[EMPLOYEE NUMBER]]="","",MATCH(T_EMPLOYEES[[#This Row],[GENDER]],L_GENDER,0))</f>
        <v>1</v>
      </c>
      <c r="AF103">
        <f ca="1">IF(T_EMPLOYEES[[#This Row],[EMPLOYEE NUMBER]]="","",MATCH(T_EMPLOYEES[[#This Row],[HIRE SOURCE]],L_HIRESOURCE,0))</f>
        <v>4</v>
      </c>
      <c r="AG103">
        <f ca="1">IF(T_EMPLOYEES[[#This Row],[EMPLOYEE NUMBER]]="","",MATCH(T_EMPLOYEES[[#This Row],[ETHNICITY]],L_ETHNICITY,0))</f>
        <v>3</v>
      </c>
      <c r="AH103">
        <f ca="1">IF(T_EMPLOYEES[[#This Row],[EMPLOYEE NUMBER]]="","",MATCH(T_EMPLOYEES[[#This Row],[LOCATION]],L_LOCATION,0))</f>
        <v>3</v>
      </c>
      <c r="AI103">
        <f ca="1">IF(T_EMPLOYEES[[#This Row],[EMPLOYEE NUMBER]]="","",MATCH(T_EMPLOYEES[[#This Row],[DEPARTMENT]],L_DEPARTMENT,0))</f>
        <v>2</v>
      </c>
      <c r="AJ103">
        <f ca="1">IF(T_EMPLOYEES[[#This Row],[EMPLOYEE NUMBER]]="","",MATCH(T_EMPLOYEES[[#This Row],[JOB TYPE]],L_JOBTYPE,0))</f>
        <v>2</v>
      </c>
      <c r="AK103">
        <f ca="1">IF(T_EMPLOYEES[[#This Row],[EMPLOYEE NUMBER]]="","",MATCH(T_EMPLOYEES[[#This Row],[JOB CATEGORY]],L_JOBCATEGORY,0))</f>
        <v>10</v>
      </c>
      <c r="AL103">
        <f ca="1">IF(T_EMPLOYEES[[#This Row],[EMPLOYEE NUMBER]]="","",MATCH(T_EMPLOYEES[[#This Row],[JOB LEVEL]],L_JOBLEVEL,0))</f>
        <v>4</v>
      </c>
      <c r="AM103">
        <f ca="1">IF(T_EMPLOYEES[[#This Row],[EMPLOYEE NUMBER]]="","",MATCH(T_EMPLOYEES[[#This Row],[JOB TITLE]],L_JOBTITLE,0))</f>
        <v>10</v>
      </c>
      <c r="AN103">
        <f ca="1">IF(T_EMPLOYEES[[#This Row],[EMPLOYEE NUMBER]]="","",MATCH(T_EMPLOYEES[[#This Row],[MANAGER]],L_EMPLABELS,0))</f>
        <v>39</v>
      </c>
      <c r="AO103">
        <f ca="1">IF(T_EMPLOYEES[[#This Row],[EMPLOYEE NUMBER]]="","",IF(T_EMPLOYEES[[#This Row],[ERROR]]="",0,1))</f>
        <v>0</v>
      </c>
      <c r="AP10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4" spans="1:42">
      <c r="A104" t="s">
        <v>513</v>
      </c>
      <c r="B104" t="s">
        <v>514</v>
      </c>
      <c r="C104">
        <v>1017149</v>
      </c>
      <c r="D104" t="s">
        <v>515</v>
      </c>
      <c r="E104" s="26">
        <v>32243</v>
      </c>
      <c r="F104" s="26">
        <v>42149</v>
      </c>
      <c r="H104" t="s">
        <v>27</v>
      </c>
      <c r="I104" t="s">
        <v>54</v>
      </c>
      <c r="J104" t="s">
        <v>64</v>
      </c>
      <c r="K104" t="s">
        <v>43</v>
      </c>
      <c r="L104" s="27" t="s">
        <v>121</v>
      </c>
      <c r="M104" t="s">
        <v>46</v>
      </c>
      <c r="N104" t="s">
        <v>111</v>
      </c>
      <c r="O104" t="s">
        <v>71</v>
      </c>
      <c r="P104" t="s">
        <v>111</v>
      </c>
      <c r="Q104" t="s">
        <v>468</v>
      </c>
      <c r="R104" s="27">
        <v>5</v>
      </c>
      <c r="S104" s="1">
        <v>320000</v>
      </c>
      <c r="T104" s="1">
        <f ca="1">ROUND(T_EMPLOYEES[[#This Row],[EMP_CTC1]]/12, 0)</f>
        <v>26667</v>
      </c>
      <c r="U104" s="1">
        <v>72000</v>
      </c>
      <c r="V104" s="1" t="s">
        <v>207</v>
      </c>
      <c r="W104" s="1" t="s">
        <v>207</v>
      </c>
      <c r="X10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Katakam Vijaykumar (1017149)</v>
      </c>
      <c r="Y104">
        <v>60000</v>
      </c>
      <c r="Z104" s="29">
        <f t="shared" ca="1" si="2"/>
        <v>77.5</v>
      </c>
      <c r="AA104">
        <f ca="1">IF(T_EMPLOYEES[[#This Row],[EMPLOYEE NUMBER]]="","",ROW(T_EMPLOYEES[[#This Row],[EMPLOYEE LABEL]])-ROW(T_EMPLOYEES[[#Headers],[EMPLOYEE LABEL]]))</f>
        <v>101</v>
      </c>
      <c r="AB104">
        <f ca="1">IF(T_EMPLOYEES[[#This Row],[EMPLOYEE NUMBER]]="","",IF(COUNTIF(T_EMPLOYEES[EMPLOYEE NUMBER],T_EMPLOYEES[[#This Row],[EMPLOYEE NUMBER]])&gt;1,1,0))</f>
        <v>0</v>
      </c>
      <c r="AC104">
        <f ca="1">IF(T_EMPLOYEES[[#This Row],[EMPLOYEE NUMBER]]="","",IF(AND(T_EMPLOYEES[[#This Row],[DATE OF BIRTH]]&gt;0,T_EMPLOYEES[[#This Row],[DATE OF BIRTH]]&lt;TODAY()),0,1))</f>
        <v>0</v>
      </c>
      <c r="AD104">
        <f ca="1">IF(T_EMPLOYEES[[#This Row],[EMPLOYEE NUMBER]]="","",IF(AND(T_EMPLOYEES[[#This Row],[START DATE]]&gt;0,T_EMPLOYEES[[#This Row],[START DATE]]&lt;TODAY()+60),0,1))</f>
        <v>0</v>
      </c>
      <c r="AE104">
        <f ca="1">IF(T_EMPLOYEES[[#This Row],[EMPLOYEE NUMBER]]="","",MATCH(T_EMPLOYEES[[#This Row],[GENDER]],L_GENDER,0))</f>
        <v>1</v>
      </c>
      <c r="AF104">
        <f ca="1">IF(T_EMPLOYEES[[#This Row],[EMPLOYEE NUMBER]]="","",MATCH(T_EMPLOYEES[[#This Row],[HIRE SOURCE]],L_HIRESOURCE,0))</f>
        <v>4</v>
      </c>
      <c r="AG104">
        <f ca="1">IF(T_EMPLOYEES[[#This Row],[EMPLOYEE NUMBER]]="","",MATCH(T_EMPLOYEES[[#This Row],[ETHNICITY]],L_ETHNICITY,0))</f>
        <v>3</v>
      </c>
      <c r="AH104">
        <f ca="1">IF(T_EMPLOYEES[[#This Row],[EMPLOYEE NUMBER]]="","",MATCH(T_EMPLOYEES[[#This Row],[LOCATION]],L_LOCATION,0))</f>
        <v>2</v>
      </c>
      <c r="AI104">
        <f ca="1">IF(T_EMPLOYEES[[#This Row],[EMPLOYEE NUMBER]]="","",MATCH(T_EMPLOYEES[[#This Row],[DEPARTMENT]],L_DEPARTMENT,0))</f>
        <v>13</v>
      </c>
      <c r="AJ104">
        <f ca="1">IF(T_EMPLOYEES[[#This Row],[EMPLOYEE NUMBER]]="","",MATCH(T_EMPLOYEES[[#This Row],[JOB TYPE]],L_JOBTYPE,0))</f>
        <v>2</v>
      </c>
      <c r="AK104">
        <f ca="1">IF(T_EMPLOYEES[[#This Row],[EMPLOYEE NUMBER]]="","",MATCH(T_EMPLOYEES[[#This Row],[JOB CATEGORY]],L_JOBCATEGORY,0))</f>
        <v>10</v>
      </c>
      <c r="AL104">
        <f ca="1">IF(T_EMPLOYEES[[#This Row],[EMPLOYEE NUMBER]]="","",MATCH(T_EMPLOYEES[[#This Row],[JOB LEVEL]],L_JOBLEVEL,0))</f>
        <v>4</v>
      </c>
      <c r="AM104">
        <f ca="1">IF(T_EMPLOYEES[[#This Row],[EMPLOYEE NUMBER]]="","",MATCH(T_EMPLOYEES[[#This Row],[JOB TITLE]],L_JOBTITLE,0))</f>
        <v>10</v>
      </c>
      <c r="AN104">
        <f ca="1">IF(T_EMPLOYEES[[#This Row],[EMPLOYEE NUMBER]]="","",MATCH(T_EMPLOYEES[[#This Row],[MANAGER]],L_EMPLABELS,0))</f>
        <v>56</v>
      </c>
      <c r="AO104">
        <f ca="1">IF(T_EMPLOYEES[[#This Row],[EMPLOYEE NUMBER]]="","",IF(T_EMPLOYEES[[#This Row],[ERROR]]="",0,1))</f>
        <v>0</v>
      </c>
      <c r="AP10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5" spans="1:42">
      <c r="A105" t="s">
        <v>516</v>
      </c>
      <c r="B105" t="s">
        <v>517</v>
      </c>
      <c r="C105">
        <v>1027985</v>
      </c>
      <c r="D105" t="s">
        <v>518</v>
      </c>
      <c r="E105" s="26">
        <v>31285</v>
      </c>
      <c r="F105" s="26">
        <v>44571</v>
      </c>
      <c r="H105" t="s">
        <v>27</v>
      </c>
      <c r="I105" t="s">
        <v>54</v>
      </c>
      <c r="J105" t="s">
        <v>64</v>
      </c>
      <c r="K105" t="s">
        <v>43</v>
      </c>
      <c r="L105" s="27" t="s">
        <v>45</v>
      </c>
      <c r="M105" t="s">
        <v>46</v>
      </c>
      <c r="N105" t="s">
        <v>145</v>
      </c>
      <c r="O105" t="s">
        <v>71</v>
      </c>
      <c r="P105" t="s">
        <v>145</v>
      </c>
      <c r="Q105" t="s">
        <v>211</v>
      </c>
      <c r="R105">
        <v>5</v>
      </c>
      <c r="S105" s="1">
        <v>320000</v>
      </c>
      <c r="T105" s="1">
        <f ca="1">ROUND(T_EMPLOYEES[[#This Row],[EMP_CTC1]]/12, 0)</f>
        <v>26667</v>
      </c>
      <c r="U105" s="1">
        <v>72000</v>
      </c>
      <c r="V105" s="1" t="s">
        <v>207</v>
      </c>
      <c r="W105" s="1" t="s">
        <v>207</v>
      </c>
      <c r="X10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Debajyoti Panda (1027985)</v>
      </c>
      <c r="Y105">
        <v>60000</v>
      </c>
      <c r="Z105" s="29">
        <f t="shared" ca="1" si="2"/>
        <v>77.5</v>
      </c>
      <c r="AA105">
        <f ca="1">IF(T_EMPLOYEES[[#This Row],[EMPLOYEE NUMBER]]="","",ROW(T_EMPLOYEES[[#This Row],[EMPLOYEE LABEL]])-ROW(T_EMPLOYEES[[#Headers],[EMPLOYEE LABEL]]))</f>
        <v>102</v>
      </c>
      <c r="AB105">
        <f ca="1">IF(T_EMPLOYEES[[#This Row],[EMPLOYEE NUMBER]]="","",IF(COUNTIF(T_EMPLOYEES[EMPLOYEE NUMBER],T_EMPLOYEES[[#This Row],[EMPLOYEE NUMBER]])&gt;1,1,0))</f>
        <v>0</v>
      </c>
      <c r="AC105">
        <f ca="1">IF(T_EMPLOYEES[[#This Row],[EMPLOYEE NUMBER]]="","",IF(AND(T_EMPLOYEES[[#This Row],[DATE OF BIRTH]]&gt;0,T_EMPLOYEES[[#This Row],[DATE OF BIRTH]]&lt;TODAY()),0,1))</f>
        <v>0</v>
      </c>
      <c r="AD105">
        <f ca="1">IF(T_EMPLOYEES[[#This Row],[EMPLOYEE NUMBER]]="","",IF(AND(T_EMPLOYEES[[#This Row],[START DATE]]&gt;0,T_EMPLOYEES[[#This Row],[START DATE]]&lt;TODAY()+60),0,1))</f>
        <v>0</v>
      </c>
      <c r="AE105">
        <f ca="1">IF(T_EMPLOYEES[[#This Row],[EMPLOYEE NUMBER]]="","",MATCH(T_EMPLOYEES[[#This Row],[GENDER]],L_GENDER,0))</f>
        <v>1</v>
      </c>
      <c r="AF105">
        <f ca="1">IF(T_EMPLOYEES[[#This Row],[EMPLOYEE NUMBER]]="","",MATCH(T_EMPLOYEES[[#This Row],[HIRE SOURCE]],L_HIRESOURCE,0))</f>
        <v>4</v>
      </c>
      <c r="AG105">
        <f ca="1">IF(T_EMPLOYEES[[#This Row],[EMPLOYEE NUMBER]]="","",MATCH(T_EMPLOYEES[[#This Row],[ETHNICITY]],L_ETHNICITY,0))</f>
        <v>3</v>
      </c>
      <c r="AH105">
        <f ca="1">IF(T_EMPLOYEES[[#This Row],[EMPLOYEE NUMBER]]="","",MATCH(T_EMPLOYEES[[#This Row],[LOCATION]],L_LOCATION,0))</f>
        <v>2</v>
      </c>
      <c r="AI105">
        <f ca="1">IF(T_EMPLOYEES[[#This Row],[EMPLOYEE NUMBER]]="","",MATCH(T_EMPLOYEES[[#This Row],[DEPARTMENT]],L_DEPARTMENT,0))</f>
        <v>2</v>
      </c>
      <c r="AJ105">
        <f ca="1">IF(T_EMPLOYEES[[#This Row],[EMPLOYEE NUMBER]]="","",MATCH(T_EMPLOYEES[[#This Row],[JOB TYPE]],L_JOBTYPE,0))</f>
        <v>2</v>
      </c>
      <c r="AK105">
        <f ca="1">IF(T_EMPLOYEES[[#This Row],[EMPLOYEE NUMBER]]="","",MATCH(T_EMPLOYEES[[#This Row],[JOB CATEGORY]],L_JOBCATEGORY,0))</f>
        <v>24</v>
      </c>
      <c r="AL105">
        <f ca="1">IF(T_EMPLOYEES[[#This Row],[EMPLOYEE NUMBER]]="","",MATCH(T_EMPLOYEES[[#This Row],[JOB LEVEL]],L_JOBLEVEL,0))</f>
        <v>4</v>
      </c>
      <c r="AM105">
        <f ca="1">IF(T_EMPLOYEES[[#This Row],[EMPLOYEE NUMBER]]="","",MATCH(T_EMPLOYEES[[#This Row],[JOB TITLE]],L_JOBTITLE,0))</f>
        <v>24</v>
      </c>
      <c r="AN105">
        <f ca="1">IF(T_EMPLOYEES[[#This Row],[EMPLOYEE NUMBER]]="","",MATCH(T_EMPLOYEES[[#This Row],[MANAGER]],L_EMPLABELS,0))</f>
        <v>49</v>
      </c>
      <c r="AO105">
        <f ca="1">IF(T_EMPLOYEES[[#This Row],[EMPLOYEE NUMBER]]="","",IF(T_EMPLOYEES[[#This Row],[ERROR]]="",0,1))</f>
        <v>0</v>
      </c>
      <c r="AP10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6" spans="1:42">
      <c r="A106" t="s">
        <v>338</v>
      </c>
      <c r="B106" t="s">
        <v>39</v>
      </c>
      <c r="C106">
        <v>1027169</v>
      </c>
      <c r="D106" t="s">
        <v>519</v>
      </c>
      <c r="E106" s="26">
        <v>31327</v>
      </c>
      <c r="F106" s="26">
        <v>44512</v>
      </c>
      <c r="H106" t="s">
        <v>27</v>
      </c>
      <c r="I106" t="s">
        <v>54</v>
      </c>
      <c r="J106" t="s">
        <v>64</v>
      </c>
      <c r="K106" t="s">
        <v>30</v>
      </c>
      <c r="L106" s="27" t="s">
        <v>45</v>
      </c>
      <c r="M106" t="s">
        <v>46</v>
      </c>
      <c r="N106" t="s">
        <v>136</v>
      </c>
      <c r="O106" t="s">
        <v>82</v>
      </c>
      <c r="P106" t="s">
        <v>136</v>
      </c>
      <c r="Q106" t="s">
        <v>215</v>
      </c>
      <c r="R106" s="27">
        <v>7</v>
      </c>
      <c r="S106" s="1">
        <v>320000</v>
      </c>
      <c r="T106" s="1">
        <f ca="1">ROUND(T_EMPLOYEES[[#This Row],[EMP_CTC1]]/12, 0)</f>
        <v>26667</v>
      </c>
      <c r="U106" s="1">
        <v>72000</v>
      </c>
      <c r="V106" s="1" t="s">
        <v>207</v>
      </c>
      <c r="W106" s="1" t="s">
        <v>207</v>
      </c>
      <c r="X10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Ravi V (1027169)</v>
      </c>
      <c r="Y106">
        <v>60000</v>
      </c>
      <c r="Z106" s="29">
        <f t="shared" ca="1" si="2"/>
        <v>77.5</v>
      </c>
      <c r="AA106">
        <f ca="1">IF(T_EMPLOYEES[[#This Row],[EMPLOYEE NUMBER]]="","",ROW(T_EMPLOYEES[[#This Row],[EMPLOYEE LABEL]])-ROW(T_EMPLOYEES[[#Headers],[EMPLOYEE LABEL]]))</f>
        <v>103</v>
      </c>
      <c r="AB106">
        <f ca="1">IF(T_EMPLOYEES[[#This Row],[EMPLOYEE NUMBER]]="","",IF(COUNTIF(T_EMPLOYEES[EMPLOYEE NUMBER],T_EMPLOYEES[[#This Row],[EMPLOYEE NUMBER]])&gt;1,1,0))</f>
        <v>0</v>
      </c>
      <c r="AC106">
        <f ca="1">IF(T_EMPLOYEES[[#This Row],[EMPLOYEE NUMBER]]="","",IF(AND(T_EMPLOYEES[[#This Row],[DATE OF BIRTH]]&gt;0,T_EMPLOYEES[[#This Row],[DATE OF BIRTH]]&lt;TODAY()),0,1))</f>
        <v>0</v>
      </c>
      <c r="AD106">
        <f ca="1">IF(T_EMPLOYEES[[#This Row],[EMPLOYEE NUMBER]]="","",IF(AND(T_EMPLOYEES[[#This Row],[START DATE]]&gt;0,T_EMPLOYEES[[#This Row],[START DATE]]&lt;TODAY()+60),0,1))</f>
        <v>0</v>
      </c>
      <c r="AE106">
        <f ca="1">IF(T_EMPLOYEES[[#This Row],[EMPLOYEE NUMBER]]="","",MATCH(T_EMPLOYEES[[#This Row],[GENDER]],L_GENDER,0))</f>
        <v>1</v>
      </c>
      <c r="AF106">
        <f ca="1">IF(T_EMPLOYEES[[#This Row],[EMPLOYEE NUMBER]]="","",MATCH(T_EMPLOYEES[[#This Row],[HIRE SOURCE]],L_HIRESOURCE,0))</f>
        <v>4</v>
      </c>
      <c r="AG106">
        <f ca="1">IF(T_EMPLOYEES[[#This Row],[EMPLOYEE NUMBER]]="","",MATCH(T_EMPLOYEES[[#This Row],[ETHNICITY]],L_ETHNICITY,0))</f>
        <v>3</v>
      </c>
      <c r="AH106">
        <f ca="1">IF(T_EMPLOYEES[[#This Row],[EMPLOYEE NUMBER]]="","",MATCH(T_EMPLOYEES[[#This Row],[LOCATION]],L_LOCATION,0))</f>
        <v>1</v>
      </c>
      <c r="AI106">
        <f ca="1">IF(T_EMPLOYEES[[#This Row],[EMPLOYEE NUMBER]]="","",MATCH(T_EMPLOYEES[[#This Row],[DEPARTMENT]],L_DEPARTMENT,0))</f>
        <v>2</v>
      </c>
      <c r="AJ106">
        <f ca="1">IF(T_EMPLOYEES[[#This Row],[EMPLOYEE NUMBER]]="","",MATCH(T_EMPLOYEES[[#This Row],[JOB TYPE]],L_JOBTYPE,0))</f>
        <v>2</v>
      </c>
      <c r="AK106">
        <f ca="1">IF(T_EMPLOYEES[[#This Row],[EMPLOYEE NUMBER]]="","",MATCH(T_EMPLOYEES[[#This Row],[JOB CATEGORY]],L_JOBCATEGORY,0))</f>
        <v>18</v>
      </c>
      <c r="AL106">
        <f ca="1">IF(T_EMPLOYEES[[#This Row],[EMPLOYEE NUMBER]]="","",MATCH(T_EMPLOYEES[[#This Row],[JOB LEVEL]],L_JOBLEVEL,0))</f>
        <v>5</v>
      </c>
      <c r="AM106">
        <f ca="1">IF(T_EMPLOYEES[[#This Row],[EMPLOYEE NUMBER]]="","",MATCH(T_EMPLOYEES[[#This Row],[JOB TITLE]],L_JOBTITLE,0))</f>
        <v>18</v>
      </c>
      <c r="AN106">
        <f ca="1">IF(T_EMPLOYEES[[#This Row],[EMPLOYEE NUMBER]]="","",MATCH(T_EMPLOYEES[[#This Row],[MANAGER]],L_EMPLABELS,0))</f>
        <v>13</v>
      </c>
      <c r="AO106">
        <f ca="1">IF(T_EMPLOYEES[[#This Row],[EMPLOYEE NUMBER]]="","",IF(T_EMPLOYEES[[#This Row],[ERROR]]="",0,1))</f>
        <v>0</v>
      </c>
      <c r="AP10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7" spans="1:42">
      <c r="A107" t="s">
        <v>520</v>
      </c>
      <c r="B107" t="s">
        <v>521</v>
      </c>
      <c r="C107">
        <v>1033186</v>
      </c>
      <c r="D107" t="s">
        <v>522</v>
      </c>
      <c r="E107" s="26">
        <v>31356</v>
      </c>
      <c r="F107" s="26">
        <v>45152</v>
      </c>
      <c r="H107" t="s">
        <v>27</v>
      </c>
      <c r="I107" t="s">
        <v>54</v>
      </c>
      <c r="J107" t="s">
        <v>64</v>
      </c>
      <c r="K107" t="s">
        <v>30</v>
      </c>
      <c r="L107" s="27" t="s">
        <v>45</v>
      </c>
      <c r="M107" t="s">
        <v>46</v>
      </c>
      <c r="N107" t="s">
        <v>131</v>
      </c>
      <c r="O107" t="s">
        <v>60</v>
      </c>
      <c r="P107" t="s">
        <v>131</v>
      </c>
      <c r="Q107" t="s">
        <v>523</v>
      </c>
      <c r="R107">
        <v>3</v>
      </c>
      <c r="S107" s="1">
        <v>320000</v>
      </c>
      <c r="T107" s="1">
        <f ca="1">ROUND(T_EMPLOYEES[[#This Row],[EMP_CTC1]]/12, 0)</f>
        <v>26667</v>
      </c>
      <c r="U107" s="1">
        <v>72000</v>
      </c>
      <c r="V107" s="1" t="s">
        <v>207</v>
      </c>
      <c r="W107" s="1" t="s">
        <v>207</v>
      </c>
      <c r="X10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Sudhansu Sekhar Sahu (1033186)</v>
      </c>
      <c r="Y107">
        <v>60000</v>
      </c>
      <c r="Z107" s="29">
        <f t="shared" ca="1" si="2"/>
        <v>77.5</v>
      </c>
      <c r="AA107">
        <f ca="1">IF(T_EMPLOYEES[[#This Row],[EMPLOYEE NUMBER]]="","",ROW(T_EMPLOYEES[[#This Row],[EMPLOYEE LABEL]])-ROW(T_EMPLOYEES[[#Headers],[EMPLOYEE LABEL]]))</f>
        <v>104</v>
      </c>
      <c r="AB107">
        <f ca="1">IF(T_EMPLOYEES[[#This Row],[EMPLOYEE NUMBER]]="","",IF(COUNTIF(T_EMPLOYEES[EMPLOYEE NUMBER],T_EMPLOYEES[[#This Row],[EMPLOYEE NUMBER]])&gt;1,1,0))</f>
        <v>0</v>
      </c>
      <c r="AC107">
        <f ca="1">IF(T_EMPLOYEES[[#This Row],[EMPLOYEE NUMBER]]="","",IF(AND(T_EMPLOYEES[[#This Row],[DATE OF BIRTH]]&gt;0,T_EMPLOYEES[[#This Row],[DATE OF BIRTH]]&lt;TODAY()),0,1))</f>
        <v>0</v>
      </c>
      <c r="AD107">
        <f ca="1">IF(T_EMPLOYEES[[#This Row],[EMPLOYEE NUMBER]]="","",IF(AND(T_EMPLOYEES[[#This Row],[START DATE]]&gt;0,T_EMPLOYEES[[#This Row],[START DATE]]&lt;TODAY()+60),0,1))</f>
        <v>0</v>
      </c>
      <c r="AE107">
        <f ca="1">IF(T_EMPLOYEES[[#This Row],[EMPLOYEE NUMBER]]="","",MATCH(T_EMPLOYEES[[#This Row],[GENDER]],L_GENDER,0))</f>
        <v>1</v>
      </c>
      <c r="AF107">
        <f ca="1">IF(T_EMPLOYEES[[#This Row],[EMPLOYEE NUMBER]]="","",MATCH(T_EMPLOYEES[[#This Row],[HIRE SOURCE]],L_HIRESOURCE,0))</f>
        <v>4</v>
      </c>
      <c r="AG107">
        <f ca="1">IF(T_EMPLOYEES[[#This Row],[EMPLOYEE NUMBER]]="","",MATCH(T_EMPLOYEES[[#This Row],[ETHNICITY]],L_ETHNICITY,0))</f>
        <v>3</v>
      </c>
      <c r="AH107">
        <f ca="1">IF(T_EMPLOYEES[[#This Row],[EMPLOYEE NUMBER]]="","",MATCH(T_EMPLOYEES[[#This Row],[LOCATION]],L_LOCATION,0))</f>
        <v>1</v>
      </c>
      <c r="AI107">
        <f ca="1">IF(T_EMPLOYEES[[#This Row],[EMPLOYEE NUMBER]]="","",MATCH(T_EMPLOYEES[[#This Row],[DEPARTMENT]],L_DEPARTMENT,0))</f>
        <v>2</v>
      </c>
      <c r="AJ107">
        <f ca="1">IF(T_EMPLOYEES[[#This Row],[EMPLOYEE NUMBER]]="","",MATCH(T_EMPLOYEES[[#This Row],[JOB TYPE]],L_JOBTYPE,0))</f>
        <v>2</v>
      </c>
      <c r="AK107">
        <f ca="1">IF(T_EMPLOYEES[[#This Row],[EMPLOYEE NUMBER]]="","",MATCH(T_EMPLOYEES[[#This Row],[JOB CATEGORY]],L_JOBCATEGORY,0))</f>
        <v>16</v>
      </c>
      <c r="AL107">
        <f ca="1">IF(T_EMPLOYEES[[#This Row],[EMPLOYEE NUMBER]]="","",MATCH(T_EMPLOYEES[[#This Row],[JOB LEVEL]],L_JOBLEVEL,0))</f>
        <v>3</v>
      </c>
      <c r="AM107">
        <f ca="1">IF(T_EMPLOYEES[[#This Row],[EMPLOYEE NUMBER]]="","",MATCH(T_EMPLOYEES[[#This Row],[JOB TITLE]],L_JOBTITLE,0))</f>
        <v>16</v>
      </c>
      <c r="AN107">
        <f ca="1">IF(T_EMPLOYEES[[#This Row],[EMPLOYEE NUMBER]]="","",MATCH(T_EMPLOYEES[[#This Row],[MANAGER]],L_EMPLABELS,0))</f>
        <v>103</v>
      </c>
      <c r="AO107">
        <f ca="1">IF(T_EMPLOYEES[[#This Row],[EMPLOYEE NUMBER]]="","",IF(T_EMPLOYEES[[#This Row],[ERROR]]="",0,1))</f>
        <v>0</v>
      </c>
      <c r="AP10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8" spans="1:42">
      <c r="A108" t="s">
        <v>74</v>
      </c>
      <c r="B108" t="s">
        <v>524</v>
      </c>
      <c r="C108">
        <v>1023066</v>
      </c>
      <c r="D108" t="s">
        <v>525</v>
      </c>
      <c r="E108" s="26">
        <v>31387</v>
      </c>
      <c r="F108" s="26">
        <v>43873</v>
      </c>
      <c r="H108" t="s">
        <v>27</v>
      </c>
      <c r="I108" t="s">
        <v>54</v>
      </c>
      <c r="J108" t="s">
        <v>64</v>
      </c>
      <c r="K108" t="s">
        <v>30</v>
      </c>
      <c r="L108" s="27" t="s">
        <v>45</v>
      </c>
      <c r="M108" t="s">
        <v>46</v>
      </c>
      <c r="N108" t="s">
        <v>47</v>
      </c>
      <c r="O108" t="s">
        <v>90</v>
      </c>
      <c r="P108" t="s">
        <v>47</v>
      </c>
      <c r="Q108" t="s">
        <v>280</v>
      </c>
      <c r="R108" s="27">
        <v>7</v>
      </c>
      <c r="S108" s="1">
        <v>320000</v>
      </c>
      <c r="T108" s="1">
        <f ca="1">ROUND(T_EMPLOYEES[[#This Row],[EMP_CTC1]]/12, 0)</f>
        <v>26667</v>
      </c>
      <c r="U108" s="1">
        <v>72000</v>
      </c>
      <c r="V108" s="1" t="s">
        <v>207</v>
      </c>
      <c r="W108" s="1" t="s">
        <v>207</v>
      </c>
      <c r="X10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 Vinoth  Kumar (1023066)</v>
      </c>
      <c r="Y108">
        <v>60000</v>
      </c>
      <c r="Z108" s="29">
        <f t="shared" ca="1" si="2"/>
        <v>77.5</v>
      </c>
      <c r="AA108">
        <f ca="1">IF(T_EMPLOYEES[[#This Row],[EMPLOYEE NUMBER]]="","",ROW(T_EMPLOYEES[[#This Row],[EMPLOYEE LABEL]])-ROW(T_EMPLOYEES[[#Headers],[EMPLOYEE LABEL]]))</f>
        <v>105</v>
      </c>
      <c r="AB108">
        <f ca="1">IF(T_EMPLOYEES[[#This Row],[EMPLOYEE NUMBER]]="","",IF(COUNTIF(T_EMPLOYEES[EMPLOYEE NUMBER],T_EMPLOYEES[[#This Row],[EMPLOYEE NUMBER]])&gt;1,1,0))</f>
        <v>0</v>
      </c>
      <c r="AC108">
        <f ca="1">IF(T_EMPLOYEES[[#This Row],[EMPLOYEE NUMBER]]="","",IF(AND(T_EMPLOYEES[[#This Row],[DATE OF BIRTH]]&gt;0,T_EMPLOYEES[[#This Row],[DATE OF BIRTH]]&lt;TODAY()),0,1))</f>
        <v>0</v>
      </c>
      <c r="AD108">
        <f ca="1">IF(T_EMPLOYEES[[#This Row],[EMPLOYEE NUMBER]]="","",IF(AND(T_EMPLOYEES[[#This Row],[START DATE]]&gt;0,T_EMPLOYEES[[#This Row],[START DATE]]&lt;TODAY()+60),0,1))</f>
        <v>0</v>
      </c>
      <c r="AE108">
        <f ca="1">IF(T_EMPLOYEES[[#This Row],[EMPLOYEE NUMBER]]="","",MATCH(T_EMPLOYEES[[#This Row],[GENDER]],L_GENDER,0))</f>
        <v>1</v>
      </c>
      <c r="AF108">
        <f ca="1">IF(T_EMPLOYEES[[#This Row],[EMPLOYEE NUMBER]]="","",MATCH(T_EMPLOYEES[[#This Row],[HIRE SOURCE]],L_HIRESOURCE,0))</f>
        <v>4</v>
      </c>
      <c r="AG108">
        <f ca="1">IF(T_EMPLOYEES[[#This Row],[EMPLOYEE NUMBER]]="","",MATCH(T_EMPLOYEES[[#This Row],[ETHNICITY]],L_ETHNICITY,0))</f>
        <v>3</v>
      </c>
      <c r="AH108">
        <f ca="1">IF(T_EMPLOYEES[[#This Row],[EMPLOYEE NUMBER]]="","",MATCH(T_EMPLOYEES[[#This Row],[LOCATION]],L_LOCATION,0))</f>
        <v>1</v>
      </c>
      <c r="AI108">
        <f ca="1">IF(T_EMPLOYEES[[#This Row],[EMPLOYEE NUMBER]]="","",MATCH(T_EMPLOYEES[[#This Row],[DEPARTMENT]],L_DEPARTMENT,0))</f>
        <v>2</v>
      </c>
      <c r="AJ108">
        <f ca="1">IF(T_EMPLOYEES[[#This Row],[EMPLOYEE NUMBER]]="","",MATCH(T_EMPLOYEES[[#This Row],[JOB TYPE]],L_JOBTYPE,0))</f>
        <v>2</v>
      </c>
      <c r="AK108">
        <f ca="1">IF(T_EMPLOYEES[[#This Row],[EMPLOYEE NUMBER]]="","",MATCH(T_EMPLOYEES[[#This Row],[JOB CATEGORY]],L_JOBCATEGORY,0))</f>
        <v>2</v>
      </c>
      <c r="AL108">
        <f ca="1">IF(T_EMPLOYEES[[#This Row],[EMPLOYEE NUMBER]]="","",MATCH(T_EMPLOYEES[[#This Row],[JOB LEVEL]],L_JOBLEVEL,0))</f>
        <v>6</v>
      </c>
      <c r="AM108">
        <f ca="1">IF(T_EMPLOYEES[[#This Row],[EMPLOYEE NUMBER]]="","",MATCH(T_EMPLOYEES[[#This Row],[JOB TITLE]],L_JOBTITLE,0))</f>
        <v>2</v>
      </c>
      <c r="AN108">
        <f ca="1">IF(T_EMPLOYEES[[#This Row],[EMPLOYEE NUMBER]]="","",MATCH(T_EMPLOYEES[[#This Row],[MANAGER]],L_EMPLABELS,0))</f>
        <v>86</v>
      </c>
      <c r="AO108">
        <f ca="1">IF(T_EMPLOYEES[[#This Row],[EMPLOYEE NUMBER]]="","",IF(T_EMPLOYEES[[#This Row],[ERROR]]="",0,1))</f>
        <v>0</v>
      </c>
      <c r="AP10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9" spans="1:42">
      <c r="A109" t="s">
        <v>526</v>
      </c>
      <c r="B109" t="s">
        <v>51</v>
      </c>
      <c r="C109">
        <v>1021469</v>
      </c>
      <c r="D109" t="s">
        <v>527</v>
      </c>
      <c r="E109" s="26">
        <v>31454</v>
      </c>
      <c r="F109" s="26">
        <v>43488</v>
      </c>
      <c r="H109" t="s">
        <v>27</v>
      </c>
      <c r="I109" t="s">
        <v>54</v>
      </c>
      <c r="J109" t="s">
        <v>64</v>
      </c>
      <c r="K109" t="s">
        <v>30</v>
      </c>
      <c r="L109" s="27" t="s">
        <v>45</v>
      </c>
      <c r="M109" t="s">
        <v>46</v>
      </c>
      <c r="N109" t="s">
        <v>125</v>
      </c>
      <c r="O109" t="s">
        <v>71</v>
      </c>
      <c r="P109" t="s">
        <v>125</v>
      </c>
      <c r="Q109" t="s">
        <v>418</v>
      </c>
      <c r="R109">
        <v>5</v>
      </c>
      <c r="S109" s="1">
        <v>250000</v>
      </c>
      <c r="T109" s="1">
        <f ca="1">ROUND(T_EMPLOYEES[[#This Row],[EMP_CTC1]]/12, 0)</f>
        <v>20833</v>
      </c>
      <c r="U109" s="1">
        <v>150000</v>
      </c>
      <c r="V109" s="1" t="s">
        <v>207</v>
      </c>
      <c r="W109" s="1" t="s">
        <v>207</v>
      </c>
      <c r="X10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Sekhar S (1021469)</v>
      </c>
      <c r="Y109">
        <v>60000</v>
      </c>
      <c r="Z109" s="29">
        <f t="shared" ca="1" si="2"/>
        <v>40</v>
      </c>
      <c r="AA109">
        <f ca="1">IF(T_EMPLOYEES[[#This Row],[EMPLOYEE NUMBER]]="","",ROW(T_EMPLOYEES[[#This Row],[EMPLOYEE LABEL]])-ROW(T_EMPLOYEES[[#Headers],[EMPLOYEE LABEL]]))</f>
        <v>106</v>
      </c>
      <c r="AB109">
        <f ca="1">IF(T_EMPLOYEES[[#This Row],[EMPLOYEE NUMBER]]="","",IF(COUNTIF(T_EMPLOYEES[EMPLOYEE NUMBER],T_EMPLOYEES[[#This Row],[EMPLOYEE NUMBER]])&gt;1,1,0))</f>
        <v>0</v>
      </c>
      <c r="AC109">
        <f ca="1">IF(T_EMPLOYEES[[#This Row],[EMPLOYEE NUMBER]]="","",IF(AND(T_EMPLOYEES[[#This Row],[DATE OF BIRTH]]&gt;0,T_EMPLOYEES[[#This Row],[DATE OF BIRTH]]&lt;TODAY()),0,1))</f>
        <v>0</v>
      </c>
      <c r="AD109">
        <f ca="1">IF(T_EMPLOYEES[[#This Row],[EMPLOYEE NUMBER]]="","",IF(AND(T_EMPLOYEES[[#This Row],[START DATE]]&gt;0,T_EMPLOYEES[[#This Row],[START DATE]]&lt;TODAY()+60),0,1))</f>
        <v>0</v>
      </c>
      <c r="AE109">
        <f ca="1">IF(T_EMPLOYEES[[#This Row],[EMPLOYEE NUMBER]]="","",MATCH(T_EMPLOYEES[[#This Row],[GENDER]],L_GENDER,0))</f>
        <v>1</v>
      </c>
      <c r="AF109">
        <f ca="1">IF(T_EMPLOYEES[[#This Row],[EMPLOYEE NUMBER]]="","",MATCH(T_EMPLOYEES[[#This Row],[HIRE SOURCE]],L_HIRESOURCE,0))</f>
        <v>4</v>
      </c>
      <c r="AG109">
        <f ca="1">IF(T_EMPLOYEES[[#This Row],[EMPLOYEE NUMBER]]="","",MATCH(T_EMPLOYEES[[#This Row],[ETHNICITY]],L_ETHNICITY,0))</f>
        <v>3</v>
      </c>
      <c r="AH109">
        <f ca="1">IF(T_EMPLOYEES[[#This Row],[EMPLOYEE NUMBER]]="","",MATCH(T_EMPLOYEES[[#This Row],[LOCATION]],L_LOCATION,0))</f>
        <v>1</v>
      </c>
      <c r="AI109">
        <f ca="1">IF(T_EMPLOYEES[[#This Row],[EMPLOYEE NUMBER]]="","",MATCH(T_EMPLOYEES[[#This Row],[DEPARTMENT]],L_DEPARTMENT,0))</f>
        <v>2</v>
      </c>
      <c r="AJ109">
        <f ca="1">IF(T_EMPLOYEES[[#This Row],[EMPLOYEE NUMBER]]="","",MATCH(T_EMPLOYEES[[#This Row],[JOB TYPE]],L_JOBTYPE,0))</f>
        <v>2</v>
      </c>
      <c r="AK109">
        <f ca="1">IF(T_EMPLOYEES[[#This Row],[EMPLOYEE NUMBER]]="","",MATCH(T_EMPLOYEES[[#This Row],[JOB CATEGORY]],L_JOBCATEGORY,0))</f>
        <v>14</v>
      </c>
      <c r="AL109">
        <f ca="1">IF(T_EMPLOYEES[[#This Row],[EMPLOYEE NUMBER]]="","",MATCH(T_EMPLOYEES[[#This Row],[JOB LEVEL]],L_JOBLEVEL,0))</f>
        <v>4</v>
      </c>
      <c r="AM109">
        <f ca="1">IF(T_EMPLOYEES[[#This Row],[EMPLOYEE NUMBER]]="","",MATCH(T_EMPLOYEES[[#This Row],[JOB TITLE]],L_JOBTITLE,0))</f>
        <v>14</v>
      </c>
      <c r="AN109">
        <f ca="1">IF(T_EMPLOYEES[[#This Row],[EMPLOYEE NUMBER]]="","",MATCH(T_EMPLOYEES[[#This Row],[MANAGER]],L_EMPLABELS,0))</f>
        <v>120</v>
      </c>
      <c r="AO109">
        <f ca="1">IF(T_EMPLOYEES[[#This Row],[EMPLOYEE NUMBER]]="","",IF(T_EMPLOYEES[[#This Row],[ERROR]]="",0,1))</f>
        <v>0</v>
      </c>
      <c r="AP10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0" spans="1:42">
      <c r="A110" t="s">
        <v>528</v>
      </c>
      <c r="B110" t="s">
        <v>529</v>
      </c>
      <c r="C110">
        <v>1023573</v>
      </c>
      <c r="D110" t="s">
        <v>530</v>
      </c>
      <c r="E110" s="26">
        <v>31469</v>
      </c>
      <c r="F110" s="26">
        <v>44046</v>
      </c>
      <c r="H110" t="s">
        <v>40</v>
      </c>
      <c r="I110" t="s">
        <v>54</v>
      </c>
      <c r="J110" t="s">
        <v>64</v>
      </c>
      <c r="K110" t="s">
        <v>30</v>
      </c>
      <c r="L110" s="27" t="s">
        <v>45</v>
      </c>
      <c r="M110" t="s">
        <v>46</v>
      </c>
      <c r="N110" t="s">
        <v>81</v>
      </c>
      <c r="O110" t="s">
        <v>82</v>
      </c>
      <c r="P110" t="s">
        <v>81</v>
      </c>
      <c r="Q110" t="s">
        <v>373</v>
      </c>
      <c r="R110" s="27">
        <v>7</v>
      </c>
      <c r="S110" s="1">
        <v>250000</v>
      </c>
      <c r="T110" s="1">
        <f ca="1">ROUND(T_EMPLOYEES[[#This Row],[EMP_CTC1]]/12, 0)</f>
        <v>20833</v>
      </c>
      <c r="U110" s="1">
        <v>150000</v>
      </c>
      <c r="V110" s="1" t="s">
        <v>207</v>
      </c>
      <c r="W110" s="1" t="s">
        <v>207</v>
      </c>
      <c r="X11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Rashmi  Manchanda (1023573)</v>
      </c>
      <c r="Y110">
        <v>60000</v>
      </c>
      <c r="Z110" s="29">
        <f t="shared" ca="1" si="2"/>
        <v>40</v>
      </c>
      <c r="AA110">
        <f ca="1">IF(T_EMPLOYEES[[#This Row],[EMPLOYEE NUMBER]]="","",ROW(T_EMPLOYEES[[#This Row],[EMPLOYEE LABEL]])-ROW(T_EMPLOYEES[[#Headers],[EMPLOYEE LABEL]]))</f>
        <v>107</v>
      </c>
      <c r="AB110">
        <f ca="1">IF(T_EMPLOYEES[[#This Row],[EMPLOYEE NUMBER]]="","",IF(COUNTIF(T_EMPLOYEES[EMPLOYEE NUMBER],T_EMPLOYEES[[#This Row],[EMPLOYEE NUMBER]])&gt;1,1,0))</f>
        <v>0</v>
      </c>
      <c r="AC110">
        <f ca="1">IF(T_EMPLOYEES[[#This Row],[EMPLOYEE NUMBER]]="","",IF(AND(T_EMPLOYEES[[#This Row],[DATE OF BIRTH]]&gt;0,T_EMPLOYEES[[#This Row],[DATE OF BIRTH]]&lt;TODAY()),0,1))</f>
        <v>0</v>
      </c>
      <c r="AD110">
        <f ca="1">IF(T_EMPLOYEES[[#This Row],[EMPLOYEE NUMBER]]="","",IF(AND(T_EMPLOYEES[[#This Row],[START DATE]]&gt;0,T_EMPLOYEES[[#This Row],[START DATE]]&lt;TODAY()+60),0,1))</f>
        <v>0</v>
      </c>
      <c r="AE110">
        <f ca="1">IF(T_EMPLOYEES[[#This Row],[EMPLOYEE NUMBER]]="","",MATCH(T_EMPLOYEES[[#This Row],[GENDER]],L_GENDER,0))</f>
        <v>2</v>
      </c>
      <c r="AF110">
        <f ca="1">IF(T_EMPLOYEES[[#This Row],[EMPLOYEE NUMBER]]="","",MATCH(T_EMPLOYEES[[#This Row],[HIRE SOURCE]],L_HIRESOURCE,0))</f>
        <v>4</v>
      </c>
      <c r="AG110">
        <f ca="1">IF(T_EMPLOYEES[[#This Row],[EMPLOYEE NUMBER]]="","",MATCH(T_EMPLOYEES[[#This Row],[ETHNICITY]],L_ETHNICITY,0))</f>
        <v>3</v>
      </c>
      <c r="AH110">
        <f ca="1">IF(T_EMPLOYEES[[#This Row],[EMPLOYEE NUMBER]]="","",MATCH(T_EMPLOYEES[[#This Row],[LOCATION]],L_LOCATION,0))</f>
        <v>1</v>
      </c>
      <c r="AI110">
        <f ca="1">IF(T_EMPLOYEES[[#This Row],[EMPLOYEE NUMBER]]="","",MATCH(T_EMPLOYEES[[#This Row],[DEPARTMENT]],L_DEPARTMENT,0))</f>
        <v>2</v>
      </c>
      <c r="AJ110">
        <f ca="1">IF(T_EMPLOYEES[[#This Row],[EMPLOYEE NUMBER]]="","",MATCH(T_EMPLOYEES[[#This Row],[JOB TYPE]],L_JOBTYPE,0))</f>
        <v>2</v>
      </c>
      <c r="AK110">
        <f ca="1">IF(T_EMPLOYEES[[#This Row],[EMPLOYEE NUMBER]]="","",MATCH(T_EMPLOYEES[[#This Row],[JOB CATEGORY]],L_JOBCATEGORY,0))</f>
        <v>5</v>
      </c>
      <c r="AL110">
        <f ca="1">IF(T_EMPLOYEES[[#This Row],[EMPLOYEE NUMBER]]="","",MATCH(T_EMPLOYEES[[#This Row],[JOB LEVEL]],L_JOBLEVEL,0))</f>
        <v>5</v>
      </c>
      <c r="AM110">
        <f ca="1">IF(T_EMPLOYEES[[#This Row],[EMPLOYEE NUMBER]]="","",MATCH(T_EMPLOYEES[[#This Row],[JOB TITLE]],L_JOBTITLE,0))</f>
        <v>5</v>
      </c>
      <c r="AN110">
        <f ca="1">IF(T_EMPLOYEES[[#This Row],[EMPLOYEE NUMBER]]="","",MATCH(T_EMPLOYEES[[#This Row],[MANAGER]],L_EMPLABELS,0))</f>
        <v>9</v>
      </c>
      <c r="AO110">
        <f ca="1">IF(T_EMPLOYEES[[#This Row],[EMPLOYEE NUMBER]]="","",IF(T_EMPLOYEES[[#This Row],[ERROR]]="",0,1))</f>
        <v>0</v>
      </c>
      <c r="AP11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1" spans="1:42">
      <c r="A111" t="s">
        <v>531</v>
      </c>
      <c r="B111" t="s">
        <v>532</v>
      </c>
      <c r="C111">
        <v>1033071</v>
      </c>
      <c r="D111" t="s">
        <v>533</v>
      </c>
      <c r="E111" s="26">
        <v>31481</v>
      </c>
      <c r="F111" s="26">
        <v>45126</v>
      </c>
      <c r="H111" t="s">
        <v>27</v>
      </c>
      <c r="I111" t="s">
        <v>54</v>
      </c>
      <c r="J111" t="s">
        <v>64</v>
      </c>
      <c r="K111" t="s">
        <v>30</v>
      </c>
      <c r="L111" s="27" t="s">
        <v>45</v>
      </c>
      <c r="M111" t="s">
        <v>46</v>
      </c>
      <c r="N111" t="s">
        <v>140</v>
      </c>
      <c r="O111" t="s">
        <v>82</v>
      </c>
      <c r="P111" t="s">
        <v>140</v>
      </c>
      <c r="Q111" t="s">
        <v>211</v>
      </c>
      <c r="R111">
        <v>7</v>
      </c>
      <c r="S111" s="1">
        <v>250000</v>
      </c>
      <c r="T111" s="1">
        <f ca="1">ROUND(T_EMPLOYEES[[#This Row],[EMP_CTC1]]/12, 0)</f>
        <v>20833</v>
      </c>
      <c r="U111" s="1">
        <v>150000</v>
      </c>
      <c r="V111" s="1" t="s">
        <v>207</v>
      </c>
      <c r="W111" s="1" t="s">
        <v>207</v>
      </c>
      <c r="X11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Santosh Kumar B (1033071)</v>
      </c>
      <c r="Y111">
        <v>60000</v>
      </c>
      <c r="Z111" s="29">
        <f t="shared" ca="1" si="2"/>
        <v>40</v>
      </c>
      <c r="AA111">
        <f ca="1">IF(T_EMPLOYEES[[#This Row],[EMPLOYEE NUMBER]]="","",ROW(T_EMPLOYEES[[#This Row],[EMPLOYEE LABEL]])-ROW(T_EMPLOYEES[[#Headers],[EMPLOYEE LABEL]]))</f>
        <v>108</v>
      </c>
      <c r="AB111">
        <f ca="1">IF(T_EMPLOYEES[[#This Row],[EMPLOYEE NUMBER]]="","",IF(COUNTIF(T_EMPLOYEES[EMPLOYEE NUMBER],T_EMPLOYEES[[#This Row],[EMPLOYEE NUMBER]])&gt;1,1,0))</f>
        <v>0</v>
      </c>
      <c r="AC111">
        <f ca="1">IF(T_EMPLOYEES[[#This Row],[EMPLOYEE NUMBER]]="","",IF(AND(T_EMPLOYEES[[#This Row],[DATE OF BIRTH]]&gt;0,T_EMPLOYEES[[#This Row],[DATE OF BIRTH]]&lt;TODAY()),0,1))</f>
        <v>0</v>
      </c>
      <c r="AD111">
        <f ca="1">IF(T_EMPLOYEES[[#This Row],[EMPLOYEE NUMBER]]="","",IF(AND(T_EMPLOYEES[[#This Row],[START DATE]]&gt;0,T_EMPLOYEES[[#This Row],[START DATE]]&lt;TODAY()+60),0,1))</f>
        <v>0</v>
      </c>
      <c r="AE111">
        <f ca="1">IF(T_EMPLOYEES[[#This Row],[EMPLOYEE NUMBER]]="","",MATCH(T_EMPLOYEES[[#This Row],[GENDER]],L_GENDER,0))</f>
        <v>1</v>
      </c>
      <c r="AF111">
        <f ca="1">IF(T_EMPLOYEES[[#This Row],[EMPLOYEE NUMBER]]="","",MATCH(T_EMPLOYEES[[#This Row],[HIRE SOURCE]],L_HIRESOURCE,0))</f>
        <v>4</v>
      </c>
      <c r="AG111">
        <f ca="1">IF(T_EMPLOYEES[[#This Row],[EMPLOYEE NUMBER]]="","",MATCH(T_EMPLOYEES[[#This Row],[ETHNICITY]],L_ETHNICITY,0))</f>
        <v>3</v>
      </c>
      <c r="AH111">
        <f ca="1">IF(T_EMPLOYEES[[#This Row],[EMPLOYEE NUMBER]]="","",MATCH(T_EMPLOYEES[[#This Row],[LOCATION]],L_LOCATION,0))</f>
        <v>1</v>
      </c>
      <c r="AI111">
        <f ca="1">IF(T_EMPLOYEES[[#This Row],[EMPLOYEE NUMBER]]="","",MATCH(T_EMPLOYEES[[#This Row],[DEPARTMENT]],L_DEPARTMENT,0))</f>
        <v>2</v>
      </c>
      <c r="AJ111">
        <f ca="1">IF(T_EMPLOYEES[[#This Row],[EMPLOYEE NUMBER]]="","",MATCH(T_EMPLOYEES[[#This Row],[JOB TYPE]],L_JOBTYPE,0))</f>
        <v>2</v>
      </c>
      <c r="AK111">
        <f ca="1">IF(T_EMPLOYEES[[#This Row],[EMPLOYEE NUMBER]]="","",MATCH(T_EMPLOYEES[[#This Row],[JOB CATEGORY]],L_JOBCATEGORY,0))</f>
        <v>20</v>
      </c>
      <c r="AL111">
        <f ca="1">IF(T_EMPLOYEES[[#This Row],[EMPLOYEE NUMBER]]="","",MATCH(T_EMPLOYEES[[#This Row],[JOB LEVEL]],L_JOBLEVEL,0))</f>
        <v>5</v>
      </c>
      <c r="AM111">
        <f ca="1">IF(T_EMPLOYEES[[#This Row],[EMPLOYEE NUMBER]]="","",MATCH(T_EMPLOYEES[[#This Row],[JOB TITLE]],L_JOBTITLE,0))</f>
        <v>20</v>
      </c>
      <c r="AN111">
        <f ca="1">IF(T_EMPLOYEES[[#This Row],[EMPLOYEE NUMBER]]="","",MATCH(T_EMPLOYEES[[#This Row],[MANAGER]],L_EMPLABELS,0))</f>
        <v>49</v>
      </c>
      <c r="AO111">
        <f ca="1">IF(T_EMPLOYEES[[#This Row],[EMPLOYEE NUMBER]]="","",IF(T_EMPLOYEES[[#This Row],[ERROR]]="",0,1))</f>
        <v>0</v>
      </c>
      <c r="AP11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2" spans="1:42">
      <c r="A112" t="s">
        <v>381</v>
      </c>
      <c r="B112" t="s">
        <v>534</v>
      </c>
      <c r="C112">
        <v>1025164</v>
      </c>
      <c r="D112" t="s">
        <v>535</v>
      </c>
      <c r="E112" s="26">
        <v>31556</v>
      </c>
      <c r="F112" s="26">
        <v>44319</v>
      </c>
      <c r="H112" t="s">
        <v>27</v>
      </c>
      <c r="I112" t="s">
        <v>54</v>
      </c>
      <c r="J112" t="s">
        <v>64</v>
      </c>
      <c r="K112" t="s">
        <v>43</v>
      </c>
      <c r="L112" s="27" t="s">
        <v>45</v>
      </c>
      <c r="M112" t="s">
        <v>46</v>
      </c>
      <c r="N112" t="s">
        <v>128</v>
      </c>
      <c r="O112" t="s">
        <v>60</v>
      </c>
      <c r="P112" t="s">
        <v>128</v>
      </c>
      <c r="Q112" t="s">
        <v>431</v>
      </c>
      <c r="R112" s="27">
        <v>3</v>
      </c>
      <c r="S112" s="1">
        <v>250000</v>
      </c>
      <c r="T112" s="1">
        <f ca="1">ROUND(T_EMPLOYEES[[#This Row],[EMP_CTC1]]/12, 0)</f>
        <v>20833</v>
      </c>
      <c r="U112" s="1">
        <v>150000</v>
      </c>
      <c r="V112" s="1" t="s">
        <v>207</v>
      </c>
      <c r="W112" s="1" t="s">
        <v>432</v>
      </c>
      <c r="X11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Praveen Kumar Sadanapu (1025164)</v>
      </c>
      <c r="Y112">
        <v>60000</v>
      </c>
      <c r="Z112" s="29">
        <f t="shared" ca="1" si="2"/>
        <v>40</v>
      </c>
      <c r="AA112">
        <f ca="1">IF(T_EMPLOYEES[[#This Row],[EMPLOYEE NUMBER]]="","",ROW(T_EMPLOYEES[[#This Row],[EMPLOYEE LABEL]])-ROW(T_EMPLOYEES[[#Headers],[EMPLOYEE LABEL]]))</f>
        <v>109</v>
      </c>
      <c r="AB112">
        <f ca="1">IF(T_EMPLOYEES[[#This Row],[EMPLOYEE NUMBER]]="","",IF(COUNTIF(T_EMPLOYEES[EMPLOYEE NUMBER],T_EMPLOYEES[[#This Row],[EMPLOYEE NUMBER]])&gt;1,1,0))</f>
        <v>0</v>
      </c>
      <c r="AC112">
        <f ca="1">IF(T_EMPLOYEES[[#This Row],[EMPLOYEE NUMBER]]="","",IF(AND(T_EMPLOYEES[[#This Row],[DATE OF BIRTH]]&gt;0,T_EMPLOYEES[[#This Row],[DATE OF BIRTH]]&lt;TODAY()),0,1))</f>
        <v>0</v>
      </c>
      <c r="AD112">
        <f ca="1">IF(T_EMPLOYEES[[#This Row],[EMPLOYEE NUMBER]]="","",IF(AND(T_EMPLOYEES[[#This Row],[START DATE]]&gt;0,T_EMPLOYEES[[#This Row],[START DATE]]&lt;TODAY()+60),0,1))</f>
        <v>0</v>
      </c>
      <c r="AE112">
        <f ca="1">IF(T_EMPLOYEES[[#This Row],[EMPLOYEE NUMBER]]="","",MATCH(T_EMPLOYEES[[#This Row],[GENDER]],L_GENDER,0))</f>
        <v>1</v>
      </c>
      <c r="AF112">
        <f ca="1">IF(T_EMPLOYEES[[#This Row],[EMPLOYEE NUMBER]]="","",MATCH(T_EMPLOYEES[[#This Row],[HIRE SOURCE]],L_HIRESOURCE,0))</f>
        <v>4</v>
      </c>
      <c r="AG112">
        <f ca="1">IF(T_EMPLOYEES[[#This Row],[EMPLOYEE NUMBER]]="","",MATCH(T_EMPLOYEES[[#This Row],[ETHNICITY]],L_ETHNICITY,0))</f>
        <v>3</v>
      </c>
      <c r="AH112">
        <f ca="1">IF(T_EMPLOYEES[[#This Row],[EMPLOYEE NUMBER]]="","",MATCH(T_EMPLOYEES[[#This Row],[LOCATION]],L_LOCATION,0))</f>
        <v>2</v>
      </c>
      <c r="AI112">
        <f ca="1">IF(T_EMPLOYEES[[#This Row],[EMPLOYEE NUMBER]]="","",MATCH(T_EMPLOYEES[[#This Row],[DEPARTMENT]],L_DEPARTMENT,0))</f>
        <v>2</v>
      </c>
      <c r="AJ112">
        <f ca="1">IF(T_EMPLOYEES[[#This Row],[EMPLOYEE NUMBER]]="","",MATCH(T_EMPLOYEES[[#This Row],[JOB TYPE]],L_JOBTYPE,0))</f>
        <v>2</v>
      </c>
      <c r="AK112">
        <f ca="1">IF(T_EMPLOYEES[[#This Row],[EMPLOYEE NUMBER]]="","",MATCH(T_EMPLOYEES[[#This Row],[JOB CATEGORY]],L_JOBCATEGORY,0))</f>
        <v>15</v>
      </c>
      <c r="AL112">
        <f ca="1">IF(T_EMPLOYEES[[#This Row],[EMPLOYEE NUMBER]]="","",MATCH(T_EMPLOYEES[[#This Row],[JOB LEVEL]],L_JOBLEVEL,0))</f>
        <v>3</v>
      </c>
      <c r="AM112">
        <f ca="1">IF(T_EMPLOYEES[[#This Row],[EMPLOYEE NUMBER]]="","",MATCH(T_EMPLOYEES[[#This Row],[JOB TITLE]],L_JOBTITLE,0))</f>
        <v>15</v>
      </c>
      <c r="AN112">
        <f ca="1">IF(T_EMPLOYEES[[#This Row],[EMPLOYEE NUMBER]]="","",MATCH(T_EMPLOYEES[[#This Row],[MANAGER]],L_EMPLABELS,0))</f>
        <v>87</v>
      </c>
      <c r="AO112">
        <f ca="1">IF(T_EMPLOYEES[[#This Row],[EMPLOYEE NUMBER]]="","",IF(T_EMPLOYEES[[#This Row],[ERROR]]="",0,1))</f>
        <v>0</v>
      </c>
      <c r="AP11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3" spans="1:42">
      <c r="A113" t="s">
        <v>536</v>
      </c>
      <c r="B113" t="s">
        <v>74</v>
      </c>
      <c r="C113">
        <v>1031855</v>
      </c>
      <c r="D113" t="s">
        <v>537</v>
      </c>
      <c r="E113" s="26">
        <v>31607</v>
      </c>
      <c r="F113" s="26">
        <v>44914</v>
      </c>
      <c r="H113" t="s">
        <v>27</v>
      </c>
      <c r="I113" t="s">
        <v>54</v>
      </c>
      <c r="J113" t="s">
        <v>64</v>
      </c>
      <c r="K113" t="s">
        <v>30</v>
      </c>
      <c r="L113" s="27" t="s">
        <v>45</v>
      </c>
      <c r="M113" t="s">
        <v>46</v>
      </c>
      <c r="N113" t="s">
        <v>81</v>
      </c>
      <c r="O113" t="s">
        <v>82</v>
      </c>
      <c r="P113" t="s">
        <v>81</v>
      </c>
      <c r="Q113" t="s">
        <v>288</v>
      </c>
      <c r="R113">
        <v>7</v>
      </c>
      <c r="S113" s="1">
        <v>250000</v>
      </c>
      <c r="T113" s="1">
        <f ca="1">ROUND(T_EMPLOYEES[[#This Row],[EMP_CTC1]]/12, 0)</f>
        <v>20833</v>
      </c>
      <c r="U113" s="1">
        <v>150000</v>
      </c>
      <c r="V113" s="1" t="s">
        <v>207</v>
      </c>
      <c r="W113" s="1" t="s">
        <v>207</v>
      </c>
      <c r="X11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Vishwanath P (1031855)</v>
      </c>
      <c r="Y113">
        <v>60000</v>
      </c>
      <c r="Z113" s="29">
        <f t="shared" ca="1" si="2"/>
        <v>40</v>
      </c>
      <c r="AA113">
        <f ca="1">IF(T_EMPLOYEES[[#This Row],[EMPLOYEE NUMBER]]="","",ROW(T_EMPLOYEES[[#This Row],[EMPLOYEE LABEL]])-ROW(T_EMPLOYEES[[#Headers],[EMPLOYEE LABEL]]))</f>
        <v>110</v>
      </c>
      <c r="AB113">
        <f ca="1">IF(T_EMPLOYEES[[#This Row],[EMPLOYEE NUMBER]]="","",IF(COUNTIF(T_EMPLOYEES[EMPLOYEE NUMBER],T_EMPLOYEES[[#This Row],[EMPLOYEE NUMBER]])&gt;1,1,0))</f>
        <v>0</v>
      </c>
      <c r="AC113">
        <f ca="1">IF(T_EMPLOYEES[[#This Row],[EMPLOYEE NUMBER]]="","",IF(AND(T_EMPLOYEES[[#This Row],[DATE OF BIRTH]]&gt;0,T_EMPLOYEES[[#This Row],[DATE OF BIRTH]]&lt;TODAY()),0,1))</f>
        <v>0</v>
      </c>
      <c r="AD113">
        <f ca="1">IF(T_EMPLOYEES[[#This Row],[EMPLOYEE NUMBER]]="","",IF(AND(T_EMPLOYEES[[#This Row],[START DATE]]&gt;0,T_EMPLOYEES[[#This Row],[START DATE]]&lt;TODAY()+60),0,1))</f>
        <v>0</v>
      </c>
      <c r="AE113">
        <f ca="1">IF(T_EMPLOYEES[[#This Row],[EMPLOYEE NUMBER]]="","",MATCH(T_EMPLOYEES[[#This Row],[GENDER]],L_GENDER,0))</f>
        <v>1</v>
      </c>
      <c r="AF113">
        <f ca="1">IF(T_EMPLOYEES[[#This Row],[EMPLOYEE NUMBER]]="","",MATCH(T_EMPLOYEES[[#This Row],[HIRE SOURCE]],L_HIRESOURCE,0))</f>
        <v>4</v>
      </c>
      <c r="AG113">
        <f ca="1">IF(T_EMPLOYEES[[#This Row],[EMPLOYEE NUMBER]]="","",MATCH(T_EMPLOYEES[[#This Row],[ETHNICITY]],L_ETHNICITY,0))</f>
        <v>3</v>
      </c>
      <c r="AH113">
        <f ca="1">IF(T_EMPLOYEES[[#This Row],[EMPLOYEE NUMBER]]="","",MATCH(T_EMPLOYEES[[#This Row],[LOCATION]],L_LOCATION,0))</f>
        <v>1</v>
      </c>
      <c r="AI113">
        <f ca="1">IF(T_EMPLOYEES[[#This Row],[EMPLOYEE NUMBER]]="","",MATCH(T_EMPLOYEES[[#This Row],[DEPARTMENT]],L_DEPARTMENT,0))</f>
        <v>2</v>
      </c>
      <c r="AJ113">
        <f ca="1">IF(T_EMPLOYEES[[#This Row],[EMPLOYEE NUMBER]]="","",MATCH(T_EMPLOYEES[[#This Row],[JOB TYPE]],L_JOBTYPE,0))</f>
        <v>2</v>
      </c>
      <c r="AK113">
        <f ca="1">IF(T_EMPLOYEES[[#This Row],[EMPLOYEE NUMBER]]="","",MATCH(T_EMPLOYEES[[#This Row],[JOB CATEGORY]],L_JOBCATEGORY,0))</f>
        <v>5</v>
      </c>
      <c r="AL113">
        <f ca="1">IF(T_EMPLOYEES[[#This Row],[EMPLOYEE NUMBER]]="","",MATCH(T_EMPLOYEES[[#This Row],[JOB LEVEL]],L_JOBLEVEL,0))</f>
        <v>5</v>
      </c>
      <c r="AM113">
        <f ca="1">IF(T_EMPLOYEES[[#This Row],[EMPLOYEE NUMBER]]="","",MATCH(T_EMPLOYEES[[#This Row],[JOB TITLE]],L_JOBTITLE,0))</f>
        <v>5</v>
      </c>
      <c r="AN113">
        <f ca="1">IF(T_EMPLOYEES[[#This Row],[EMPLOYEE NUMBER]]="","",MATCH(T_EMPLOYEES[[#This Row],[MANAGER]],L_EMPLABELS,0))</f>
        <v>52</v>
      </c>
      <c r="AO113">
        <f ca="1">IF(T_EMPLOYEES[[#This Row],[EMPLOYEE NUMBER]]="","",IF(T_EMPLOYEES[[#This Row],[ERROR]]="",0,1))</f>
        <v>0</v>
      </c>
      <c r="AP11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4" spans="1:42">
      <c r="A114" t="s">
        <v>538</v>
      </c>
      <c r="B114" t="s">
        <v>539</v>
      </c>
      <c r="C114">
        <v>1031866</v>
      </c>
      <c r="D114" t="s">
        <v>540</v>
      </c>
      <c r="E114" s="26">
        <v>31624</v>
      </c>
      <c r="F114" s="26">
        <v>44914</v>
      </c>
      <c r="H114" t="s">
        <v>27</v>
      </c>
      <c r="I114" t="s">
        <v>54</v>
      </c>
      <c r="J114" t="s">
        <v>64</v>
      </c>
      <c r="K114" t="s">
        <v>43</v>
      </c>
      <c r="L114" s="27" t="s">
        <v>45</v>
      </c>
      <c r="M114" t="s">
        <v>46</v>
      </c>
      <c r="N114" t="s">
        <v>81</v>
      </c>
      <c r="O114" t="s">
        <v>82</v>
      </c>
      <c r="P114" t="s">
        <v>81</v>
      </c>
      <c r="Q114" t="s">
        <v>288</v>
      </c>
      <c r="R114" s="27">
        <v>7</v>
      </c>
      <c r="S114" s="1">
        <v>250000</v>
      </c>
      <c r="T114" s="1">
        <f ca="1">ROUND(T_EMPLOYEES[[#This Row],[EMP_CTC1]]/12, 0)</f>
        <v>20833</v>
      </c>
      <c r="U114" s="1">
        <v>150000</v>
      </c>
      <c r="V114" s="1" t="s">
        <v>207</v>
      </c>
      <c r="W114" s="1" t="s">
        <v>207</v>
      </c>
      <c r="X11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Shivakumar Hunagundi (1031866)</v>
      </c>
      <c r="Y114">
        <v>60000</v>
      </c>
      <c r="Z114" s="29">
        <f t="shared" ca="1" si="2"/>
        <v>40</v>
      </c>
      <c r="AA114">
        <f ca="1">IF(T_EMPLOYEES[[#This Row],[EMPLOYEE NUMBER]]="","",ROW(T_EMPLOYEES[[#This Row],[EMPLOYEE LABEL]])-ROW(T_EMPLOYEES[[#Headers],[EMPLOYEE LABEL]]))</f>
        <v>111</v>
      </c>
      <c r="AB114">
        <f ca="1">IF(T_EMPLOYEES[[#This Row],[EMPLOYEE NUMBER]]="","",IF(COUNTIF(T_EMPLOYEES[EMPLOYEE NUMBER],T_EMPLOYEES[[#This Row],[EMPLOYEE NUMBER]])&gt;1,1,0))</f>
        <v>0</v>
      </c>
      <c r="AC114">
        <f ca="1">IF(T_EMPLOYEES[[#This Row],[EMPLOYEE NUMBER]]="","",IF(AND(T_EMPLOYEES[[#This Row],[DATE OF BIRTH]]&gt;0,T_EMPLOYEES[[#This Row],[DATE OF BIRTH]]&lt;TODAY()),0,1))</f>
        <v>0</v>
      </c>
      <c r="AD114">
        <f ca="1">IF(T_EMPLOYEES[[#This Row],[EMPLOYEE NUMBER]]="","",IF(AND(T_EMPLOYEES[[#This Row],[START DATE]]&gt;0,T_EMPLOYEES[[#This Row],[START DATE]]&lt;TODAY()+60),0,1))</f>
        <v>0</v>
      </c>
      <c r="AE114">
        <f ca="1">IF(T_EMPLOYEES[[#This Row],[EMPLOYEE NUMBER]]="","",MATCH(T_EMPLOYEES[[#This Row],[GENDER]],L_GENDER,0))</f>
        <v>1</v>
      </c>
      <c r="AF114">
        <f ca="1">IF(T_EMPLOYEES[[#This Row],[EMPLOYEE NUMBER]]="","",MATCH(T_EMPLOYEES[[#This Row],[HIRE SOURCE]],L_HIRESOURCE,0))</f>
        <v>4</v>
      </c>
      <c r="AG114">
        <f ca="1">IF(T_EMPLOYEES[[#This Row],[EMPLOYEE NUMBER]]="","",MATCH(T_EMPLOYEES[[#This Row],[ETHNICITY]],L_ETHNICITY,0))</f>
        <v>3</v>
      </c>
      <c r="AH114">
        <f ca="1">IF(T_EMPLOYEES[[#This Row],[EMPLOYEE NUMBER]]="","",MATCH(T_EMPLOYEES[[#This Row],[LOCATION]],L_LOCATION,0))</f>
        <v>2</v>
      </c>
      <c r="AI114">
        <f ca="1">IF(T_EMPLOYEES[[#This Row],[EMPLOYEE NUMBER]]="","",MATCH(T_EMPLOYEES[[#This Row],[DEPARTMENT]],L_DEPARTMENT,0))</f>
        <v>2</v>
      </c>
      <c r="AJ114">
        <f ca="1">IF(T_EMPLOYEES[[#This Row],[EMPLOYEE NUMBER]]="","",MATCH(T_EMPLOYEES[[#This Row],[JOB TYPE]],L_JOBTYPE,0))</f>
        <v>2</v>
      </c>
      <c r="AK114">
        <f ca="1">IF(T_EMPLOYEES[[#This Row],[EMPLOYEE NUMBER]]="","",MATCH(T_EMPLOYEES[[#This Row],[JOB CATEGORY]],L_JOBCATEGORY,0))</f>
        <v>5</v>
      </c>
      <c r="AL114">
        <f ca="1">IF(T_EMPLOYEES[[#This Row],[EMPLOYEE NUMBER]]="","",MATCH(T_EMPLOYEES[[#This Row],[JOB LEVEL]],L_JOBLEVEL,0))</f>
        <v>5</v>
      </c>
      <c r="AM114">
        <f ca="1">IF(T_EMPLOYEES[[#This Row],[EMPLOYEE NUMBER]]="","",MATCH(T_EMPLOYEES[[#This Row],[JOB TITLE]],L_JOBTITLE,0))</f>
        <v>5</v>
      </c>
      <c r="AN114">
        <f ca="1">IF(T_EMPLOYEES[[#This Row],[EMPLOYEE NUMBER]]="","",MATCH(T_EMPLOYEES[[#This Row],[MANAGER]],L_EMPLABELS,0))</f>
        <v>52</v>
      </c>
      <c r="AO114">
        <f ca="1">IF(T_EMPLOYEES[[#This Row],[EMPLOYEE NUMBER]]="","",IF(T_EMPLOYEES[[#This Row],[ERROR]]="",0,1))</f>
        <v>0</v>
      </c>
      <c r="AP11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5" spans="1:42">
      <c r="A115" t="s">
        <v>541</v>
      </c>
      <c r="B115" t="s">
        <v>542</v>
      </c>
      <c r="C115">
        <v>1007892</v>
      </c>
      <c r="D115" t="s">
        <v>543</v>
      </c>
      <c r="E115" s="26">
        <v>31650</v>
      </c>
      <c r="F115" s="26">
        <v>40448</v>
      </c>
      <c r="H115" t="s">
        <v>40</v>
      </c>
      <c r="I115" t="s">
        <v>54</v>
      </c>
      <c r="J115" t="s">
        <v>64</v>
      </c>
      <c r="K115" t="s">
        <v>30</v>
      </c>
      <c r="L115" s="27" t="s">
        <v>45</v>
      </c>
      <c r="M115" t="s">
        <v>46</v>
      </c>
      <c r="N115" t="s">
        <v>81</v>
      </c>
      <c r="O115" t="s">
        <v>82</v>
      </c>
      <c r="P115" t="s">
        <v>81</v>
      </c>
      <c r="Q115" t="s">
        <v>215</v>
      </c>
      <c r="R115">
        <v>7</v>
      </c>
      <c r="S115" s="1">
        <v>250000</v>
      </c>
      <c r="T115" s="1">
        <f ca="1">ROUND(T_EMPLOYEES[[#This Row],[EMP_CTC1]]/12, 0)</f>
        <v>20833</v>
      </c>
      <c r="U115" s="1">
        <v>150000</v>
      </c>
      <c r="V115" s="1" t="s">
        <v>207</v>
      </c>
      <c r="W115" s="1" t="s">
        <v>207</v>
      </c>
      <c r="X11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Sreelatha Akkireddy (1007892)</v>
      </c>
      <c r="Y115">
        <v>60000</v>
      </c>
      <c r="Z115" s="29">
        <f t="shared" ca="1" si="2"/>
        <v>40</v>
      </c>
      <c r="AA115">
        <f ca="1">IF(T_EMPLOYEES[[#This Row],[EMPLOYEE NUMBER]]="","",ROW(T_EMPLOYEES[[#This Row],[EMPLOYEE LABEL]])-ROW(T_EMPLOYEES[[#Headers],[EMPLOYEE LABEL]]))</f>
        <v>112</v>
      </c>
      <c r="AB115">
        <f ca="1">IF(T_EMPLOYEES[[#This Row],[EMPLOYEE NUMBER]]="","",IF(COUNTIF(T_EMPLOYEES[EMPLOYEE NUMBER],T_EMPLOYEES[[#This Row],[EMPLOYEE NUMBER]])&gt;1,1,0))</f>
        <v>0</v>
      </c>
      <c r="AC115">
        <f ca="1">IF(T_EMPLOYEES[[#This Row],[EMPLOYEE NUMBER]]="","",IF(AND(T_EMPLOYEES[[#This Row],[DATE OF BIRTH]]&gt;0,T_EMPLOYEES[[#This Row],[DATE OF BIRTH]]&lt;TODAY()),0,1))</f>
        <v>0</v>
      </c>
      <c r="AD115">
        <f ca="1">IF(T_EMPLOYEES[[#This Row],[EMPLOYEE NUMBER]]="","",IF(AND(T_EMPLOYEES[[#This Row],[START DATE]]&gt;0,T_EMPLOYEES[[#This Row],[START DATE]]&lt;TODAY()+60),0,1))</f>
        <v>0</v>
      </c>
      <c r="AE115">
        <f ca="1">IF(T_EMPLOYEES[[#This Row],[EMPLOYEE NUMBER]]="","",MATCH(T_EMPLOYEES[[#This Row],[GENDER]],L_GENDER,0))</f>
        <v>2</v>
      </c>
      <c r="AF115">
        <f ca="1">IF(T_EMPLOYEES[[#This Row],[EMPLOYEE NUMBER]]="","",MATCH(T_EMPLOYEES[[#This Row],[HIRE SOURCE]],L_HIRESOURCE,0))</f>
        <v>4</v>
      </c>
      <c r="AG115">
        <f ca="1">IF(T_EMPLOYEES[[#This Row],[EMPLOYEE NUMBER]]="","",MATCH(T_EMPLOYEES[[#This Row],[ETHNICITY]],L_ETHNICITY,0))</f>
        <v>3</v>
      </c>
      <c r="AH115">
        <f ca="1">IF(T_EMPLOYEES[[#This Row],[EMPLOYEE NUMBER]]="","",MATCH(T_EMPLOYEES[[#This Row],[LOCATION]],L_LOCATION,0))</f>
        <v>1</v>
      </c>
      <c r="AI115">
        <f ca="1">IF(T_EMPLOYEES[[#This Row],[EMPLOYEE NUMBER]]="","",MATCH(T_EMPLOYEES[[#This Row],[DEPARTMENT]],L_DEPARTMENT,0))</f>
        <v>2</v>
      </c>
      <c r="AJ115">
        <f ca="1">IF(T_EMPLOYEES[[#This Row],[EMPLOYEE NUMBER]]="","",MATCH(T_EMPLOYEES[[#This Row],[JOB TYPE]],L_JOBTYPE,0))</f>
        <v>2</v>
      </c>
      <c r="AK115">
        <f ca="1">IF(T_EMPLOYEES[[#This Row],[EMPLOYEE NUMBER]]="","",MATCH(T_EMPLOYEES[[#This Row],[JOB CATEGORY]],L_JOBCATEGORY,0))</f>
        <v>5</v>
      </c>
      <c r="AL115">
        <f ca="1">IF(T_EMPLOYEES[[#This Row],[EMPLOYEE NUMBER]]="","",MATCH(T_EMPLOYEES[[#This Row],[JOB LEVEL]],L_JOBLEVEL,0))</f>
        <v>5</v>
      </c>
      <c r="AM115">
        <f ca="1">IF(T_EMPLOYEES[[#This Row],[EMPLOYEE NUMBER]]="","",MATCH(T_EMPLOYEES[[#This Row],[JOB TITLE]],L_JOBTITLE,0))</f>
        <v>5</v>
      </c>
      <c r="AN115">
        <f ca="1">IF(T_EMPLOYEES[[#This Row],[EMPLOYEE NUMBER]]="","",MATCH(T_EMPLOYEES[[#This Row],[MANAGER]],L_EMPLABELS,0))</f>
        <v>13</v>
      </c>
      <c r="AO115">
        <f ca="1">IF(T_EMPLOYEES[[#This Row],[EMPLOYEE NUMBER]]="","",IF(T_EMPLOYEES[[#This Row],[ERROR]]="",0,1))</f>
        <v>0</v>
      </c>
      <c r="AP11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6" spans="1:42">
      <c r="A116" t="s">
        <v>544</v>
      </c>
      <c r="B116" t="s">
        <v>545</v>
      </c>
      <c r="C116">
        <v>1031864</v>
      </c>
      <c r="D116" t="s">
        <v>546</v>
      </c>
      <c r="E116" s="26">
        <v>31686</v>
      </c>
      <c r="F116" s="26">
        <v>44914</v>
      </c>
      <c r="H116" t="s">
        <v>27</v>
      </c>
      <c r="I116" t="s">
        <v>54</v>
      </c>
      <c r="J116" t="s">
        <v>64</v>
      </c>
      <c r="K116" t="s">
        <v>30</v>
      </c>
      <c r="L116" s="27" t="s">
        <v>45</v>
      </c>
      <c r="M116" t="s">
        <v>46</v>
      </c>
      <c r="N116" t="s">
        <v>81</v>
      </c>
      <c r="O116" t="s">
        <v>82</v>
      </c>
      <c r="P116" t="s">
        <v>81</v>
      </c>
      <c r="Q116" t="s">
        <v>448</v>
      </c>
      <c r="R116" s="27">
        <v>7</v>
      </c>
      <c r="S116" s="1">
        <v>250000</v>
      </c>
      <c r="T116" s="1">
        <f ca="1">ROUND(T_EMPLOYEES[[#This Row],[EMP_CTC1]]/12, 0)</f>
        <v>20833</v>
      </c>
      <c r="U116" s="1">
        <v>150000</v>
      </c>
      <c r="V116" s="1" t="s">
        <v>207</v>
      </c>
      <c r="W116" s="1" t="s">
        <v>207</v>
      </c>
      <c r="X11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Amit Pandey (1031864)</v>
      </c>
      <c r="Y116">
        <v>60000</v>
      </c>
      <c r="Z116" s="29">
        <f t="shared" ca="1" si="2"/>
        <v>40</v>
      </c>
      <c r="AA116">
        <f ca="1">IF(T_EMPLOYEES[[#This Row],[EMPLOYEE NUMBER]]="","",ROW(T_EMPLOYEES[[#This Row],[EMPLOYEE LABEL]])-ROW(T_EMPLOYEES[[#Headers],[EMPLOYEE LABEL]]))</f>
        <v>113</v>
      </c>
      <c r="AB116">
        <f ca="1">IF(T_EMPLOYEES[[#This Row],[EMPLOYEE NUMBER]]="","",IF(COUNTIF(T_EMPLOYEES[EMPLOYEE NUMBER],T_EMPLOYEES[[#This Row],[EMPLOYEE NUMBER]])&gt;1,1,0))</f>
        <v>0</v>
      </c>
      <c r="AC116">
        <f ca="1">IF(T_EMPLOYEES[[#This Row],[EMPLOYEE NUMBER]]="","",IF(AND(T_EMPLOYEES[[#This Row],[DATE OF BIRTH]]&gt;0,T_EMPLOYEES[[#This Row],[DATE OF BIRTH]]&lt;TODAY()),0,1))</f>
        <v>0</v>
      </c>
      <c r="AD116">
        <f ca="1">IF(T_EMPLOYEES[[#This Row],[EMPLOYEE NUMBER]]="","",IF(AND(T_EMPLOYEES[[#This Row],[START DATE]]&gt;0,T_EMPLOYEES[[#This Row],[START DATE]]&lt;TODAY()+60),0,1))</f>
        <v>0</v>
      </c>
      <c r="AE116">
        <f ca="1">IF(T_EMPLOYEES[[#This Row],[EMPLOYEE NUMBER]]="","",MATCH(T_EMPLOYEES[[#This Row],[GENDER]],L_GENDER,0))</f>
        <v>1</v>
      </c>
      <c r="AF116">
        <f ca="1">IF(T_EMPLOYEES[[#This Row],[EMPLOYEE NUMBER]]="","",MATCH(T_EMPLOYEES[[#This Row],[HIRE SOURCE]],L_HIRESOURCE,0))</f>
        <v>4</v>
      </c>
      <c r="AG116">
        <f ca="1">IF(T_EMPLOYEES[[#This Row],[EMPLOYEE NUMBER]]="","",MATCH(T_EMPLOYEES[[#This Row],[ETHNICITY]],L_ETHNICITY,0))</f>
        <v>3</v>
      </c>
      <c r="AH116">
        <f ca="1">IF(T_EMPLOYEES[[#This Row],[EMPLOYEE NUMBER]]="","",MATCH(T_EMPLOYEES[[#This Row],[LOCATION]],L_LOCATION,0))</f>
        <v>1</v>
      </c>
      <c r="AI116">
        <f ca="1">IF(T_EMPLOYEES[[#This Row],[EMPLOYEE NUMBER]]="","",MATCH(T_EMPLOYEES[[#This Row],[DEPARTMENT]],L_DEPARTMENT,0))</f>
        <v>2</v>
      </c>
      <c r="AJ116">
        <f ca="1">IF(T_EMPLOYEES[[#This Row],[EMPLOYEE NUMBER]]="","",MATCH(T_EMPLOYEES[[#This Row],[JOB TYPE]],L_JOBTYPE,0))</f>
        <v>2</v>
      </c>
      <c r="AK116">
        <f ca="1">IF(T_EMPLOYEES[[#This Row],[EMPLOYEE NUMBER]]="","",MATCH(T_EMPLOYEES[[#This Row],[JOB CATEGORY]],L_JOBCATEGORY,0))</f>
        <v>5</v>
      </c>
      <c r="AL116">
        <f ca="1">IF(T_EMPLOYEES[[#This Row],[EMPLOYEE NUMBER]]="","",MATCH(T_EMPLOYEES[[#This Row],[JOB LEVEL]],L_JOBLEVEL,0))</f>
        <v>5</v>
      </c>
      <c r="AM116">
        <f ca="1">IF(T_EMPLOYEES[[#This Row],[EMPLOYEE NUMBER]]="","",MATCH(T_EMPLOYEES[[#This Row],[JOB TITLE]],L_JOBTITLE,0))</f>
        <v>5</v>
      </c>
      <c r="AN116">
        <f ca="1">IF(T_EMPLOYEES[[#This Row],[EMPLOYEE NUMBER]]="","",MATCH(T_EMPLOYEES[[#This Row],[MANAGER]],L_EMPLABELS,0))</f>
        <v>83</v>
      </c>
      <c r="AO116">
        <f ca="1">IF(T_EMPLOYEES[[#This Row],[EMPLOYEE NUMBER]]="","",IF(T_EMPLOYEES[[#This Row],[ERROR]]="",0,1))</f>
        <v>0</v>
      </c>
      <c r="AP11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7" spans="1:42">
      <c r="A117" t="s">
        <v>51</v>
      </c>
      <c r="B117" t="s">
        <v>547</v>
      </c>
      <c r="C117">
        <v>1025901</v>
      </c>
      <c r="D117" t="s">
        <v>548</v>
      </c>
      <c r="E117" s="26">
        <v>31709</v>
      </c>
      <c r="F117" s="26">
        <v>44400</v>
      </c>
      <c r="H117" t="s">
        <v>27</v>
      </c>
      <c r="I117" t="s">
        <v>54</v>
      </c>
      <c r="J117" t="s">
        <v>64</v>
      </c>
      <c r="K117" t="s">
        <v>30</v>
      </c>
      <c r="L117" s="27" t="s">
        <v>45</v>
      </c>
      <c r="M117" t="s">
        <v>46</v>
      </c>
      <c r="N117" t="s">
        <v>111</v>
      </c>
      <c r="O117" t="s">
        <v>71</v>
      </c>
      <c r="P117" t="s">
        <v>111</v>
      </c>
      <c r="Q117" t="s">
        <v>549</v>
      </c>
      <c r="R117">
        <v>5</v>
      </c>
      <c r="S117" s="1">
        <v>250000</v>
      </c>
      <c r="T117" s="1">
        <f ca="1">ROUND(T_EMPLOYEES[[#This Row],[EMP_CTC1]]/12, 0)</f>
        <v>20833</v>
      </c>
      <c r="U117" s="1">
        <v>150000</v>
      </c>
      <c r="V117" s="1" t="s">
        <v>207</v>
      </c>
      <c r="W117" s="1" t="s">
        <v>207</v>
      </c>
      <c r="X11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  Vigneshwaran (1025901)</v>
      </c>
      <c r="Y117">
        <v>60000</v>
      </c>
      <c r="Z117" s="29">
        <f t="shared" ca="1" si="2"/>
        <v>40</v>
      </c>
      <c r="AA117">
        <f ca="1">IF(T_EMPLOYEES[[#This Row],[EMPLOYEE NUMBER]]="","",ROW(T_EMPLOYEES[[#This Row],[EMPLOYEE LABEL]])-ROW(T_EMPLOYEES[[#Headers],[EMPLOYEE LABEL]]))</f>
        <v>114</v>
      </c>
      <c r="AB117">
        <f ca="1">IF(T_EMPLOYEES[[#This Row],[EMPLOYEE NUMBER]]="","",IF(COUNTIF(T_EMPLOYEES[EMPLOYEE NUMBER],T_EMPLOYEES[[#This Row],[EMPLOYEE NUMBER]])&gt;1,1,0))</f>
        <v>0</v>
      </c>
      <c r="AC117">
        <f ca="1">IF(T_EMPLOYEES[[#This Row],[EMPLOYEE NUMBER]]="","",IF(AND(T_EMPLOYEES[[#This Row],[DATE OF BIRTH]]&gt;0,T_EMPLOYEES[[#This Row],[DATE OF BIRTH]]&lt;TODAY()),0,1))</f>
        <v>0</v>
      </c>
      <c r="AD117">
        <f ca="1">IF(T_EMPLOYEES[[#This Row],[EMPLOYEE NUMBER]]="","",IF(AND(T_EMPLOYEES[[#This Row],[START DATE]]&gt;0,T_EMPLOYEES[[#This Row],[START DATE]]&lt;TODAY()+60),0,1))</f>
        <v>0</v>
      </c>
      <c r="AE117">
        <f ca="1">IF(T_EMPLOYEES[[#This Row],[EMPLOYEE NUMBER]]="","",MATCH(T_EMPLOYEES[[#This Row],[GENDER]],L_GENDER,0))</f>
        <v>1</v>
      </c>
      <c r="AF117">
        <f ca="1">IF(T_EMPLOYEES[[#This Row],[EMPLOYEE NUMBER]]="","",MATCH(T_EMPLOYEES[[#This Row],[HIRE SOURCE]],L_HIRESOURCE,0))</f>
        <v>4</v>
      </c>
      <c r="AG117">
        <f ca="1">IF(T_EMPLOYEES[[#This Row],[EMPLOYEE NUMBER]]="","",MATCH(T_EMPLOYEES[[#This Row],[ETHNICITY]],L_ETHNICITY,0))</f>
        <v>3</v>
      </c>
      <c r="AH117">
        <f ca="1">IF(T_EMPLOYEES[[#This Row],[EMPLOYEE NUMBER]]="","",MATCH(T_EMPLOYEES[[#This Row],[LOCATION]],L_LOCATION,0))</f>
        <v>1</v>
      </c>
      <c r="AI117">
        <f ca="1">IF(T_EMPLOYEES[[#This Row],[EMPLOYEE NUMBER]]="","",MATCH(T_EMPLOYEES[[#This Row],[DEPARTMENT]],L_DEPARTMENT,0))</f>
        <v>2</v>
      </c>
      <c r="AJ117">
        <f ca="1">IF(T_EMPLOYEES[[#This Row],[EMPLOYEE NUMBER]]="","",MATCH(T_EMPLOYEES[[#This Row],[JOB TYPE]],L_JOBTYPE,0))</f>
        <v>2</v>
      </c>
      <c r="AK117">
        <f ca="1">IF(T_EMPLOYEES[[#This Row],[EMPLOYEE NUMBER]]="","",MATCH(T_EMPLOYEES[[#This Row],[JOB CATEGORY]],L_JOBCATEGORY,0))</f>
        <v>10</v>
      </c>
      <c r="AL117">
        <f ca="1">IF(T_EMPLOYEES[[#This Row],[EMPLOYEE NUMBER]]="","",MATCH(T_EMPLOYEES[[#This Row],[JOB LEVEL]],L_JOBLEVEL,0))</f>
        <v>4</v>
      </c>
      <c r="AM117">
        <f ca="1">IF(T_EMPLOYEES[[#This Row],[EMPLOYEE NUMBER]]="","",MATCH(T_EMPLOYEES[[#This Row],[JOB TITLE]],L_JOBTITLE,0))</f>
        <v>10</v>
      </c>
      <c r="AN117">
        <f ca="1">IF(T_EMPLOYEES[[#This Row],[EMPLOYEE NUMBER]]="","",MATCH(T_EMPLOYEES[[#This Row],[MANAGER]],L_EMPLABELS,0))</f>
        <v>50</v>
      </c>
      <c r="AO117">
        <f ca="1">IF(T_EMPLOYEES[[#This Row],[EMPLOYEE NUMBER]]="","",IF(T_EMPLOYEES[[#This Row],[ERROR]]="",0,1))</f>
        <v>0</v>
      </c>
      <c r="AP11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8" spans="1:42">
      <c r="A118" t="s">
        <v>550</v>
      </c>
      <c r="B118" t="s">
        <v>551</v>
      </c>
      <c r="C118">
        <v>1028288</v>
      </c>
      <c r="D118" t="s">
        <v>552</v>
      </c>
      <c r="E118" s="26">
        <v>31712</v>
      </c>
      <c r="F118" s="26">
        <v>44600</v>
      </c>
      <c r="H118" t="s">
        <v>27</v>
      </c>
      <c r="I118" t="s">
        <v>54</v>
      </c>
      <c r="J118" t="s">
        <v>64</v>
      </c>
      <c r="K118" t="s">
        <v>43</v>
      </c>
      <c r="L118" s="27" t="s">
        <v>45</v>
      </c>
      <c r="M118" t="s">
        <v>46</v>
      </c>
      <c r="N118" t="s">
        <v>81</v>
      </c>
      <c r="O118" t="s">
        <v>82</v>
      </c>
      <c r="P118" t="s">
        <v>81</v>
      </c>
      <c r="Q118" t="s">
        <v>373</v>
      </c>
      <c r="R118" s="27">
        <v>7</v>
      </c>
      <c r="S118" s="1">
        <v>250000</v>
      </c>
      <c r="T118" s="1">
        <f ca="1">ROUND(T_EMPLOYEES[[#This Row],[EMP_CTC1]]/12, 0)</f>
        <v>20833</v>
      </c>
      <c r="U118" s="1">
        <v>150000</v>
      </c>
      <c r="V118" s="1" t="s">
        <v>207</v>
      </c>
      <c r="W118" s="1" t="s">
        <v>207</v>
      </c>
      <c r="X11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Abhishek  K (1028288)</v>
      </c>
      <c r="Y118">
        <v>60000</v>
      </c>
      <c r="Z118" s="29">
        <f t="shared" ca="1" si="2"/>
        <v>40</v>
      </c>
      <c r="AA118">
        <f ca="1">IF(T_EMPLOYEES[[#This Row],[EMPLOYEE NUMBER]]="","",ROW(T_EMPLOYEES[[#This Row],[EMPLOYEE LABEL]])-ROW(T_EMPLOYEES[[#Headers],[EMPLOYEE LABEL]]))</f>
        <v>115</v>
      </c>
      <c r="AB118">
        <f ca="1">IF(T_EMPLOYEES[[#This Row],[EMPLOYEE NUMBER]]="","",IF(COUNTIF(T_EMPLOYEES[EMPLOYEE NUMBER],T_EMPLOYEES[[#This Row],[EMPLOYEE NUMBER]])&gt;1,1,0))</f>
        <v>0</v>
      </c>
      <c r="AC118">
        <f ca="1">IF(T_EMPLOYEES[[#This Row],[EMPLOYEE NUMBER]]="","",IF(AND(T_EMPLOYEES[[#This Row],[DATE OF BIRTH]]&gt;0,T_EMPLOYEES[[#This Row],[DATE OF BIRTH]]&lt;TODAY()),0,1))</f>
        <v>0</v>
      </c>
      <c r="AD118">
        <f ca="1">IF(T_EMPLOYEES[[#This Row],[EMPLOYEE NUMBER]]="","",IF(AND(T_EMPLOYEES[[#This Row],[START DATE]]&gt;0,T_EMPLOYEES[[#This Row],[START DATE]]&lt;TODAY()+60),0,1))</f>
        <v>0</v>
      </c>
      <c r="AE118">
        <f ca="1">IF(T_EMPLOYEES[[#This Row],[EMPLOYEE NUMBER]]="","",MATCH(T_EMPLOYEES[[#This Row],[GENDER]],L_GENDER,0))</f>
        <v>1</v>
      </c>
      <c r="AF118">
        <f ca="1">IF(T_EMPLOYEES[[#This Row],[EMPLOYEE NUMBER]]="","",MATCH(T_EMPLOYEES[[#This Row],[HIRE SOURCE]],L_HIRESOURCE,0))</f>
        <v>4</v>
      </c>
      <c r="AG118">
        <f ca="1">IF(T_EMPLOYEES[[#This Row],[EMPLOYEE NUMBER]]="","",MATCH(T_EMPLOYEES[[#This Row],[ETHNICITY]],L_ETHNICITY,0))</f>
        <v>3</v>
      </c>
      <c r="AH118">
        <f ca="1">IF(T_EMPLOYEES[[#This Row],[EMPLOYEE NUMBER]]="","",MATCH(T_EMPLOYEES[[#This Row],[LOCATION]],L_LOCATION,0))</f>
        <v>2</v>
      </c>
      <c r="AI118">
        <f ca="1">IF(T_EMPLOYEES[[#This Row],[EMPLOYEE NUMBER]]="","",MATCH(T_EMPLOYEES[[#This Row],[DEPARTMENT]],L_DEPARTMENT,0))</f>
        <v>2</v>
      </c>
      <c r="AJ118">
        <f ca="1">IF(T_EMPLOYEES[[#This Row],[EMPLOYEE NUMBER]]="","",MATCH(T_EMPLOYEES[[#This Row],[JOB TYPE]],L_JOBTYPE,0))</f>
        <v>2</v>
      </c>
      <c r="AK118">
        <f ca="1">IF(T_EMPLOYEES[[#This Row],[EMPLOYEE NUMBER]]="","",MATCH(T_EMPLOYEES[[#This Row],[JOB CATEGORY]],L_JOBCATEGORY,0))</f>
        <v>5</v>
      </c>
      <c r="AL118">
        <f ca="1">IF(T_EMPLOYEES[[#This Row],[EMPLOYEE NUMBER]]="","",MATCH(T_EMPLOYEES[[#This Row],[JOB LEVEL]],L_JOBLEVEL,0))</f>
        <v>5</v>
      </c>
      <c r="AM118">
        <f ca="1">IF(T_EMPLOYEES[[#This Row],[EMPLOYEE NUMBER]]="","",MATCH(T_EMPLOYEES[[#This Row],[JOB TITLE]],L_JOBTITLE,0))</f>
        <v>5</v>
      </c>
      <c r="AN118">
        <f ca="1">IF(T_EMPLOYEES[[#This Row],[EMPLOYEE NUMBER]]="","",MATCH(T_EMPLOYEES[[#This Row],[MANAGER]],L_EMPLABELS,0))</f>
        <v>9</v>
      </c>
      <c r="AO118">
        <f ca="1">IF(T_EMPLOYEES[[#This Row],[EMPLOYEE NUMBER]]="","",IF(T_EMPLOYEES[[#This Row],[ERROR]]="",0,1))</f>
        <v>0</v>
      </c>
      <c r="AP11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9" spans="1:42">
      <c r="A119" t="s">
        <v>553</v>
      </c>
      <c r="B119" t="s">
        <v>554</v>
      </c>
      <c r="C119">
        <v>1031811</v>
      </c>
      <c r="D119" t="s">
        <v>555</v>
      </c>
      <c r="E119" s="26">
        <v>31783</v>
      </c>
      <c r="F119" s="26">
        <v>44909</v>
      </c>
      <c r="H119" t="s">
        <v>40</v>
      </c>
      <c r="I119" t="s">
        <v>54</v>
      </c>
      <c r="J119" t="s">
        <v>64</v>
      </c>
      <c r="K119" t="s">
        <v>43</v>
      </c>
      <c r="L119" s="27" t="s">
        <v>45</v>
      </c>
      <c r="M119" t="s">
        <v>46</v>
      </c>
      <c r="N119" t="s">
        <v>128</v>
      </c>
      <c r="O119" t="s">
        <v>60</v>
      </c>
      <c r="P119" t="s">
        <v>128</v>
      </c>
      <c r="Q119" t="s">
        <v>272</v>
      </c>
      <c r="R119">
        <v>3</v>
      </c>
      <c r="S119" s="1">
        <v>250000</v>
      </c>
      <c r="T119" s="1">
        <f ca="1">ROUND(T_EMPLOYEES[[#This Row],[EMP_CTC1]]/12, 0)</f>
        <v>20833</v>
      </c>
      <c r="U119" s="1">
        <v>150000</v>
      </c>
      <c r="V119" s="1" t="s">
        <v>207</v>
      </c>
      <c r="W119" s="1" t="s">
        <v>207</v>
      </c>
      <c r="X11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Pulagala Sandhya  (1031811)</v>
      </c>
      <c r="Y119">
        <v>60000</v>
      </c>
      <c r="Z119" s="29">
        <f t="shared" ca="1" si="2"/>
        <v>40</v>
      </c>
      <c r="AA119">
        <f ca="1">IF(T_EMPLOYEES[[#This Row],[EMPLOYEE NUMBER]]="","",ROW(T_EMPLOYEES[[#This Row],[EMPLOYEE LABEL]])-ROW(T_EMPLOYEES[[#Headers],[EMPLOYEE LABEL]]))</f>
        <v>116</v>
      </c>
      <c r="AB119">
        <f ca="1">IF(T_EMPLOYEES[[#This Row],[EMPLOYEE NUMBER]]="","",IF(COUNTIF(T_EMPLOYEES[EMPLOYEE NUMBER],T_EMPLOYEES[[#This Row],[EMPLOYEE NUMBER]])&gt;1,1,0))</f>
        <v>0</v>
      </c>
      <c r="AC119">
        <f ca="1">IF(T_EMPLOYEES[[#This Row],[EMPLOYEE NUMBER]]="","",IF(AND(T_EMPLOYEES[[#This Row],[DATE OF BIRTH]]&gt;0,T_EMPLOYEES[[#This Row],[DATE OF BIRTH]]&lt;TODAY()),0,1))</f>
        <v>0</v>
      </c>
      <c r="AD119">
        <f ca="1">IF(T_EMPLOYEES[[#This Row],[EMPLOYEE NUMBER]]="","",IF(AND(T_EMPLOYEES[[#This Row],[START DATE]]&gt;0,T_EMPLOYEES[[#This Row],[START DATE]]&lt;TODAY()+60),0,1))</f>
        <v>0</v>
      </c>
      <c r="AE119">
        <f ca="1">IF(T_EMPLOYEES[[#This Row],[EMPLOYEE NUMBER]]="","",MATCH(T_EMPLOYEES[[#This Row],[GENDER]],L_GENDER,0))</f>
        <v>2</v>
      </c>
      <c r="AF119">
        <f ca="1">IF(T_EMPLOYEES[[#This Row],[EMPLOYEE NUMBER]]="","",MATCH(T_EMPLOYEES[[#This Row],[HIRE SOURCE]],L_HIRESOURCE,0))</f>
        <v>4</v>
      </c>
      <c r="AG119">
        <f ca="1">IF(T_EMPLOYEES[[#This Row],[EMPLOYEE NUMBER]]="","",MATCH(T_EMPLOYEES[[#This Row],[ETHNICITY]],L_ETHNICITY,0))</f>
        <v>3</v>
      </c>
      <c r="AH119">
        <f ca="1">IF(T_EMPLOYEES[[#This Row],[EMPLOYEE NUMBER]]="","",MATCH(T_EMPLOYEES[[#This Row],[LOCATION]],L_LOCATION,0))</f>
        <v>2</v>
      </c>
      <c r="AI119">
        <f ca="1">IF(T_EMPLOYEES[[#This Row],[EMPLOYEE NUMBER]]="","",MATCH(T_EMPLOYEES[[#This Row],[DEPARTMENT]],L_DEPARTMENT,0))</f>
        <v>2</v>
      </c>
      <c r="AJ119">
        <f ca="1">IF(T_EMPLOYEES[[#This Row],[EMPLOYEE NUMBER]]="","",MATCH(T_EMPLOYEES[[#This Row],[JOB TYPE]],L_JOBTYPE,0))</f>
        <v>2</v>
      </c>
      <c r="AK119">
        <f ca="1">IF(T_EMPLOYEES[[#This Row],[EMPLOYEE NUMBER]]="","",MATCH(T_EMPLOYEES[[#This Row],[JOB CATEGORY]],L_JOBCATEGORY,0))</f>
        <v>15</v>
      </c>
      <c r="AL119">
        <f ca="1">IF(T_EMPLOYEES[[#This Row],[EMPLOYEE NUMBER]]="","",MATCH(T_EMPLOYEES[[#This Row],[JOB LEVEL]],L_JOBLEVEL,0))</f>
        <v>3</v>
      </c>
      <c r="AM119">
        <f ca="1">IF(T_EMPLOYEES[[#This Row],[EMPLOYEE NUMBER]]="","",MATCH(T_EMPLOYEES[[#This Row],[JOB TITLE]],L_JOBTITLE,0))</f>
        <v>15</v>
      </c>
      <c r="AN119">
        <f ca="1">IF(T_EMPLOYEES[[#This Row],[EMPLOYEE NUMBER]]="","",MATCH(T_EMPLOYEES[[#This Row],[MANAGER]],L_EMPLABELS,0))</f>
        <v>62</v>
      </c>
      <c r="AO119">
        <f ca="1">IF(T_EMPLOYEES[[#This Row],[EMPLOYEE NUMBER]]="","",IF(T_EMPLOYEES[[#This Row],[ERROR]]="",0,1))</f>
        <v>0</v>
      </c>
      <c r="AP11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0" spans="1:42">
      <c r="A120" t="s">
        <v>556</v>
      </c>
      <c r="B120" t="s">
        <v>557</v>
      </c>
      <c r="C120">
        <v>1033419</v>
      </c>
      <c r="D120" t="s">
        <v>558</v>
      </c>
      <c r="E120" s="26">
        <v>31877</v>
      </c>
      <c r="F120" s="26">
        <v>45163</v>
      </c>
      <c r="H120" t="s">
        <v>27</v>
      </c>
      <c r="I120" t="s">
        <v>54</v>
      </c>
      <c r="J120" t="s">
        <v>64</v>
      </c>
      <c r="K120" t="s">
        <v>30</v>
      </c>
      <c r="L120" s="27" t="s">
        <v>45</v>
      </c>
      <c r="M120" t="s">
        <v>46</v>
      </c>
      <c r="N120" t="s">
        <v>128</v>
      </c>
      <c r="O120" t="s">
        <v>60</v>
      </c>
      <c r="P120" t="s">
        <v>128</v>
      </c>
      <c r="Q120" t="s">
        <v>559</v>
      </c>
      <c r="R120" s="27">
        <v>3</v>
      </c>
      <c r="S120" s="1">
        <v>250000</v>
      </c>
      <c r="T120" s="1">
        <f ca="1">ROUND(T_EMPLOYEES[[#This Row],[EMP_CTC1]]/12, 0)</f>
        <v>20833</v>
      </c>
      <c r="U120" s="1">
        <v>150000</v>
      </c>
      <c r="V120" s="1" t="s">
        <v>207</v>
      </c>
      <c r="W120" s="1" t="s">
        <v>207</v>
      </c>
      <c r="X12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Atla Tirupati Reddy (1033419)</v>
      </c>
      <c r="Y120">
        <v>60000</v>
      </c>
      <c r="Z120" s="29">
        <f t="shared" ca="1" si="2"/>
        <v>40</v>
      </c>
      <c r="AA120">
        <f ca="1">IF(T_EMPLOYEES[[#This Row],[EMPLOYEE NUMBER]]="","",ROW(T_EMPLOYEES[[#This Row],[EMPLOYEE LABEL]])-ROW(T_EMPLOYEES[[#Headers],[EMPLOYEE LABEL]]))</f>
        <v>117</v>
      </c>
      <c r="AB120">
        <f ca="1">IF(T_EMPLOYEES[[#This Row],[EMPLOYEE NUMBER]]="","",IF(COUNTIF(T_EMPLOYEES[EMPLOYEE NUMBER],T_EMPLOYEES[[#This Row],[EMPLOYEE NUMBER]])&gt;1,1,0))</f>
        <v>0</v>
      </c>
      <c r="AC120">
        <f ca="1">IF(T_EMPLOYEES[[#This Row],[EMPLOYEE NUMBER]]="","",IF(AND(T_EMPLOYEES[[#This Row],[DATE OF BIRTH]]&gt;0,T_EMPLOYEES[[#This Row],[DATE OF BIRTH]]&lt;TODAY()),0,1))</f>
        <v>0</v>
      </c>
      <c r="AD120">
        <f ca="1">IF(T_EMPLOYEES[[#This Row],[EMPLOYEE NUMBER]]="","",IF(AND(T_EMPLOYEES[[#This Row],[START DATE]]&gt;0,T_EMPLOYEES[[#This Row],[START DATE]]&lt;TODAY()+60),0,1))</f>
        <v>0</v>
      </c>
      <c r="AE120">
        <f ca="1">IF(T_EMPLOYEES[[#This Row],[EMPLOYEE NUMBER]]="","",MATCH(T_EMPLOYEES[[#This Row],[GENDER]],L_GENDER,0))</f>
        <v>1</v>
      </c>
      <c r="AF120">
        <f ca="1">IF(T_EMPLOYEES[[#This Row],[EMPLOYEE NUMBER]]="","",MATCH(T_EMPLOYEES[[#This Row],[HIRE SOURCE]],L_HIRESOURCE,0))</f>
        <v>4</v>
      </c>
      <c r="AG120">
        <f ca="1">IF(T_EMPLOYEES[[#This Row],[EMPLOYEE NUMBER]]="","",MATCH(T_EMPLOYEES[[#This Row],[ETHNICITY]],L_ETHNICITY,0))</f>
        <v>3</v>
      </c>
      <c r="AH120">
        <f ca="1">IF(T_EMPLOYEES[[#This Row],[EMPLOYEE NUMBER]]="","",MATCH(T_EMPLOYEES[[#This Row],[LOCATION]],L_LOCATION,0))</f>
        <v>1</v>
      </c>
      <c r="AI120">
        <f ca="1">IF(T_EMPLOYEES[[#This Row],[EMPLOYEE NUMBER]]="","",MATCH(T_EMPLOYEES[[#This Row],[DEPARTMENT]],L_DEPARTMENT,0))</f>
        <v>2</v>
      </c>
      <c r="AJ120">
        <f ca="1">IF(T_EMPLOYEES[[#This Row],[EMPLOYEE NUMBER]]="","",MATCH(T_EMPLOYEES[[#This Row],[JOB TYPE]],L_JOBTYPE,0))</f>
        <v>2</v>
      </c>
      <c r="AK120">
        <f ca="1">IF(T_EMPLOYEES[[#This Row],[EMPLOYEE NUMBER]]="","",MATCH(T_EMPLOYEES[[#This Row],[JOB CATEGORY]],L_JOBCATEGORY,0))</f>
        <v>15</v>
      </c>
      <c r="AL120">
        <f ca="1">IF(T_EMPLOYEES[[#This Row],[EMPLOYEE NUMBER]]="","",MATCH(T_EMPLOYEES[[#This Row],[JOB LEVEL]],L_JOBLEVEL,0))</f>
        <v>3</v>
      </c>
      <c r="AM120">
        <f ca="1">IF(T_EMPLOYEES[[#This Row],[EMPLOYEE NUMBER]]="","",MATCH(T_EMPLOYEES[[#This Row],[JOB TITLE]],L_JOBTITLE,0))</f>
        <v>15</v>
      </c>
      <c r="AN120">
        <f ca="1">IF(T_EMPLOYEES[[#This Row],[EMPLOYEE NUMBER]]="","",MATCH(T_EMPLOYEES[[#This Row],[MANAGER]],L_EMPLABELS,0))</f>
        <v>58</v>
      </c>
      <c r="AO120">
        <f ca="1">IF(T_EMPLOYEES[[#This Row],[EMPLOYEE NUMBER]]="","",IF(T_EMPLOYEES[[#This Row],[ERROR]]="",0,1))</f>
        <v>0</v>
      </c>
      <c r="AP12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1" spans="1:42">
      <c r="A121" t="s">
        <v>560</v>
      </c>
      <c r="B121" t="s">
        <v>561</v>
      </c>
      <c r="C121">
        <v>1019250</v>
      </c>
      <c r="D121" t="s">
        <v>562</v>
      </c>
      <c r="E121" s="26">
        <v>31881</v>
      </c>
      <c r="F121" s="26">
        <v>42809</v>
      </c>
      <c r="H121" t="s">
        <v>27</v>
      </c>
      <c r="I121" t="s">
        <v>54</v>
      </c>
      <c r="J121" t="s">
        <v>64</v>
      </c>
      <c r="K121" t="s">
        <v>30</v>
      </c>
      <c r="L121" s="27" t="s">
        <v>45</v>
      </c>
      <c r="M121" t="s">
        <v>46</v>
      </c>
      <c r="N121" t="s">
        <v>146</v>
      </c>
      <c r="O121" t="s">
        <v>82</v>
      </c>
      <c r="P121" t="s">
        <v>146</v>
      </c>
      <c r="Q121" t="s">
        <v>215</v>
      </c>
      <c r="R121">
        <v>7</v>
      </c>
      <c r="S121" s="1">
        <v>250000</v>
      </c>
      <c r="T121" s="1">
        <f ca="1">ROUND(T_EMPLOYEES[[#This Row],[EMP_CTC1]]/12, 0)</f>
        <v>20833</v>
      </c>
      <c r="U121" s="1">
        <v>150000</v>
      </c>
      <c r="V121" s="1" t="s">
        <v>207</v>
      </c>
      <c r="W121" s="1" t="s">
        <v>207</v>
      </c>
      <c r="X12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Pradeepta Kumar Pattnayak (1019250)</v>
      </c>
      <c r="Y121">
        <v>60000</v>
      </c>
      <c r="Z121" s="29">
        <f t="shared" ca="1" si="2"/>
        <v>40</v>
      </c>
      <c r="AA121">
        <f ca="1">IF(T_EMPLOYEES[[#This Row],[EMPLOYEE NUMBER]]="","",ROW(T_EMPLOYEES[[#This Row],[EMPLOYEE LABEL]])-ROW(T_EMPLOYEES[[#Headers],[EMPLOYEE LABEL]]))</f>
        <v>118</v>
      </c>
      <c r="AB121">
        <f ca="1">IF(T_EMPLOYEES[[#This Row],[EMPLOYEE NUMBER]]="","",IF(COUNTIF(T_EMPLOYEES[EMPLOYEE NUMBER],T_EMPLOYEES[[#This Row],[EMPLOYEE NUMBER]])&gt;1,1,0))</f>
        <v>0</v>
      </c>
      <c r="AC121">
        <f ca="1">IF(T_EMPLOYEES[[#This Row],[EMPLOYEE NUMBER]]="","",IF(AND(T_EMPLOYEES[[#This Row],[DATE OF BIRTH]]&gt;0,T_EMPLOYEES[[#This Row],[DATE OF BIRTH]]&lt;TODAY()),0,1))</f>
        <v>0</v>
      </c>
      <c r="AD121">
        <f ca="1">IF(T_EMPLOYEES[[#This Row],[EMPLOYEE NUMBER]]="","",IF(AND(T_EMPLOYEES[[#This Row],[START DATE]]&gt;0,T_EMPLOYEES[[#This Row],[START DATE]]&lt;TODAY()+60),0,1))</f>
        <v>0</v>
      </c>
      <c r="AE121">
        <f ca="1">IF(T_EMPLOYEES[[#This Row],[EMPLOYEE NUMBER]]="","",MATCH(T_EMPLOYEES[[#This Row],[GENDER]],L_GENDER,0))</f>
        <v>1</v>
      </c>
      <c r="AF121">
        <f ca="1">IF(T_EMPLOYEES[[#This Row],[EMPLOYEE NUMBER]]="","",MATCH(T_EMPLOYEES[[#This Row],[HIRE SOURCE]],L_HIRESOURCE,0))</f>
        <v>4</v>
      </c>
      <c r="AG121">
        <f ca="1">IF(T_EMPLOYEES[[#This Row],[EMPLOYEE NUMBER]]="","",MATCH(T_EMPLOYEES[[#This Row],[ETHNICITY]],L_ETHNICITY,0))</f>
        <v>3</v>
      </c>
      <c r="AH121">
        <f ca="1">IF(T_EMPLOYEES[[#This Row],[EMPLOYEE NUMBER]]="","",MATCH(T_EMPLOYEES[[#This Row],[LOCATION]],L_LOCATION,0))</f>
        <v>1</v>
      </c>
      <c r="AI121">
        <f ca="1">IF(T_EMPLOYEES[[#This Row],[EMPLOYEE NUMBER]]="","",MATCH(T_EMPLOYEES[[#This Row],[DEPARTMENT]],L_DEPARTMENT,0))</f>
        <v>2</v>
      </c>
      <c r="AJ121">
        <f ca="1">IF(T_EMPLOYEES[[#This Row],[EMPLOYEE NUMBER]]="","",MATCH(T_EMPLOYEES[[#This Row],[JOB TYPE]],L_JOBTYPE,0))</f>
        <v>2</v>
      </c>
      <c r="AK121">
        <f ca="1">IF(T_EMPLOYEES[[#This Row],[EMPLOYEE NUMBER]]="","",MATCH(T_EMPLOYEES[[#This Row],[JOB CATEGORY]],L_JOBCATEGORY,0))</f>
        <v>25</v>
      </c>
      <c r="AL121">
        <f ca="1">IF(T_EMPLOYEES[[#This Row],[EMPLOYEE NUMBER]]="","",MATCH(T_EMPLOYEES[[#This Row],[JOB LEVEL]],L_JOBLEVEL,0))</f>
        <v>5</v>
      </c>
      <c r="AM121">
        <f ca="1">IF(T_EMPLOYEES[[#This Row],[EMPLOYEE NUMBER]]="","",MATCH(T_EMPLOYEES[[#This Row],[JOB TITLE]],L_JOBTITLE,0))</f>
        <v>25</v>
      </c>
      <c r="AN121">
        <f ca="1">IF(T_EMPLOYEES[[#This Row],[EMPLOYEE NUMBER]]="","",MATCH(T_EMPLOYEES[[#This Row],[MANAGER]],L_EMPLABELS,0))</f>
        <v>13</v>
      </c>
      <c r="AO121">
        <f ca="1">IF(T_EMPLOYEES[[#This Row],[EMPLOYEE NUMBER]]="","",IF(T_EMPLOYEES[[#This Row],[ERROR]]="",0,1))</f>
        <v>0</v>
      </c>
      <c r="AP12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2" spans="1:42">
      <c r="A122" t="s">
        <v>563</v>
      </c>
      <c r="B122" t="s">
        <v>564</v>
      </c>
      <c r="C122">
        <v>1029295</v>
      </c>
      <c r="D122" t="s">
        <v>565</v>
      </c>
      <c r="E122" s="26">
        <v>31899</v>
      </c>
      <c r="F122" s="26">
        <v>44728</v>
      </c>
      <c r="H122" t="s">
        <v>27</v>
      </c>
      <c r="I122" t="s">
        <v>54</v>
      </c>
      <c r="J122" t="s">
        <v>64</v>
      </c>
      <c r="K122" t="s">
        <v>30</v>
      </c>
      <c r="L122" s="27" t="s">
        <v>45</v>
      </c>
      <c r="M122" t="s">
        <v>46</v>
      </c>
      <c r="N122" t="s">
        <v>128</v>
      </c>
      <c r="O122" t="s">
        <v>60</v>
      </c>
      <c r="P122" t="s">
        <v>128</v>
      </c>
      <c r="Q122" t="s">
        <v>276</v>
      </c>
      <c r="R122" s="27">
        <v>3</v>
      </c>
      <c r="S122" s="1">
        <v>250000</v>
      </c>
      <c r="T122" s="1">
        <f ca="1">ROUND(T_EMPLOYEES[[#This Row],[EMP_CTC1]]/12, 0)</f>
        <v>20833</v>
      </c>
      <c r="U122" s="1">
        <v>150000</v>
      </c>
      <c r="V122" s="1" t="s">
        <v>207</v>
      </c>
      <c r="W122" s="1" t="s">
        <v>207</v>
      </c>
      <c r="X12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SANJIT KUMAR (1029295)</v>
      </c>
      <c r="Y122">
        <v>60000</v>
      </c>
      <c r="Z122" s="29">
        <f t="shared" ca="1" si="2"/>
        <v>40</v>
      </c>
      <c r="AA122">
        <f ca="1">IF(T_EMPLOYEES[[#This Row],[EMPLOYEE NUMBER]]="","",ROW(T_EMPLOYEES[[#This Row],[EMPLOYEE LABEL]])-ROW(T_EMPLOYEES[[#Headers],[EMPLOYEE LABEL]]))</f>
        <v>119</v>
      </c>
      <c r="AB122">
        <f ca="1">IF(T_EMPLOYEES[[#This Row],[EMPLOYEE NUMBER]]="","",IF(COUNTIF(T_EMPLOYEES[EMPLOYEE NUMBER],T_EMPLOYEES[[#This Row],[EMPLOYEE NUMBER]])&gt;1,1,0))</f>
        <v>0</v>
      </c>
      <c r="AC122">
        <f ca="1">IF(T_EMPLOYEES[[#This Row],[EMPLOYEE NUMBER]]="","",IF(AND(T_EMPLOYEES[[#This Row],[DATE OF BIRTH]]&gt;0,T_EMPLOYEES[[#This Row],[DATE OF BIRTH]]&lt;TODAY()),0,1))</f>
        <v>0</v>
      </c>
      <c r="AD122">
        <f ca="1">IF(T_EMPLOYEES[[#This Row],[EMPLOYEE NUMBER]]="","",IF(AND(T_EMPLOYEES[[#This Row],[START DATE]]&gt;0,T_EMPLOYEES[[#This Row],[START DATE]]&lt;TODAY()+60),0,1))</f>
        <v>0</v>
      </c>
      <c r="AE122">
        <f ca="1">IF(T_EMPLOYEES[[#This Row],[EMPLOYEE NUMBER]]="","",MATCH(T_EMPLOYEES[[#This Row],[GENDER]],L_GENDER,0))</f>
        <v>1</v>
      </c>
      <c r="AF122">
        <f ca="1">IF(T_EMPLOYEES[[#This Row],[EMPLOYEE NUMBER]]="","",MATCH(T_EMPLOYEES[[#This Row],[HIRE SOURCE]],L_HIRESOURCE,0))</f>
        <v>4</v>
      </c>
      <c r="AG122">
        <f ca="1">IF(T_EMPLOYEES[[#This Row],[EMPLOYEE NUMBER]]="","",MATCH(T_EMPLOYEES[[#This Row],[ETHNICITY]],L_ETHNICITY,0))</f>
        <v>3</v>
      </c>
      <c r="AH122">
        <f ca="1">IF(T_EMPLOYEES[[#This Row],[EMPLOYEE NUMBER]]="","",MATCH(T_EMPLOYEES[[#This Row],[LOCATION]],L_LOCATION,0))</f>
        <v>1</v>
      </c>
      <c r="AI122">
        <f ca="1">IF(T_EMPLOYEES[[#This Row],[EMPLOYEE NUMBER]]="","",MATCH(T_EMPLOYEES[[#This Row],[DEPARTMENT]],L_DEPARTMENT,0))</f>
        <v>2</v>
      </c>
      <c r="AJ122">
        <f ca="1">IF(T_EMPLOYEES[[#This Row],[EMPLOYEE NUMBER]]="","",MATCH(T_EMPLOYEES[[#This Row],[JOB TYPE]],L_JOBTYPE,0))</f>
        <v>2</v>
      </c>
      <c r="AK122">
        <f ca="1">IF(T_EMPLOYEES[[#This Row],[EMPLOYEE NUMBER]]="","",MATCH(T_EMPLOYEES[[#This Row],[JOB CATEGORY]],L_JOBCATEGORY,0))</f>
        <v>15</v>
      </c>
      <c r="AL122">
        <f ca="1">IF(T_EMPLOYEES[[#This Row],[EMPLOYEE NUMBER]]="","",MATCH(T_EMPLOYEES[[#This Row],[JOB LEVEL]],L_JOBLEVEL,0))</f>
        <v>3</v>
      </c>
      <c r="AM122">
        <f ca="1">IF(T_EMPLOYEES[[#This Row],[EMPLOYEE NUMBER]]="","",MATCH(T_EMPLOYEES[[#This Row],[JOB TITLE]],L_JOBTITLE,0))</f>
        <v>15</v>
      </c>
      <c r="AN122">
        <f ca="1">IF(T_EMPLOYEES[[#This Row],[EMPLOYEE NUMBER]]="","",MATCH(T_EMPLOYEES[[#This Row],[MANAGER]],L_EMPLABELS,0))</f>
        <v>8</v>
      </c>
      <c r="AO122">
        <f ca="1">IF(T_EMPLOYEES[[#This Row],[EMPLOYEE NUMBER]]="","",IF(T_EMPLOYEES[[#This Row],[ERROR]]="",0,1))</f>
        <v>0</v>
      </c>
      <c r="AP12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3" spans="1:42">
      <c r="A123" t="s">
        <v>566</v>
      </c>
      <c r="B123" t="s">
        <v>567</v>
      </c>
      <c r="C123">
        <v>1021418</v>
      </c>
      <c r="D123" t="s">
        <v>568</v>
      </c>
      <c r="E123" s="26">
        <v>31919</v>
      </c>
      <c r="F123" s="26">
        <v>43474</v>
      </c>
      <c r="H123" t="s">
        <v>27</v>
      </c>
      <c r="I123" t="s">
        <v>54</v>
      </c>
      <c r="J123" t="s">
        <v>64</v>
      </c>
      <c r="K123" t="s">
        <v>30</v>
      </c>
      <c r="L123" s="27" t="s">
        <v>45</v>
      </c>
      <c r="M123" t="s">
        <v>46</v>
      </c>
      <c r="N123" t="s">
        <v>70</v>
      </c>
      <c r="O123" t="s">
        <v>96</v>
      </c>
      <c r="P123" t="s">
        <v>70</v>
      </c>
      <c r="Q123" t="s">
        <v>280</v>
      </c>
      <c r="S123" s="1">
        <v>250000</v>
      </c>
      <c r="T123" s="1">
        <f ca="1">ROUND(T_EMPLOYEES[[#This Row],[EMP_CTC1]]/12, 0)</f>
        <v>20833</v>
      </c>
      <c r="U123" s="1">
        <v>150000</v>
      </c>
      <c r="V123" s="1" t="s">
        <v>207</v>
      </c>
      <c r="W123" s="1" t="s">
        <v>207</v>
      </c>
      <c r="X12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Someshwara Prabhu Nanje Gowda (1021418)</v>
      </c>
      <c r="Y123">
        <v>60000</v>
      </c>
      <c r="Z123" s="29">
        <f t="shared" ca="1" si="2"/>
        <v>40</v>
      </c>
      <c r="AA123">
        <f ca="1">IF(T_EMPLOYEES[[#This Row],[EMPLOYEE NUMBER]]="","",ROW(T_EMPLOYEES[[#This Row],[EMPLOYEE LABEL]])-ROW(T_EMPLOYEES[[#Headers],[EMPLOYEE LABEL]]))</f>
        <v>120</v>
      </c>
      <c r="AB123">
        <f ca="1">IF(T_EMPLOYEES[[#This Row],[EMPLOYEE NUMBER]]="","",IF(COUNTIF(T_EMPLOYEES[EMPLOYEE NUMBER],T_EMPLOYEES[[#This Row],[EMPLOYEE NUMBER]])&gt;1,1,0))</f>
        <v>0</v>
      </c>
      <c r="AC123">
        <f ca="1">IF(T_EMPLOYEES[[#This Row],[EMPLOYEE NUMBER]]="","",IF(AND(T_EMPLOYEES[[#This Row],[DATE OF BIRTH]]&gt;0,T_EMPLOYEES[[#This Row],[DATE OF BIRTH]]&lt;TODAY()),0,1))</f>
        <v>0</v>
      </c>
      <c r="AD123">
        <f ca="1">IF(T_EMPLOYEES[[#This Row],[EMPLOYEE NUMBER]]="","",IF(AND(T_EMPLOYEES[[#This Row],[START DATE]]&gt;0,T_EMPLOYEES[[#This Row],[START DATE]]&lt;TODAY()+60),0,1))</f>
        <v>0</v>
      </c>
      <c r="AE123">
        <f ca="1">IF(T_EMPLOYEES[[#This Row],[EMPLOYEE NUMBER]]="","",MATCH(T_EMPLOYEES[[#This Row],[GENDER]],L_GENDER,0))</f>
        <v>1</v>
      </c>
      <c r="AF123">
        <f ca="1">IF(T_EMPLOYEES[[#This Row],[EMPLOYEE NUMBER]]="","",MATCH(T_EMPLOYEES[[#This Row],[HIRE SOURCE]],L_HIRESOURCE,0))</f>
        <v>4</v>
      </c>
      <c r="AG123">
        <f ca="1">IF(T_EMPLOYEES[[#This Row],[EMPLOYEE NUMBER]]="","",MATCH(T_EMPLOYEES[[#This Row],[ETHNICITY]],L_ETHNICITY,0))</f>
        <v>3</v>
      </c>
      <c r="AH123">
        <f ca="1">IF(T_EMPLOYEES[[#This Row],[EMPLOYEE NUMBER]]="","",MATCH(T_EMPLOYEES[[#This Row],[LOCATION]],L_LOCATION,0))</f>
        <v>1</v>
      </c>
      <c r="AI123">
        <f ca="1">IF(T_EMPLOYEES[[#This Row],[EMPLOYEE NUMBER]]="","",MATCH(T_EMPLOYEES[[#This Row],[DEPARTMENT]],L_DEPARTMENT,0))</f>
        <v>2</v>
      </c>
      <c r="AJ123">
        <f ca="1">IF(T_EMPLOYEES[[#This Row],[EMPLOYEE NUMBER]]="","",MATCH(T_EMPLOYEES[[#This Row],[JOB TYPE]],L_JOBTYPE,0))</f>
        <v>2</v>
      </c>
      <c r="AK123">
        <f ca="1">IF(T_EMPLOYEES[[#This Row],[EMPLOYEE NUMBER]]="","",MATCH(T_EMPLOYEES[[#This Row],[JOB CATEGORY]],L_JOBCATEGORY,0))</f>
        <v>4</v>
      </c>
      <c r="AL123">
        <f ca="1">IF(T_EMPLOYEES[[#This Row],[EMPLOYEE NUMBER]]="","",MATCH(T_EMPLOYEES[[#This Row],[JOB LEVEL]],L_JOBLEVEL,0))</f>
        <v>7</v>
      </c>
      <c r="AM123">
        <f ca="1">IF(T_EMPLOYEES[[#This Row],[EMPLOYEE NUMBER]]="","",MATCH(T_EMPLOYEES[[#This Row],[JOB TITLE]],L_JOBTITLE,0))</f>
        <v>4</v>
      </c>
      <c r="AN123">
        <f ca="1">IF(T_EMPLOYEES[[#This Row],[EMPLOYEE NUMBER]]="","",MATCH(T_EMPLOYEES[[#This Row],[MANAGER]],L_EMPLABELS,0))</f>
        <v>86</v>
      </c>
      <c r="AO123">
        <f ca="1">IF(T_EMPLOYEES[[#This Row],[EMPLOYEE NUMBER]]="","",IF(T_EMPLOYEES[[#This Row],[ERROR]]="",0,1))</f>
        <v>0</v>
      </c>
      <c r="AP12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4" spans="1:42">
      <c r="A124" t="s">
        <v>569</v>
      </c>
      <c r="B124" t="s">
        <v>570</v>
      </c>
      <c r="C124">
        <v>1020012</v>
      </c>
      <c r="D124" t="s">
        <v>571</v>
      </c>
      <c r="E124" s="26">
        <v>31923</v>
      </c>
      <c r="F124" s="26">
        <v>43068</v>
      </c>
      <c r="H124" t="s">
        <v>40</v>
      </c>
      <c r="I124" t="s">
        <v>54</v>
      </c>
      <c r="J124" t="s">
        <v>64</v>
      </c>
      <c r="K124" t="s">
        <v>43</v>
      </c>
      <c r="L124" s="27" t="s">
        <v>110</v>
      </c>
      <c r="M124" t="s">
        <v>46</v>
      </c>
      <c r="N124" t="s">
        <v>119</v>
      </c>
      <c r="O124" t="s">
        <v>82</v>
      </c>
      <c r="P124" t="s">
        <v>119</v>
      </c>
      <c r="Q124" t="s">
        <v>344</v>
      </c>
      <c r="R124" s="27">
        <v>7</v>
      </c>
      <c r="S124" s="1">
        <v>250000</v>
      </c>
      <c r="T124" s="1">
        <f ca="1">ROUND(T_EMPLOYEES[[#This Row],[EMP_CTC1]]/12, 0)</f>
        <v>20833</v>
      </c>
      <c r="U124" s="1">
        <v>150000</v>
      </c>
      <c r="V124" s="1" t="s">
        <v>207</v>
      </c>
      <c r="W124" s="1" t="s">
        <v>207</v>
      </c>
      <c r="X12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Karthika  R (1020012)</v>
      </c>
      <c r="Y124">
        <v>60000</v>
      </c>
      <c r="Z124" s="29">
        <f t="shared" ca="1" si="2"/>
        <v>40</v>
      </c>
      <c r="AA124">
        <f ca="1">IF(T_EMPLOYEES[[#This Row],[EMPLOYEE NUMBER]]="","",ROW(T_EMPLOYEES[[#This Row],[EMPLOYEE LABEL]])-ROW(T_EMPLOYEES[[#Headers],[EMPLOYEE LABEL]]))</f>
        <v>121</v>
      </c>
      <c r="AB124">
        <f ca="1">IF(T_EMPLOYEES[[#This Row],[EMPLOYEE NUMBER]]="","",IF(COUNTIF(T_EMPLOYEES[EMPLOYEE NUMBER],T_EMPLOYEES[[#This Row],[EMPLOYEE NUMBER]])&gt;1,1,0))</f>
        <v>0</v>
      </c>
      <c r="AC124">
        <f ca="1">IF(T_EMPLOYEES[[#This Row],[EMPLOYEE NUMBER]]="","",IF(AND(T_EMPLOYEES[[#This Row],[DATE OF BIRTH]]&gt;0,T_EMPLOYEES[[#This Row],[DATE OF BIRTH]]&lt;TODAY()),0,1))</f>
        <v>0</v>
      </c>
      <c r="AD124">
        <f ca="1">IF(T_EMPLOYEES[[#This Row],[EMPLOYEE NUMBER]]="","",IF(AND(T_EMPLOYEES[[#This Row],[START DATE]]&gt;0,T_EMPLOYEES[[#This Row],[START DATE]]&lt;TODAY()+60),0,1))</f>
        <v>0</v>
      </c>
      <c r="AE124">
        <f ca="1">IF(T_EMPLOYEES[[#This Row],[EMPLOYEE NUMBER]]="","",MATCH(T_EMPLOYEES[[#This Row],[GENDER]],L_GENDER,0))</f>
        <v>2</v>
      </c>
      <c r="AF124">
        <f ca="1">IF(T_EMPLOYEES[[#This Row],[EMPLOYEE NUMBER]]="","",MATCH(T_EMPLOYEES[[#This Row],[HIRE SOURCE]],L_HIRESOURCE,0))</f>
        <v>4</v>
      </c>
      <c r="AG124">
        <f ca="1">IF(T_EMPLOYEES[[#This Row],[EMPLOYEE NUMBER]]="","",MATCH(T_EMPLOYEES[[#This Row],[ETHNICITY]],L_ETHNICITY,0))</f>
        <v>3</v>
      </c>
      <c r="AH124">
        <f ca="1">IF(T_EMPLOYEES[[#This Row],[EMPLOYEE NUMBER]]="","",MATCH(T_EMPLOYEES[[#This Row],[LOCATION]],L_LOCATION,0))</f>
        <v>2</v>
      </c>
      <c r="AI124">
        <f ca="1">IF(T_EMPLOYEES[[#This Row],[EMPLOYEE NUMBER]]="","",MATCH(T_EMPLOYEES[[#This Row],[DEPARTMENT]],L_DEPARTMENT,0))</f>
        <v>10</v>
      </c>
      <c r="AJ124">
        <f ca="1">IF(T_EMPLOYEES[[#This Row],[EMPLOYEE NUMBER]]="","",MATCH(T_EMPLOYEES[[#This Row],[JOB TYPE]],L_JOBTYPE,0))</f>
        <v>2</v>
      </c>
      <c r="AK124">
        <f ca="1">IF(T_EMPLOYEES[[#This Row],[EMPLOYEE NUMBER]]="","",MATCH(T_EMPLOYEES[[#This Row],[JOB CATEGORY]],L_JOBCATEGORY,0))</f>
        <v>12</v>
      </c>
      <c r="AL124">
        <f ca="1">IF(T_EMPLOYEES[[#This Row],[EMPLOYEE NUMBER]]="","",MATCH(T_EMPLOYEES[[#This Row],[JOB LEVEL]],L_JOBLEVEL,0))</f>
        <v>5</v>
      </c>
      <c r="AM124">
        <f ca="1">IF(T_EMPLOYEES[[#This Row],[EMPLOYEE NUMBER]]="","",MATCH(T_EMPLOYEES[[#This Row],[JOB TITLE]],L_JOBTITLE,0))</f>
        <v>12</v>
      </c>
      <c r="AN124">
        <f ca="1">IF(T_EMPLOYEES[[#This Row],[EMPLOYEE NUMBER]]="","",MATCH(T_EMPLOYEES[[#This Row],[MANAGER]],L_EMPLABELS,0))</f>
        <v>12</v>
      </c>
      <c r="AO124">
        <f ca="1">IF(T_EMPLOYEES[[#This Row],[EMPLOYEE NUMBER]]="","",IF(T_EMPLOYEES[[#This Row],[ERROR]]="",0,1))</f>
        <v>0</v>
      </c>
      <c r="AP12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5" spans="1:42">
      <c r="A125" t="s">
        <v>39</v>
      </c>
      <c r="B125" t="s">
        <v>572</v>
      </c>
      <c r="C125">
        <v>1028165</v>
      </c>
      <c r="D125" t="s">
        <v>573</v>
      </c>
      <c r="E125" s="26">
        <v>31930</v>
      </c>
      <c r="F125" s="26">
        <v>44588</v>
      </c>
      <c r="H125" t="s">
        <v>27</v>
      </c>
      <c r="I125" t="s">
        <v>54</v>
      </c>
      <c r="J125" t="s">
        <v>64</v>
      </c>
      <c r="K125" t="s">
        <v>43</v>
      </c>
      <c r="L125" s="27" t="s">
        <v>45</v>
      </c>
      <c r="M125" t="s">
        <v>46</v>
      </c>
      <c r="N125" t="s">
        <v>128</v>
      </c>
      <c r="O125" t="s">
        <v>60</v>
      </c>
      <c r="P125" t="s">
        <v>128</v>
      </c>
      <c r="Q125" t="s">
        <v>574</v>
      </c>
      <c r="R125">
        <v>3</v>
      </c>
      <c r="S125" s="1">
        <v>250000</v>
      </c>
      <c r="T125" s="1">
        <f ca="1">ROUND(T_EMPLOYEES[[#This Row],[EMP_CTC1]]/12, 0)</f>
        <v>20833</v>
      </c>
      <c r="U125" s="1">
        <v>150000</v>
      </c>
      <c r="V125" s="1" t="s">
        <v>207</v>
      </c>
      <c r="W125" s="1" t="s">
        <v>207</v>
      </c>
      <c r="X12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  Sudhakar (1028165)</v>
      </c>
      <c r="Y125">
        <v>60000</v>
      </c>
      <c r="Z125" s="29">
        <f t="shared" ca="1" si="2"/>
        <v>40</v>
      </c>
      <c r="AA125">
        <f ca="1">IF(T_EMPLOYEES[[#This Row],[EMPLOYEE NUMBER]]="","",ROW(T_EMPLOYEES[[#This Row],[EMPLOYEE LABEL]])-ROW(T_EMPLOYEES[[#Headers],[EMPLOYEE LABEL]]))</f>
        <v>122</v>
      </c>
      <c r="AB125">
        <f ca="1">IF(T_EMPLOYEES[[#This Row],[EMPLOYEE NUMBER]]="","",IF(COUNTIF(T_EMPLOYEES[EMPLOYEE NUMBER],T_EMPLOYEES[[#This Row],[EMPLOYEE NUMBER]])&gt;1,1,0))</f>
        <v>0</v>
      </c>
      <c r="AC125">
        <f ca="1">IF(T_EMPLOYEES[[#This Row],[EMPLOYEE NUMBER]]="","",IF(AND(T_EMPLOYEES[[#This Row],[DATE OF BIRTH]]&gt;0,T_EMPLOYEES[[#This Row],[DATE OF BIRTH]]&lt;TODAY()),0,1))</f>
        <v>0</v>
      </c>
      <c r="AD125">
        <f ca="1">IF(T_EMPLOYEES[[#This Row],[EMPLOYEE NUMBER]]="","",IF(AND(T_EMPLOYEES[[#This Row],[START DATE]]&gt;0,T_EMPLOYEES[[#This Row],[START DATE]]&lt;TODAY()+60),0,1))</f>
        <v>0</v>
      </c>
      <c r="AE125">
        <f ca="1">IF(T_EMPLOYEES[[#This Row],[EMPLOYEE NUMBER]]="","",MATCH(T_EMPLOYEES[[#This Row],[GENDER]],L_GENDER,0))</f>
        <v>1</v>
      </c>
      <c r="AF125">
        <f ca="1">IF(T_EMPLOYEES[[#This Row],[EMPLOYEE NUMBER]]="","",MATCH(T_EMPLOYEES[[#This Row],[HIRE SOURCE]],L_HIRESOURCE,0))</f>
        <v>4</v>
      </c>
      <c r="AG125">
        <f ca="1">IF(T_EMPLOYEES[[#This Row],[EMPLOYEE NUMBER]]="","",MATCH(T_EMPLOYEES[[#This Row],[ETHNICITY]],L_ETHNICITY,0))</f>
        <v>3</v>
      </c>
      <c r="AH125">
        <f ca="1">IF(T_EMPLOYEES[[#This Row],[EMPLOYEE NUMBER]]="","",MATCH(T_EMPLOYEES[[#This Row],[LOCATION]],L_LOCATION,0))</f>
        <v>2</v>
      </c>
      <c r="AI125">
        <f ca="1">IF(T_EMPLOYEES[[#This Row],[EMPLOYEE NUMBER]]="","",MATCH(T_EMPLOYEES[[#This Row],[DEPARTMENT]],L_DEPARTMENT,0))</f>
        <v>2</v>
      </c>
      <c r="AJ125">
        <f ca="1">IF(T_EMPLOYEES[[#This Row],[EMPLOYEE NUMBER]]="","",MATCH(T_EMPLOYEES[[#This Row],[JOB TYPE]],L_JOBTYPE,0))</f>
        <v>2</v>
      </c>
      <c r="AK125">
        <f ca="1">IF(T_EMPLOYEES[[#This Row],[EMPLOYEE NUMBER]]="","",MATCH(T_EMPLOYEES[[#This Row],[JOB CATEGORY]],L_JOBCATEGORY,0))</f>
        <v>15</v>
      </c>
      <c r="AL125">
        <f ca="1">IF(T_EMPLOYEES[[#This Row],[EMPLOYEE NUMBER]]="","",MATCH(T_EMPLOYEES[[#This Row],[JOB LEVEL]],L_JOBLEVEL,0))</f>
        <v>3</v>
      </c>
      <c r="AM125">
        <f ca="1">IF(T_EMPLOYEES[[#This Row],[EMPLOYEE NUMBER]]="","",MATCH(T_EMPLOYEES[[#This Row],[JOB TITLE]],L_JOBTITLE,0))</f>
        <v>15</v>
      </c>
      <c r="AN125">
        <f ca="1">IF(T_EMPLOYEES[[#This Row],[EMPLOYEE NUMBER]]="","",MATCH(T_EMPLOYEES[[#This Row],[MANAGER]],L_EMPLABELS,0))</f>
        <v>107</v>
      </c>
      <c r="AO125">
        <f ca="1">IF(T_EMPLOYEES[[#This Row],[EMPLOYEE NUMBER]]="","",IF(T_EMPLOYEES[[#This Row],[ERROR]]="",0,1))</f>
        <v>0</v>
      </c>
      <c r="AP12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6" spans="1:42">
      <c r="A126" t="s">
        <v>575</v>
      </c>
      <c r="B126" t="s">
        <v>576</v>
      </c>
      <c r="C126">
        <v>1031860</v>
      </c>
      <c r="D126" t="s">
        <v>577</v>
      </c>
      <c r="E126" s="26">
        <v>31933</v>
      </c>
      <c r="F126" s="26">
        <v>44914</v>
      </c>
      <c r="H126" t="s">
        <v>40</v>
      </c>
      <c r="I126" t="s">
        <v>54</v>
      </c>
      <c r="J126" t="s">
        <v>64</v>
      </c>
      <c r="K126" t="s">
        <v>30</v>
      </c>
      <c r="L126" s="27" t="s">
        <v>45</v>
      </c>
      <c r="M126" t="s">
        <v>46</v>
      </c>
      <c r="N126" t="s">
        <v>81</v>
      </c>
      <c r="O126" t="s">
        <v>82</v>
      </c>
      <c r="P126" t="s">
        <v>81</v>
      </c>
      <c r="Q126" t="s">
        <v>578</v>
      </c>
      <c r="R126" s="27">
        <v>7</v>
      </c>
      <c r="S126" s="1">
        <v>250000</v>
      </c>
      <c r="T126" s="1">
        <f ca="1">ROUND(T_EMPLOYEES[[#This Row],[EMP_CTC1]]/12, 0)</f>
        <v>20833</v>
      </c>
      <c r="U126" s="1">
        <v>150000</v>
      </c>
      <c r="V126" s="1" t="s">
        <v>207</v>
      </c>
      <c r="W126" s="1" t="s">
        <v>207</v>
      </c>
      <c r="X12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Soumyashree Banjee (1031860)</v>
      </c>
      <c r="Y126">
        <v>60000</v>
      </c>
      <c r="Z126" s="29">
        <f t="shared" ca="1" si="2"/>
        <v>40</v>
      </c>
      <c r="AA126">
        <f ca="1">IF(T_EMPLOYEES[[#This Row],[EMPLOYEE NUMBER]]="","",ROW(T_EMPLOYEES[[#This Row],[EMPLOYEE LABEL]])-ROW(T_EMPLOYEES[[#Headers],[EMPLOYEE LABEL]]))</f>
        <v>123</v>
      </c>
      <c r="AB126">
        <f ca="1">IF(T_EMPLOYEES[[#This Row],[EMPLOYEE NUMBER]]="","",IF(COUNTIF(T_EMPLOYEES[EMPLOYEE NUMBER],T_EMPLOYEES[[#This Row],[EMPLOYEE NUMBER]])&gt;1,1,0))</f>
        <v>0</v>
      </c>
      <c r="AC126">
        <f ca="1">IF(T_EMPLOYEES[[#This Row],[EMPLOYEE NUMBER]]="","",IF(AND(T_EMPLOYEES[[#This Row],[DATE OF BIRTH]]&gt;0,T_EMPLOYEES[[#This Row],[DATE OF BIRTH]]&lt;TODAY()),0,1))</f>
        <v>0</v>
      </c>
      <c r="AD126">
        <f ca="1">IF(T_EMPLOYEES[[#This Row],[EMPLOYEE NUMBER]]="","",IF(AND(T_EMPLOYEES[[#This Row],[START DATE]]&gt;0,T_EMPLOYEES[[#This Row],[START DATE]]&lt;TODAY()+60),0,1))</f>
        <v>0</v>
      </c>
      <c r="AE126">
        <f ca="1">IF(T_EMPLOYEES[[#This Row],[EMPLOYEE NUMBER]]="","",MATCH(T_EMPLOYEES[[#This Row],[GENDER]],L_GENDER,0))</f>
        <v>2</v>
      </c>
      <c r="AF126">
        <f ca="1">IF(T_EMPLOYEES[[#This Row],[EMPLOYEE NUMBER]]="","",MATCH(T_EMPLOYEES[[#This Row],[HIRE SOURCE]],L_HIRESOURCE,0))</f>
        <v>4</v>
      </c>
      <c r="AG126">
        <f ca="1">IF(T_EMPLOYEES[[#This Row],[EMPLOYEE NUMBER]]="","",MATCH(T_EMPLOYEES[[#This Row],[ETHNICITY]],L_ETHNICITY,0))</f>
        <v>3</v>
      </c>
      <c r="AH126">
        <f ca="1">IF(T_EMPLOYEES[[#This Row],[EMPLOYEE NUMBER]]="","",MATCH(T_EMPLOYEES[[#This Row],[LOCATION]],L_LOCATION,0))</f>
        <v>1</v>
      </c>
      <c r="AI126">
        <f ca="1">IF(T_EMPLOYEES[[#This Row],[EMPLOYEE NUMBER]]="","",MATCH(T_EMPLOYEES[[#This Row],[DEPARTMENT]],L_DEPARTMENT,0))</f>
        <v>2</v>
      </c>
      <c r="AJ126">
        <f ca="1">IF(T_EMPLOYEES[[#This Row],[EMPLOYEE NUMBER]]="","",MATCH(T_EMPLOYEES[[#This Row],[JOB TYPE]],L_JOBTYPE,0))</f>
        <v>2</v>
      </c>
      <c r="AK126">
        <f ca="1">IF(T_EMPLOYEES[[#This Row],[EMPLOYEE NUMBER]]="","",MATCH(T_EMPLOYEES[[#This Row],[JOB CATEGORY]],L_JOBCATEGORY,0))</f>
        <v>5</v>
      </c>
      <c r="AL126">
        <f ca="1">IF(T_EMPLOYEES[[#This Row],[EMPLOYEE NUMBER]]="","",MATCH(T_EMPLOYEES[[#This Row],[JOB LEVEL]],L_JOBLEVEL,0))</f>
        <v>5</v>
      </c>
      <c r="AM126">
        <f ca="1">IF(T_EMPLOYEES[[#This Row],[EMPLOYEE NUMBER]]="","",MATCH(T_EMPLOYEES[[#This Row],[JOB TITLE]],L_JOBTITLE,0))</f>
        <v>5</v>
      </c>
      <c r="AN126">
        <f ca="1">IF(T_EMPLOYEES[[#This Row],[EMPLOYEE NUMBER]]="","",MATCH(T_EMPLOYEES[[#This Row],[MANAGER]],L_EMPLABELS,0))</f>
        <v>76</v>
      </c>
      <c r="AO126">
        <f ca="1">IF(T_EMPLOYEES[[#This Row],[EMPLOYEE NUMBER]]="","",IF(T_EMPLOYEES[[#This Row],[ERROR]]="",0,1))</f>
        <v>0</v>
      </c>
      <c r="AP12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7" spans="1:42">
      <c r="A127" t="s">
        <v>579</v>
      </c>
      <c r="B127" t="s">
        <v>580</v>
      </c>
      <c r="C127">
        <v>1015227</v>
      </c>
      <c r="D127" t="s">
        <v>581</v>
      </c>
      <c r="E127" s="26">
        <v>31936</v>
      </c>
      <c r="F127" s="26">
        <v>41795</v>
      </c>
      <c r="H127" t="s">
        <v>40</v>
      </c>
      <c r="I127" t="s">
        <v>54</v>
      </c>
      <c r="J127" t="s">
        <v>64</v>
      </c>
      <c r="K127" t="s">
        <v>30</v>
      </c>
      <c r="L127" s="27" t="s">
        <v>45</v>
      </c>
      <c r="M127" t="s">
        <v>46</v>
      </c>
      <c r="N127" t="s">
        <v>147</v>
      </c>
      <c r="O127" t="s">
        <v>90</v>
      </c>
      <c r="P127" t="s">
        <v>147</v>
      </c>
      <c r="Q127" t="s">
        <v>215</v>
      </c>
      <c r="R127">
        <v>7</v>
      </c>
      <c r="S127" s="1">
        <v>250000</v>
      </c>
      <c r="T127" s="1">
        <f ca="1">ROUND(T_EMPLOYEES[[#This Row],[EMP_CTC1]]/12, 0)</f>
        <v>20833</v>
      </c>
      <c r="U127" s="1">
        <v>150000</v>
      </c>
      <c r="V127" s="1" t="s">
        <v>207</v>
      </c>
      <c r="W127" s="1" t="s">
        <v>207</v>
      </c>
      <c r="X12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Shambhavi Priya (1015227)</v>
      </c>
      <c r="Y127">
        <v>60000</v>
      </c>
      <c r="Z127" s="29">
        <f t="shared" ca="1" si="2"/>
        <v>40</v>
      </c>
      <c r="AA127">
        <f ca="1">IF(T_EMPLOYEES[[#This Row],[EMPLOYEE NUMBER]]="","",ROW(T_EMPLOYEES[[#This Row],[EMPLOYEE LABEL]])-ROW(T_EMPLOYEES[[#Headers],[EMPLOYEE LABEL]]))</f>
        <v>124</v>
      </c>
      <c r="AB127">
        <f ca="1">IF(T_EMPLOYEES[[#This Row],[EMPLOYEE NUMBER]]="","",IF(COUNTIF(T_EMPLOYEES[EMPLOYEE NUMBER],T_EMPLOYEES[[#This Row],[EMPLOYEE NUMBER]])&gt;1,1,0))</f>
        <v>0</v>
      </c>
      <c r="AC127">
        <f ca="1">IF(T_EMPLOYEES[[#This Row],[EMPLOYEE NUMBER]]="","",IF(AND(T_EMPLOYEES[[#This Row],[DATE OF BIRTH]]&gt;0,T_EMPLOYEES[[#This Row],[DATE OF BIRTH]]&lt;TODAY()),0,1))</f>
        <v>0</v>
      </c>
      <c r="AD127">
        <f ca="1">IF(T_EMPLOYEES[[#This Row],[EMPLOYEE NUMBER]]="","",IF(AND(T_EMPLOYEES[[#This Row],[START DATE]]&gt;0,T_EMPLOYEES[[#This Row],[START DATE]]&lt;TODAY()+60),0,1))</f>
        <v>0</v>
      </c>
      <c r="AE127">
        <f ca="1">IF(T_EMPLOYEES[[#This Row],[EMPLOYEE NUMBER]]="","",MATCH(T_EMPLOYEES[[#This Row],[GENDER]],L_GENDER,0))</f>
        <v>2</v>
      </c>
      <c r="AF127">
        <f ca="1">IF(T_EMPLOYEES[[#This Row],[EMPLOYEE NUMBER]]="","",MATCH(T_EMPLOYEES[[#This Row],[HIRE SOURCE]],L_HIRESOURCE,0))</f>
        <v>4</v>
      </c>
      <c r="AG127">
        <f ca="1">IF(T_EMPLOYEES[[#This Row],[EMPLOYEE NUMBER]]="","",MATCH(T_EMPLOYEES[[#This Row],[ETHNICITY]],L_ETHNICITY,0))</f>
        <v>3</v>
      </c>
      <c r="AH127">
        <f ca="1">IF(T_EMPLOYEES[[#This Row],[EMPLOYEE NUMBER]]="","",MATCH(T_EMPLOYEES[[#This Row],[LOCATION]],L_LOCATION,0))</f>
        <v>1</v>
      </c>
      <c r="AI127">
        <f ca="1">IF(T_EMPLOYEES[[#This Row],[EMPLOYEE NUMBER]]="","",MATCH(T_EMPLOYEES[[#This Row],[DEPARTMENT]],L_DEPARTMENT,0))</f>
        <v>2</v>
      </c>
      <c r="AJ127">
        <f ca="1">IF(T_EMPLOYEES[[#This Row],[EMPLOYEE NUMBER]]="","",MATCH(T_EMPLOYEES[[#This Row],[JOB TYPE]],L_JOBTYPE,0))</f>
        <v>2</v>
      </c>
      <c r="AK127">
        <f ca="1">IF(T_EMPLOYEES[[#This Row],[EMPLOYEE NUMBER]]="","",MATCH(T_EMPLOYEES[[#This Row],[JOB CATEGORY]],L_JOBCATEGORY,0))</f>
        <v>26</v>
      </c>
      <c r="AL127">
        <f ca="1">IF(T_EMPLOYEES[[#This Row],[EMPLOYEE NUMBER]]="","",MATCH(T_EMPLOYEES[[#This Row],[JOB LEVEL]],L_JOBLEVEL,0))</f>
        <v>6</v>
      </c>
      <c r="AM127">
        <f ca="1">IF(T_EMPLOYEES[[#This Row],[EMPLOYEE NUMBER]]="","",MATCH(T_EMPLOYEES[[#This Row],[JOB TITLE]],L_JOBTITLE,0))</f>
        <v>26</v>
      </c>
      <c r="AN127">
        <f ca="1">IF(T_EMPLOYEES[[#This Row],[EMPLOYEE NUMBER]]="","",MATCH(T_EMPLOYEES[[#This Row],[MANAGER]],L_EMPLABELS,0))</f>
        <v>13</v>
      </c>
      <c r="AO127">
        <f ca="1">IF(T_EMPLOYEES[[#This Row],[EMPLOYEE NUMBER]]="","",IF(T_EMPLOYEES[[#This Row],[ERROR]]="",0,1))</f>
        <v>0</v>
      </c>
      <c r="AP12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8" spans="1:42">
      <c r="A128" t="s">
        <v>582</v>
      </c>
      <c r="B128" t="s">
        <v>583</v>
      </c>
      <c r="C128">
        <v>1029757</v>
      </c>
      <c r="D128" t="s">
        <v>584</v>
      </c>
      <c r="E128" s="26">
        <v>31954</v>
      </c>
      <c r="F128" s="26">
        <v>44781</v>
      </c>
      <c r="H128" t="s">
        <v>40</v>
      </c>
      <c r="I128" t="s">
        <v>54</v>
      </c>
      <c r="J128" t="s">
        <v>64</v>
      </c>
      <c r="K128" t="s">
        <v>43</v>
      </c>
      <c r="L128" s="27" t="s">
        <v>45</v>
      </c>
      <c r="M128" t="s">
        <v>46</v>
      </c>
      <c r="N128" t="s">
        <v>89</v>
      </c>
      <c r="O128" t="s">
        <v>60</v>
      </c>
      <c r="P128" t="s">
        <v>89</v>
      </c>
      <c r="Q128" t="s">
        <v>272</v>
      </c>
      <c r="R128" s="27">
        <v>3</v>
      </c>
      <c r="S128" s="1">
        <v>250000</v>
      </c>
      <c r="T128" s="1">
        <f ca="1">ROUND(T_EMPLOYEES[[#This Row],[EMP_CTC1]]/12, 0)</f>
        <v>20833</v>
      </c>
      <c r="U128" s="1">
        <v>150000</v>
      </c>
      <c r="V128" s="1" t="s">
        <v>207</v>
      </c>
      <c r="W128" s="1" t="s">
        <v>207</v>
      </c>
      <c r="X12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Chereddy Laxmi kumari (1029757)</v>
      </c>
      <c r="Y128">
        <v>60000</v>
      </c>
      <c r="Z128" s="29">
        <f t="shared" ca="1" si="2"/>
        <v>40</v>
      </c>
      <c r="AA128">
        <f ca="1">IF(T_EMPLOYEES[[#This Row],[EMPLOYEE NUMBER]]="","",ROW(T_EMPLOYEES[[#This Row],[EMPLOYEE LABEL]])-ROW(T_EMPLOYEES[[#Headers],[EMPLOYEE LABEL]]))</f>
        <v>125</v>
      </c>
      <c r="AB128">
        <f ca="1">IF(T_EMPLOYEES[[#This Row],[EMPLOYEE NUMBER]]="","",IF(COUNTIF(T_EMPLOYEES[EMPLOYEE NUMBER],T_EMPLOYEES[[#This Row],[EMPLOYEE NUMBER]])&gt;1,1,0))</f>
        <v>0</v>
      </c>
      <c r="AC128">
        <f ca="1">IF(T_EMPLOYEES[[#This Row],[EMPLOYEE NUMBER]]="","",IF(AND(T_EMPLOYEES[[#This Row],[DATE OF BIRTH]]&gt;0,T_EMPLOYEES[[#This Row],[DATE OF BIRTH]]&lt;TODAY()),0,1))</f>
        <v>0</v>
      </c>
      <c r="AD128">
        <f ca="1">IF(T_EMPLOYEES[[#This Row],[EMPLOYEE NUMBER]]="","",IF(AND(T_EMPLOYEES[[#This Row],[START DATE]]&gt;0,T_EMPLOYEES[[#This Row],[START DATE]]&lt;TODAY()+60),0,1))</f>
        <v>0</v>
      </c>
      <c r="AE128">
        <f ca="1">IF(T_EMPLOYEES[[#This Row],[EMPLOYEE NUMBER]]="","",MATCH(T_EMPLOYEES[[#This Row],[GENDER]],L_GENDER,0))</f>
        <v>2</v>
      </c>
      <c r="AF128">
        <f ca="1">IF(T_EMPLOYEES[[#This Row],[EMPLOYEE NUMBER]]="","",MATCH(T_EMPLOYEES[[#This Row],[HIRE SOURCE]],L_HIRESOURCE,0))</f>
        <v>4</v>
      </c>
      <c r="AG128">
        <f ca="1">IF(T_EMPLOYEES[[#This Row],[EMPLOYEE NUMBER]]="","",MATCH(T_EMPLOYEES[[#This Row],[ETHNICITY]],L_ETHNICITY,0))</f>
        <v>3</v>
      </c>
      <c r="AH128">
        <f ca="1">IF(T_EMPLOYEES[[#This Row],[EMPLOYEE NUMBER]]="","",MATCH(T_EMPLOYEES[[#This Row],[LOCATION]],L_LOCATION,0))</f>
        <v>2</v>
      </c>
      <c r="AI128">
        <f ca="1">IF(T_EMPLOYEES[[#This Row],[EMPLOYEE NUMBER]]="","",MATCH(T_EMPLOYEES[[#This Row],[DEPARTMENT]],L_DEPARTMENT,0))</f>
        <v>2</v>
      </c>
      <c r="AJ128">
        <f ca="1">IF(T_EMPLOYEES[[#This Row],[EMPLOYEE NUMBER]]="","",MATCH(T_EMPLOYEES[[#This Row],[JOB TYPE]],L_JOBTYPE,0))</f>
        <v>2</v>
      </c>
      <c r="AK128">
        <f ca="1">IF(T_EMPLOYEES[[#This Row],[EMPLOYEE NUMBER]]="","",MATCH(T_EMPLOYEES[[#This Row],[JOB CATEGORY]],L_JOBCATEGORY,0))</f>
        <v>6</v>
      </c>
      <c r="AL128">
        <f ca="1">IF(T_EMPLOYEES[[#This Row],[EMPLOYEE NUMBER]]="","",MATCH(T_EMPLOYEES[[#This Row],[JOB LEVEL]],L_JOBLEVEL,0))</f>
        <v>3</v>
      </c>
      <c r="AM128">
        <f ca="1">IF(T_EMPLOYEES[[#This Row],[EMPLOYEE NUMBER]]="","",MATCH(T_EMPLOYEES[[#This Row],[JOB TITLE]],L_JOBTITLE,0))</f>
        <v>6</v>
      </c>
      <c r="AN128">
        <f ca="1">IF(T_EMPLOYEES[[#This Row],[EMPLOYEE NUMBER]]="","",MATCH(T_EMPLOYEES[[#This Row],[MANAGER]],L_EMPLABELS,0))</f>
        <v>62</v>
      </c>
      <c r="AO128">
        <f ca="1">IF(T_EMPLOYEES[[#This Row],[EMPLOYEE NUMBER]]="","",IF(T_EMPLOYEES[[#This Row],[ERROR]]="",0,1))</f>
        <v>0</v>
      </c>
      <c r="AP12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9" spans="1:45">
      <c r="A129" t="s">
        <v>585</v>
      </c>
      <c r="B129" t="s">
        <v>586</v>
      </c>
      <c r="C129">
        <v>1024704</v>
      </c>
      <c r="D129" t="s">
        <v>587</v>
      </c>
      <c r="E129" s="26">
        <v>31973</v>
      </c>
      <c r="F129" s="26">
        <v>44258</v>
      </c>
      <c r="H129" t="s">
        <v>27</v>
      </c>
      <c r="I129" t="s">
        <v>54</v>
      </c>
      <c r="J129" t="s">
        <v>64</v>
      </c>
      <c r="K129" t="s">
        <v>43</v>
      </c>
      <c r="L129" s="27" t="s">
        <v>45</v>
      </c>
      <c r="M129" t="s">
        <v>46</v>
      </c>
      <c r="N129" t="s">
        <v>89</v>
      </c>
      <c r="O129" t="s">
        <v>60</v>
      </c>
      <c r="P129" t="s">
        <v>89</v>
      </c>
      <c r="Q129" t="s">
        <v>272</v>
      </c>
      <c r="R129">
        <v>3</v>
      </c>
      <c r="S129" s="1">
        <v>250000</v>
      </c>
      <c r="T129" s="1">
        <f ca="1">ROUND(T_EMPLOYEES[[#This Row],[EMP_CTC1]]/12, 0)</f>
        <v>20833</v>
      </c>
      <c r="U129" s="1">
        <v>150000</v>
      </c>
      <c r="V129" s="1" t="s">
        <v>207</v>
      </c>
      <c r="W129" s="1" t="s">
        <v>207</v>
      </c>
      <c r="X12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Vinaykumar  Proddutoori (1024704)</v>
      </c>
      <c r="Y129">
        <v>60000</v>
      </c>
      <c r="Z129" s="29">
        <f t="shared" ca="1" si="2"/>
        <v>40</v>
      </c>
      <c r="AA129">
        <f ca="1">IF(T_EMPLOYEES[[#This Row],[EMPLOYEE NUMBER]]="","",ROW(T_EMPLOYEES[[#This Row],[EMPLOYEE LABEL]])-ROW(T_EMPLOYEES[[#Headers],[EMPLOYEE LABEL]]))</f>
        <v>126</v>
      </c>
      <c r="AB129">
        <f ca="1">IF(T_EMPLOYEES[[#This Row],[EMPLOYEE NUMBER]]="","",IF(COUNTIF(T_EMPLOYEES[EMPLOYEE NUMBER],T_EMPLOYEES[[#This Row],[EMPLOYEE NUMBER]])&gt;1,1,0))</f>
        <v>0</v>
      </c>
      <c r="AC129">
        <f ca="1">IF(T_EMPLOYEES[[#This Row],[EMPLOYEE NUMBER]]="","",IF(AND(T_EMPLOYEES[[#This Row],[DATE OF BIRTH]]&gt;0,T_EMPLOYEES[[#This Row],[DATE OF BIRTH]]&lt;TODAY()),0,1))</f>
        <v>0</v>
      </c>
      <c r="AD129">
        <f ca="1">IF(T_EMPLOYEES[[#This Row],[EMPLOYEE NUMBER]]="","",IF(AND(T_EMPLOYEES[[#This Row],[START DATE]]&gt;0,T_EMPLOYEES[[#This Row],[START DATE]]&lt;TODAY()+60),0,1))</f>
        <v>0</v>
      </c>
      <c r="AE129">
        <f ca="1">IF(T_EMPLOYEES[[#This Row],[EMPLOYEE NUMBER]]="","",MATCH(T_EMPLOYEES[[#This Row],[GENDER]],L_GENDER,0))</f>
        <v>1</v>
      </c>
      <c r="AF129">
        <f ca="1">IF(T_EMPLOYEES[[#This Row],[EMPLOYEE NUMBER]]="","",MATCH(T_EMPLOYEES[[#This Row],[HIRE SOURCE]],L_HIRESOURCE,0))</f>
        <v>4</v>
      </c>
      <c r="AG129">
        <f ca="1">IF(T_EMPLOYEES[[#This Row],[EMPLOYEE NUMBER]]="","",MATCH(T_EMPLOYEES[[#This Row],[ETHNICITY]],L_ETHNICITY,0))</f>
        <v>3</v>
      </c>
      <c r="AH129">
        <f ca="1">IF(T_EMPLOYEES[[#This Row],[EMPLOYEE NUMBER]]="","",MATCH(T_EMPLOYEES[[#This Row],[LOCATION]],L_LOCATION,0))</f>
        <v>2</v>
      </c>
      <c r="AI129">
        <f ca="1">IF(T_EMPLOYEES[[#This Row],[EMPLOYEE NUMBER]]="","",MATCH(T_EMPLOYEES[[#This Row],[DEPARTMENT]],L_DEPARTMENT,0))</f>
        <v>2</v>
      </c>
      <c r="AJ129">
        <f ca="1">IF(T_EMPLOYEES[[#This Row],[EMPLOYEE NUMBER]]="","",MATCH(T_EMPLOYEES[[#This Row],[JOB TYPE]],L_JOBTYPE,0))</f>
        <v>2</v>
      </c>
      <c r="AK129">
        <f ca="1">IF(T_EMPLOYEES[[#This Row],[EMPLOYEE NUMBER]]="","",MATCH(T_EMPLOYEES[[#This Row],[JOB CATEGORY]],L_JOBCATEGORY,0))</f>
        <v>6</v>
      </c>
      <c r="AL129">
        <f ca="1">IF(T_EMPLOYEES[[#This Row],[EMPLOYEE NUMBER]]="","",MATCH(T_EMPLOYEES[[#This Row],[JOB LEVEL]],L_JOBLEVEL,0))</f>
        <v>3</v>
      </c>
      <c r="AM129">
        <f ca="1">IF(T_EMPLOYEES[[#This Row],[EMPLOYEE NUMBER]]="","",MATCH(T_EMPLOYEES[[#This Row],[JOB TITLE]],L_JOBTITLE,0))</f>
        <v>6</v>
      </c>
      <c r="AN129">
        <f ca="1">IF(T_EMPLOYEES[[#This Row],[EMPLOYEE NUMBER]]="","",MATCH(T_EMPLOYEES[[#This Row],[MANAGER]],L_EMPLABELS,0))</f>
        <v>62</v>
      </c>
      <c r="AO129">
        <f ca="1">IF(T_EMPLOYEES[[#This Row],[EMPLOYEE NUMBER]]="","",IF(T_EMPLOYEES[[#This Row],[ERROR]]="",0,1))</f>
        <v>0</v>
      </c>
      <c r="AP12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0" spans="1:45">
      <c r="A130" t="s">
        <v>285</v>
      </c>
      <c r="B130" t="s">
        <v>588</v>
      </c>
      <c r="C130">
        <v>1019349</v>
      </c>
      <c r="D130" t="s">
        <v>589</v>
      </c>
      <c r="E130" s="26">
        <v>31978</v>
      </c>
      <c r="F130" s="26">
        <v>42838</v>
      </c>
      <c r="H130" t="s">
        <v>27</v>
      </c>
      <c r="I130" t="s">
        <v>54</v>
      </c>
      <c r="J130" t="s">
        <v>64</v>
      </c>
      <c r="K130" t="s">
        <v>43</v>
      </c>
      <c r="L130" s="27" t="s">
        <v>45</v>
      </c>
      <c r="M130" t="s">
        <v>46</v>
      </c>
      <c r="N130" t="s">
        <v>47</v>
      </c>
      <c r="O130" t="s">
        <v>90</v>
      </c>
      <c r="P130" t="s">
        <v>47</v>
      </c>
      <c r="Q130" t="s">
        <v>215</v>
      </c>
      <c r="R130" s="27">
        <v>7</v>
      </c>
      <c r="S130" s="1">
        <v>250000</v>
      </c>
      <c r="T130" s="1">
        <f ca="1">ROUND(T_EMPLOYEES[[#This Row],[EMP_CTC1]]/12, 0)</f>
        <v>20833</v>
      </c>
      <c r="U130" s="1">
        <v>150000</v>
      </c>
      <c r="V130" s="1" t="s">
        <v>207</v>
      </c>
      <c r="W130" s="1" t="s">
        <v>207</v>
      </c>
      <c r="X13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Sreekanth Veluguleti (1019349)</v>
      </c>
      <c r="Y130">
        <v>60000</v>
      </c>
      <c r="Z130" s="29">
        <f t="shared" ca="1" si="2"/>
        <v>40</v>
      </c>
      <c r="AA130">
        <f ca="1">IF(T_EMPLOYEES[[#This Row],[EMPLOYEE NUMBER]]="","",ROW(T_EMPLOYEES[[#This Row],[EMPLOYEE LABEL]])-ROW(T_EMPLOYEES[[#Headers],[EMPLOYEE LABEL]]))</f>
        <v>127</v>
      </c>
      <c r="AB130">
        <f ca="1">IF(T_EMPLOYEES[[#This Row],[EMPLOYEE NUMBER]]="","",IF(COUNTIF(T_EMPLOYEES[EMPLOYEE NUMBER],T_EMPLOYEES[[#This Row],[EMPLOYEE NUMBER]])&gt;1,1,0))</f>
        <v>0</v>
      </c>
      <c r="AC130">
        <f ca="1">IF(T_EMPLOYEES[[#This Row],[EMPLOYEE NUMBER]]="","",IF(AND(T_EMPLOYEES[[#This Row],[DATE OF BIRTH]]&gt;0,T_EMPLOYEES[[#This Row],[DATE OF BIRTH]]&lt;TODAY()),0,1))</f>
        <v>0</v>
      </c>
      <c r="AD130">
        <f ca="1">IF(T_EMPLOYEES[[#This Row],[EMPLOYEE NUMBER]]="","",IF(AND(T_EMPLOYEES[[#This Row],[START DATE]]&gt;0,T_EMPLOYEES[[#This Row],[START DATE]]&lt;TODAY()+60),0,1))</f>
        <v>0</v>
      </c>
      <c r="AE130">
        <f ca="1">IF(T_EMPLOYEES[[#This Row],[EMPLOYEE NUMBER]]="","",MATCH(T_EMPLOYEES[[#This Row],[GENDER]],L_GENDER,0))</f>
        <v>1</v>
      </c>
      <c r="AF130">
        <f ca="1">IF(T_EMPLOYEES[[#This Row],[EMPLOYEE NUMBER]]="","",MATCH(T_EMPLOYEES[[#This Row],[HIRE SOURCE]],L_HIRESOURCE,0))</f>
        <v>4</v>
      </c>
      <c r="AG130">
        <f ca="1">IF(T_EMPLOYEES[[#This Row],[EMPLOYEE NUMBER]]="","",MATCH(T_EMPLOYEES[[#This Row],[ETHNICITY]],L_ETHNICITY,0))</f>
        <v>3</v>
      </c>
      <c r="AH130">
        <f ca="1">IF(T_EMPLOYEES[[#This Row],[EMPLOYEE NUMBER]]="","",MATCH(T_EMPLOYEES[[#This Row],[LOCATION]],L_LOCATION,0))</f>
        <v>2</v>
      </c>
      <c r="AI130">
        <f ca="1">IF(T_EMPLOYEES[[#This Row],[EMPLOYEE NUMBER]]="","",MATCH(T_EMPLOYEES[[#This Row],[DEPARTMENT]],L_DEPARTMENT,0))</f>
        <v>2</v>
      </c>
      <c r="AJ130">
        <f ca="1">IF(T_EMPLOYEES[[#This Row],[EMPLOYEE NUMBER]]="","",MATCH(T_EMPLOYEES[[#This Row],[JOB TYPE]],L_JOBTYPE,0))</f>
        <v>2</v>
      </c>
      <c r="AK130">
        <f ca="1">IF(T_EMPLOYEES[[#This Row],[EMPLOYEE NUMBER]]="","",MATCH(T_EMPLOYEES[[#This Row],[JOB CATEGORY]],L_JOBCATEGORY,0))</f>
        <v>2</v>
      </c>
      <c r="AL130">
        <f ca="1">IF(T_EMPLOYEES[[#This Row],[EMPLOYEE NUMBER]]="","",MATCH(T_EMPLOYEES[[#This Row],[JOB LEVEL]],L_JOBLEVEL,0))</f>
        <v>6</v>
      </c>
      <c r="AM130">
        <f ca="1">IF(T_EMPLOYEES[[#This Row],[EMPLOYEE NUMBER]]="","",MATCH(T_EMPLOYEES[[#This Row],[JOB TITLE]],L_JOBTITLE,0))</f>
        <v>2</v>
      </c>
      <c r="AN130">
        <f ca="1">IF(T_EMPLOYEES[[#This Row],[EMPLOYEE NUMBER]]="","",MATCH(T_EMPLOYEES[[#This Row],[MANAGER]],L_EMPLABELS,0))</f>
        <v>13</v>
      </c>
      <c r="AO130">
        <f ca="1">IF(T_EMPLOYEES[[#This Row],[EMPLOYEE NUMBER]]="","",IF(T_EMPLOYEES[[#This Row],[ERROR]]="",0,1))</f>
        <v>0</v>
      </c>
      <c r="AP13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1" spans="1:45">
      <c r="A131" t="s">
        <v>590</v>
      </c>
      <c r="B131" t="s">
        <v>591</v>
      </c>
      <c r="C131">
        <v>1023926</v>
      </c>
      <c r="D131" t="s">
        <v>592</v>
      </c>
      <c r="E131" s="26">
        <v>33048</v>
      </c>
      <c r="F131" s="26">
        <v>44109</v>
      </c>
      <c r="H131" t="s">
        <v>40</v>
      </c>
      <c r="I131" t="s">
        <v>54</v>
      </c>
      <c r="J131" t="s">
        <v>64</v>
      </c>
      <c r="K131" t="s">
        <v>43</v>
      </c>
      <c r="L131" s="27" t="s">
        <v>121</v>
      </c>
      <c r="M131" t="s">
        <v>46</v>
      </c>
      <c r="N131" t="s">
        <v>111</v>
      </c>
      <c r="O131" t="s">
        <v>71</v>
      </c>
      <c r="P131" t="s">
        <v>111</v>
      </c>
      <c r="Q131" t="s">
        <v>468</v>
      </c>
      <c r="R131">
        <v>5</v>
      </c>
      <c r="S131" s="1">
        <v>250000</v>
      </c>
      <c r="T131" s="1">
        <f ca="1">ROUND(T_EMPLOYEES[[#This Row],[EMP_CTC1]]/12, 0)</f>
        <v>20833</v>
      </c>
      <c r="U131" s="1">
        <v>150000</v>
      </c>
      <c r="V131" s="1" t="s">
        <v>207</v>
      </c>
      <c r="W131" s="1" t="s">
        <v>207</v>
      </c>
      <c r="X13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Swikruti  Mahapatra (1023926)</v>
      </c>
      <c r="Y131">
        <v>60000</v>
      </c>
      <c r="Z131" s="29">
        <f t="shared" ca="1" si="2"/>
        <v>40</v>
      </c>
      <c r="AA131">
        <f ca="1">IF(T_EMPLOYEES[[#This Row],[EMPLOYEE NUMBER]]="","",ROW(T_EMPLOYEES[[#This Row],[EMPLOYEE LABEL]])-ROW(T_EMPLOYEES[[#Headers],[EMPLOYEE LABEL]]))</f>
        <v>128</v>
      </c>
      <c r="AB131">
        <f ca="1">IF(T_EMPLOYEES[[#This Row],[EMPLOYEE NUMBER]]="","",IF(COUNTIF(T_EMPLOYEES[EMPLOYEE NUMBER],T_EMPLOYEES[[#This Row],[EMPLOYEE NUMBER]])&gt;1,1,0))</f>
        <v>0</v>
      </c>
      <c r="AC131">
        <f ca="1">IF(T_EMPLOYEES[[#This Row],[EMPLOYEE NUMBER]]="","",IF(AND(T_EMPLOYEES[[#This Row],[DATE OF BIRTH]]&gt;0,T_EMPLOYEES[[#This Row],[DATE OF BIRTH]]&lt;TODAY()),0,1))</f>
        <v>0</v>
      </c>
      <c r="AD131">
        <f ca="1">IF(T_EMPLOYEES[[#This Row],[EMPLOYEE NUMBER]]="","",IF(AND(T_EMPLOYEES[[#This Row],[START DATE]]&gt;0,T_EMPLOYEES[[#This Row],[START DATE]]&lt;TODAY()+60),0,1))</f>
        <v>0</v>
      </c>
      <c r="AE131">
        <f ca="1">IF(T_EMPLOYEES[[#This Row],[EMPLOYEE NUMBER]]="","",MATCH(T_EMPLOYEES[[#This Row],[GENDER]],L_GENDER,0))</f>
        <v>2</v>
      </c>
      <c r="AF131">
        <f ca="1">IF(T_EMPLOYEES[[#This Row],[EMPLOYEE NUMBER]]="","",MATCH(T_EMPLOYEES[[#This Row],[HIRE SOURCE]],L_HIRESOURCE,0))</f>
        <v>4</v>
      </c>
      <c r="AG131">
        <f ca="1">IF(T_EMPLOYEES[[#This Row],[EMPLOYEE NUMBER]]="","",MATCH(T_EMPLOYEES[[#This Row],[ETHNICITY]],L_ETHNICITY,0))</f>
        <v>3</v>
      </c>
      <c r="AH131">
        <f ca="1">IF(T_EMPLOYEES[[#This Row],[EMPLOYEE NUMBER]]="","",MATCH(T_EMPLOYEES[[#This Row],[LOCATION]],L_LOCATION,0))</f>
        <v>2</v>
      </c>
      <c r="AI131">
        <f ca="1">IF(T_EMPLOYEES[[#This Row],[EMPLOYEE NUMBER]]="","",MATCH(T_EMPLOYEES[[#This Row],[DEPARTMENT]],L_DEPARTMENT,0))</f>
        <v>13</v>
      </c>
      <c r="AJ131">
        <f ca="1">IF(T_EMPLOYEES[[#This Row],[EMPLOYEE NUMBER]]="","",MATCH(T_EMPLOYEES[[#This Row],[JOB TYPE]],L_JOBTYPE,0))</f>
        <v>2</v>
      </c>
      <c r="AK131">
        <f ca="1">IF(T_EMPLOYEES[[#This Row],[EMPLOYEE NUMBER]]="","",MATCH(T_EMPLOYEES[[#This Row],[JOB CATEGORY]],L_JOBCATEGORY,0))</f>
        <v>10</v>
      </c>
      <c r="AL131">
        <f ca="1">IF(T_EMPLOYEES[[#This Row],[EMPLOYEE NUMBER]]="","",MATCH(T_EMPLOYEES[[#This Row],[JOB LEVEL]],L_JOBLEVEL,0))</f>
        <v>4</v>
      </c>
      <c r="AM131">
        <f ca="1">IF(T_EMPLOYEES[[#This Row],[EMPLOYEE NUMBER]]="","",MATCH(T_EMPLOYEES[[#This Row],[JOB TITLE]],L_JOBTITLE,0))</f>
        <v>10</v>
      </c>
      <c r="AN131">
        <f ca="1">IF(T_EMPLOYEES[[#This Row],[EMPLOYEE NUMBER]]="","",MATCH(T_EMPLOYEES[[#This Row],[MANAGER]],L_EMPLABELS,0))</f>
        <v>56</v>
      </c>
      <c r="AO131">
        <f ca="1">IF(T_EMPLOYEES[[#This Row],[EMPLOYEE NUMBER]]="","",IF(T_EMPLOYEES[[#This Row],[ERROR]]="",0,1))</f>
        <v>0</v>
      </c>
      <c r="AP13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2" spans="1:45">
      <c r="A132" t="s">
        <v>593</v>
      </c>
      <c r="B132" t="s">
        <v>594</v>
      </c>
      <c r="C132">
        <v>1031871</v>
      </c>
      <c r="D132" t="s">
        <v>595</v>
      </c>
      <c r="E132" s="26">
        <v>32014</v>
      </c>
      <c r="F132" s="26">
        <v>44914</v>
      </c>
      <c r="H132" t="s">
        <v>40</v>
      </c>
      <c r="I132" t="s">
        <v>54</v>
      </c>
      <c r="J132" t="s">
        <v>64</v>
      </c>
      <c r="K132" t="s">
        <v>30</v>
      </c>
      <c r="L132" s="27" t="s">
        <v>45</v>
      </c>
      <c r="M132" t="s">
        <v>46</v>
      </c>
      <c r="N132" t="s">
        <v>148</v>
      </c>
      <c r="O132" t="s">
        <v>48</v>
      </c>
      <c r="P132" t="s">
        <v>148</v>
      </c>
      <c r="Q132" t="s">
        <v>377</v>
      </c>
      <c r="R132" s="27">
        <v>3</v>
      </c>
      <c r="S132" s="1">
        <v>250000</v>
      </c>
      <c r="T132" s="1">
        <f ca="1">ROUND(T_EMPLOYEES[[#This Row],[EMP_CTC1]]/12, 0)</f>
        <v>20833</v>
      </c>
      <c r="U132" s="1">
        <v>150000</v>
      </c>
      <c r="V132" s="1" t="s">
        <v>207</v>
      </c>
      <c r="W132" s="1" t="s">
        <v>207</v>
      </c>
      <c r="X13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Teenu Sharma (1031871)</v>
      </c>
      <c r="Y132">
        <v>60000</v>
      </c>
      <c r="Z132" s="29">
        <f t="shared" ca="1" si="2"/>
        <v>40</v>
      </c>
      <c r="AA132">
        <f ca="1">IF(T_EMPLOYEES[[#This Row],[EMPLOYEE NUMBER]]="","",ROW(T_EMPLOYEES[[#This Row],[EMPLOYEE LABEL]])-ROW(T_EMPLOYEES[[#Headers],[EMPLOYEE LABEL]]))</f>
        <v>129</v>
      </c>
      <c r="AB132">
        <f ca="1">IF(T_EMPLOYEES[[#This Row],[EMPLOYEE NUMBER]]="","",IF(COUNTIF(T_EMPLOYEES[EMPLOYEE NUMBER],T_EMPLOYEES[[#This Row],[EMPLOYEE NUMBER]])&gt;1,1,0))</f>
        <v>0</v>
      </c>
      <c r="AC132">
        <f ca="1">IF(T_EMPLOYEES[[#This Row],[EMPLOYEE NUMBER]]="","",IF(AND(T_EMPLOYEES[[#This Row],[DATE OF BIRTH]]&gt;0,T_EMPLOYEES[[#This Row],[DATE OF BIRTH]]&lt;TODAY()),0,1))</f>
        <v>0</v>
      </c>
      <c r="AD132">
        <f ca="1">IF(T_EMPLOYEES[[#This Row],[EMPLOYEE NUMBER]]="","",IF(AND(T_EMPLOYEES[[#This Row],[START DATE]]&gt;0,T_EMPLOYEES[[#This Row],[START DATE]]&lt;TODAY()+60),0,1))</f>
        <v>0</v>
      </c>
      <c r="AE132">
        <f ca="1">IF(T_EMPLOYEES[[#This Row],[EMPLOYEE NUMBER]]="","",MATCH(T_EMPLOYEES[[#This Row],[GENDER]],L_GENDER,0))</f>
        <v>2</v>
      </c>
      <c r="AF132">
        <f ca="1">IF(T_EMPLOYEES[[#This Row],[EMPLOYEE NUMBER]]="","",MATCH(T_EMPLOYEES[[#This Row],[HIRE SOURCE]],L_HIRESOURCE,0))</f>
        <v>4</v>
      </c>
      <c r="AG132">
        <f ca="1">IF(T_EMPLOYEES[[#This Row],[EMPLOYEE NUMBER]]="","",MATCH(T_EMPLOYEES[[#This Row],[ETHNICITY]],L_ETHNICITY,0))</f>
        <v>3</v>
      </c>
      <c r="AH132">
        <f ca="1">IF(T_EMPLOYEES[[#This Row],[EMPLOYEE NUMBER]]="","",MATCH(T_EMPLOYEES[[#This Row],[LOCATION]],L_LOCATION,0))</f>
        <v>1</v>
      </c>
      <c r="AI132">
        <f ca="1">IF(T_EMPLOYEES[[#This Row],[EMPLOYEE NUMBER]]="","",MATCH(T_EMPLOYEES[[#This Row],[DEPARTMENT]],L_DEPARTMENT,0))</f>
        <v>2</v>
      </c>
      <c r="AJ132">
        <f ca="1">IF(T_EMPLOYEES[[#This Row],[EMPLOYEE NUMBER]]="","",MATCH(T_EMPLOYEES[[#This Row],[JOB TYPE]],L_JOBTYPE,0))</f>
        <v>2</v>
      </c>
      <c r="AK132">
        <f ca="1">IF(T_EMPLOYEES[[#This Row],[EMPLOYEE NUMBER]]="","",MATCH(T_EMPLOYEES[[#This Row],[JOB CATEGORY]],L_JOBCATEGORY,0))</f>
        <v>27</v>
      </c>
      <c r="AL132">
        <f ca="1">IF(T_EMPLOYEES[[#This Row],[EMPLOYEE NUMBER]]="","",MATCH(T_EMPLOYEES[[#This Row],[JOB LEVEL]],L_JOBLEVEL,0))</f>
        <v>2</v>
      </c>
      <c r="AM132">
        <f ca="1">IF(T_EMPLOYEES[[#This Row],[EMPLOYEE NUMBER]]="","",MATCH(T_EMPLOYEES[[#This Row],[JOB TITLE]],L_JOBTITLE,0))</f>
        <v>27</v>
      </c>
      <c r="AN132">
        <f ca="1">IF(T_EMPLOYEES[[#This Row],[EMPLOYEE NUMBER]]="","",MATCH(T_EMPLOYEES[[#This Row],[MANAGER]],L_EMPLABELS,0))</f>
        <v>64</v>
      </c>
      <c r="AO132">
        <f ca="1">IF(T_EMPLOYEES[[#This Row],[EMPLOYEE NUMBER]]="","",IF(T_EMPLOYEES[[#This Row],[ERROR]]="",0,1))</f>
        <v>0</v>
      </c>
      <c r="AP13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3" spans="1:45">
      <c r="A133" t="s">
        <v>596</v>
      </c>
      <c r="B133" t="s">
        <v>597</v>
      </c>
      <c r="C133">
        <v>1023387</v>
      </c>
      <c r="D133" t="s">
        <v>598</v>
      </c>
      <c r="E133" s="26">
        <v>32025</v>
      </c>
      <c r="F133" s="26">
        <v>44001</v>
      </c>
      <c r="H133" t="s">
        <v>27</v>
      </c>
      <c r="I133" t="s">
        <v>54</v>
      </c>
      <c r="J133" t="s">
        <v>64</v>
      </c>
      <c r="K133" t="s">
        <v>43</v>
      </c>
      <c r="L133" s="27" t="s">
        <v>45</v>
      </c>
      <c r="M133" t="s">
        <v>46</v>
      </c>
      <c r="N133" t="s">
        <v>119</v>
      </c>
      <c r="O133" t="s">
        <v>82</v>
      </c>
      <c r="P133" t="s">
        <v>119</v>
      </c>
      <c r="Q133" t="s">
        <v>246</v>
      </c>
      <c r="R133">
        <v>7</v>
      </c>
      <c r="S133" s="1">
        <v>250000</v>
      </c>
      <c r="T133" s="1">
        <f ca="1">ROUND(T_EMPLOYEES[[#This Row],[EMP_CTC1]]/12, 0)</f>
        <v>20833</v>
      </c>
      <c r="U133" s="1">
        <v>150000</v>
      </c>
      <c r="V133" s="1" t="s">
        <v>207</v>
      </c>
      <c r="W133" s="1" t="s">
        <v>207</v>
      </c>
      <c r="X13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Vinayak  Tatuskar (1023387)</v>
      </c>
      <c r="Y133">
        <v>60000</v>
      </c>
      <c r="Z133" s="29">
        <f t="shared" ca="1" si="2"/>
        <v>40</v>
      </c>
      <c r="AA133">
        <f ca="1">IF(T_EMPLOYEES[[#This Row],[EMPLOYEE NUMBER]]="","",ROW(T_EMPLOYEES[[#This Row],[EMPLOYEE LABEL]])-ROW(T_EMPLOYEES[[#Headers],[EMPLOYEE LABEL]]))</f>
        <v>130</v>
      </c>
      <c r="AB133">
        <f ca="1">IF(T_EMPLOYEES[[#This Row],[EMPLOYEE NUMBER]]="","",IF(COUNTIF(T_EMPLOYEES[EMPLOYEE NUMBER],T_EMPLOYEES[[#This Row],[EMPLOYEE NUMBER]])&gt;1,1,0))</f>
        <v>0</v>
      </c>
      <c r="AC133">
        <f ca="1">IF(T_EMPLOYEES[[#This Row],[EMPLOYEE NUMBER]]="","",IF(AND(T_EMPLOYEES[[#This Row],[DATE OF BIRTH]]&gt;0,T_EMPLOYEES[[#This Row],[DATE OF BIRTH]]&lt;TODAY()),0,1))</f>
        <v>0</v>
      </c>
      <c r="AD133">
        <f ca="1">IF(T_EMPLOYEES[[#This Row],[EMPLOYEE NUMBER]]="","",IF(AND(T_EMPLOYEES[[#This Row],[START DATE]]&gt;0,T_EMPLOYEES[[#This Row],[START DATE]]&lt;TODAY()+60),0,1))</f>
        <v>0</v>
      </c>
      <c r="AE133">
        <f ca="1">IF(T_EMPLOYEES[[#This Row],[EMPLOYEE NUMBER]]="","",MATCH(T_EMPLOYEES[[#This Row],[GENDER]],L_GENDER,0))</f>
        <v>1</v>
      </c>
      <c r="AF133">
        <f ca="1">IF(T_EMPLOYEES[[#This Row],[EMPLOYEE NUMBER]]="","",MATCH(T_EMPLOYEES[[#This Row],[HIRE SOURCE]],L_HIRESOURCE,0))</f>
        <v>4</v>
      </c>
      <c r="AG133">
        <f ca="1">IF(T_EMPLOYEES[[#This Row],[EMPLOYEE NUMBER]]="","",MATCH(T_EMPLOYEES[[#This Row],[ETHNICITY]],L_ETHNICITY,0))</f>
        <v>3</v>
      </c>
      <c r="AH133">
        <f ca="1">IF(T_EMPLOYEES[[#This Row],[EMPLOYEE NUMBER]]="","",MATCH(T_EMPLOYEES[[#This Row],[LOCATION]],L_LOCATION,0))</f>
        <v>2</v>
      </c>
      <c r="AI133">
        <f ca="1">IF(T_EMPLOYEES[[#This Row],[EMPLOYEE NUMBER]]="","",MATCH(T_EMPLOYEES[[#This Row],[DEPARTMENT]],L_DEPARTMENT,0))</f>
        <v>2</v>
      </c>
      <c r="AJ133">
        <f ca="1">IF(T_EMPLOYEES[[#This Row],[EMPLOYEE NUMBER]]="","",MATCH(T_EMPLOYEES[[#This Row],[JOB TYPE]],L_JOBTYPE,0))</f>
        <v>2</v>
      </c>
      <c r="AK133">
        <f ca="1">IF(T_EMPLOYEES[[#This Row],[EMPLOYEE NUMBER]]="","",MATCH(T_EMPLOYEES[[#This Row],[JOB CATEGORY]],L_JOBCATEGORY,0))</f>
        <v>12</v>
      </c>
      <c r="AL133">
        <f ca="1">IF(T_EMPLOYEES[[#This Row],[EMPLOYEE NUMBER]]="","",MATCH(T_EMPLOYEES[[#This Row],[JOB LEVEL]],L_JOBLEVEL,0))</f>
        <v>5</v>
      </c>
      <c r="AM133">
        <f ca="1">IF(T_EMPLOYEES[[#This Row],[EMPLOYEE NUMBER]]="","",MATCH(T_EMPLOYEES[[#This Row],[JOB TITLE]],L_JOBTITLE,0))</f>
        <v>12</v>
      </c>
      <c r="AN133">
        <f ca="1">IF(T_EMPLOYEES[[#This Row],[EMPLOYEE NUMBER]]="","",MATCH(T_EMPLOYEES[[#This Row],[MANAGER]],L_EMPLABELS,0))</f>
        <v>68</v>
      </c>
      <c r="AO133">
        <f ca="1">IF(T_EMPLOYEES[[#This Row],[EMPLOYEE NUMBER]]="","",IF(T_EMPLOYEES[[#This Row],[ERROR]]="",0,1))</f>
        <v>0</v>
      </c>
      <c r="AP13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4" spans="1:45">
      <c r="A134" t="s">
        <v>599</v>
      </c>
      <c r="B134" t="s">
        <v>600</v>
      </c>
      <c r="C134">
        <v>1029753</v>
      </c>
      <c r="D134" t="s">
        <v>601</v>
      </c>
      <c r="E134" s="26">
        <v>32040</v>
      </c>
      <c r="F134" s="26">
        <v>44781</v>
      </c>
      <c r="H134" t="s">
        <v>40</v>
      </c>
      <c r="I134" t="s">
        <v>54</v>
      </c>
      <c r="J134" t="s">
        <v>64</v>
      </c>
      <c r="K134" t="s">
        <v>30</v>
      </c>
      <c r="L134" s="27" t="s">
        <v>45</v>
      </c>
      <c r="M134" t="s">
        <v>46</v>
      </c>
      <c r="N134" t="s">
        <v>128</v>
      </c>
      <c r="O134" t="s">
        <v>60</v>
      </c>
      <c r="P134" t="s">
        <v>128</v>
      </c>
      <c r="Q134" t="s">
        <v>315</v>
      </c>
      <c r="R134" s="27">
        <v>3</v>
      </c>
      <c r="S134" s="1">
        <v>250000</v>
      </c>
      <c r="T134" s="1">
        <f ca="1">ROUND(T_EMPLOYEES[[#This Row],[EMP_CTC1]]/12, 0)</f>
        <v>20833</v>
      </c>
      <c r="U134" s="1">
        <v>150000</v>
      </c>
      <c r="V134" s="1" t="s">
        <v>207</v>
      </c>
      <c r="W134" s="1" t="s">
        <v>207</v>
      </c>
      <c r="X13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Sony Xavier (1029753)</v>
      </c>
      <c r="Y134">
        <v>60000</v>
      </c>
      <c r="Z134" s="29">
        <f t="shared" ref="Z134:Z197" ca="1" si="3">(S134 - U134)/S134 * 100</f>
        <v>40</v>
      </c>
      <c r="AA134">
        <f ca="1">IF(T_EMPLOYEES[[#This Row],[EMPLOYEE NUMBER]]="","",ROW(T_EMPLOYEES[[#This Row],[EMPLOYEE LABEL]])-ROW(T_EMPLOYEES[[#Headers],[EMPLOYEE LABEL]]))</f>
        <v>131</v>
      </c>
      <c r="AB134">
        <f ca="1">IF(T_EMPLOYEES[[#This Row],[EMPLOYEE NUMBER]]="","",IF(COUNTIF(T_EMPLOYEES[EMPLOYEE NUMBER],T_EMPLOYEES[[#This Row],[EMPLOYEE NUMBER]])&gt;1,1,0))</f>
        <v>0</v>
      </c>
      <c r="AC134">
        <f ca="1">IF(T_EMPLOYEES[[#This Row],[EMPLOYEE NUMBER]]="","",IF(AND(T_EMPLOYEES[[#This Row],[DATE OF BIRTH]]&gt;0,T_EMPLOYEES[[#This Row],[DATE OF BIRTH]]&lt;TODAY()),0,1))</f>
        <v>0</v>
      </c>
      <c r="AD134">
        <f ca="1">IF(T_EMPLOYEES[[#This Row],[EMPLOYEE NUMBER]]="","",IF(AND(T_EMPLOYEES[[#This Row],[START DATE]]&gt;0,T_EMPLOYEES[[#This Row],[START DATE]]&lt;TODAY()+60),0,1))</f>
        <v>0</v>
      </c>
      <c r="AE134">
        <f ca="1">IF(T_EMPLOYEES[[#This Row],[EMPLOYEE NUMBER]]="","",MATCH(T_EMPLOYEES[[#This Row],[GENDER]],L_GENDER,0))</f>
        <v>2</v>
      </c>
      <c r="AF134">
        <f ca="1">IF(T_EMPLOYEES[[#This Row],[EMPLOYEE NUMBER]]="","",MATCH(T_EMPLOYEES[[#This Row],[HIRE SOURCE]],L_HIRESOURCE,0))</f>
        <v>4</v>
      </c>
      <c r="AG134">
        <f ca="1">IF(T_EMPLOYEES[[#This Row],[EMPLOYEE NUMBER]]="","",MATCH(T_EMPLOYEES[[#This Row],[ETHNICITY]],L_ETHNICITY,0))</f>
        <v>3</v>
      </c>
      <c r="AH134">
        <f ca="1">IF(T_EMPLOYEES[[#This Row],[EMPLOYEE NUMBER]]="","",MATCH(T_EMPLOYEES[[#This Row],[LOCATION]],L_LOCATION,0))</f>
        <v>1</v>
      </c>
      <c r="AI134">
        <f ca="1">IF(T_EMPLOYEES[[#This Row],[EMPLOYEE NUMBER]]="","",MATCH(T_EMPLOYEES[[#This Row],[DEPARTMENT]],L_DEPARTMENT,0))</f>
        <v>2</v>
      </c>
      <c r="AJ134">
        <f ca="1">IF(T_EMPLOYEES[[#This Row],[EMPLOYEE NUMBER]]="","",MATCH(T_EMPLOYEES[[#This Row],[JOB TYPE]],L_JOBTYPE,0))</f>
        <v>2</v>
      </c>
      <c r="AK134">
        <f ca="1">IF(T_EMPLOYEES[[#This Row],[EMPLOYEE NUMBER]]="","",MATCH(T_EMPLOYEES[[#This Row],[JOB CATEGORY]],L_JOBCATEGORY,0))</f>
        <v>15</v>
      </c>
      <c r="AL134">
        <f ca="1">IF(T_EMPLOYEES[[#This Row],[EMPLOYEE NUMBER]]="","",MATCH(T_EMPLOYEES[[#This Row],[JOB LEVEL]],L_JOBLEVEL,0))</f>
        <v>3</v>
      </c>
      <c r="AM134">
        <f ca="1">IF(T_EMPLOYEES[[#This Row],[EMPLOYEE NUMBER]]="","",MATCH(T_EMPLOYEES[[#This Row],[JOB TITLE]],L_JOBTITLE,0))</f>
        <v>15</v>
      </c>
      <c r="AN134">
        <f ca="1">IF(T_EMPLOYEES[[#This Row],[EMPLOYEE NUMBER]]="","",MATCH(T_EMPLOYEES[[#This Row],[MANAGER]],L_EMPLABELS,0))</f>
        <v>179</v>
      </c>
      <c r="AO134">
        <f ca="1">IF(T_EMPLOYEES[[#This Row],[EMPLOYEE NUMBER]]="","",IF(T_EMPLOYEES[[#This Row],[ERROR]]="",0,1))</f>
        <v>0</v>
      </c>
      <c r="AP13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5" spans="1:45">
      <c r="A135" t="s">
        <v>602</v>
      </c>
      <c r="B135" t="s">
        <v>603</v>
      </c>
      <c r="C135">
        <v>1025863</v>
      </c>
      <c r="D135" t="s">
        <v>604</v>
      </c>
      <c r="E135" s="26">
        <v>32064</v>
      </c>
      <c r="F135" s="26">
        <v>44396</v>
      </c>
      <c r="H135" t="s">
        <v>27</v>
      </c>
      <c r="I135" t="s">
        <v>54</v>
      </c>
      <c r="J135" t="s">
        <v>64</v>
      </c>
      <c r="K135" t="s">
        <v>30</v>
      </c>
      <c r="L135" s="27" t="s">
        <v>45</v>
      </c>
      <c r="M135" t="s">
        <v>46</v>
      </c>
      <c r="N135" t="s">
        <v>81</v>
      </c>
      <c r="O135" t="s">
        <v>82</v>
      </c>
      <c r="P135" t="s">
        <v>81</v>
      </c>
      <c r="Q135" t="s">
        <v>373</v>
      </c>
      <c r="R135">
        <v>7</v>
      </c>
      <c r="S135" s="1">
        <v>250000</v>
      </c>
      <c r="T135" s="1">
        <f ca="1">ROUND(T_EMPLOYEES[[#This Row],[EMP_CTC1]]/12, 0)</f>
        <v>20833</v>
      </c>
      <c r="U135" s="1">
        <v>150000</v>
      </c>
      <c r="V135" s="1" t="s">
        <v>207</v>
      </c>
      <c r="W135" s="1" t="s">
        <v>207</v>
      </c>
      <c r="X13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Sunny Bhattacharjee (1025863)</v>
      </c>
      <c r="Y135">
        <v>60000</v>
      </c>
      <c r="Z135" s="29">
        <f t="shared" ca="1" si="3"/>
        <v>40</v>
      </c>
      <c r="AA135">
        <f ca="1">IF(T_EMPLOYEES[[#This Row],[EMPLOYEE NUMBER]]="","",ROW(T_EMPLOYEES[[#This Row],[EMPLOYEE LABEL]])-ROW(T_EMPLOYEES[[#Headers],[EMPLOYEE LABEL]]))</f>
        <v>132</v>
      </c>
      <c r="AB135">
        <f ca="1">IF(T_EMPLOYEES[[#This Row],[EMPLOYEE NUMBER]]="","",IF(COUNTIF(T_EMPLOYEES[EMPLOYEE NUMBER],T_EMPLOYEES[[#This Row],[EMPLOYEE NUMBER]])&gt;1,1,0))</f>
        <v>0</v>
      </c>
      <c r="AC135">
        <f ca="1">IF(T_EMPLOYEES[[#This Row],[EMPLOYEE NUMBER]]="","",IF(AND(T_EMPLOYEES[[#This Row],[DATE OF BIRTH]]&gt;0,T_EMPLOYEES[[#This Row],[DATE OF BIRTH]]&lt;TODAY()),0,1))</f>
        <v>0</v>
      </c>
      <c r="AD135">
        <f ca="1">IF(T_EMPLOYEES[[#This Row],[EMPLOYEE NUMBER]]="","",IF(AND(T_EMPLOYEES[[#This Row],[START DATE]]&gt;0,T_EMPLOYEES[[#This Row],[START DATE]]&lt;TODAY()+60),0,1))</f>
        <v>0</v>
      </c>
      <c r="AE135">
        <f ca="1">IF(T_EMPLOYEES[[#This Row],[EMPLOYEE NUMBER]]="","",MATCH(T_EMPLOYEES[[#This Row],[GENDER]],L_GENDER,0))</f>
        <v>1</v>
      </c>
      <c r="AF135">
        <f ca="1">IF(T_EMPLOYEES[[#This Row],[EMPLOYEE NUMBER]]="","",MATCH(T_EMPLOYEES[[#This Row],[HIRE SOURCE]],L_HIRESOURCE,0))</f>
        <v>4</v>
      </c>
      <c r="AG135">
        <f ca="1">IF(T_EMPLOYEES[[#This Row],[EMPLOYEE NUMBER]]="","",MATCH(T_EMPLOYEES[[#This Row],[ETHNICITY]],L_ETHNICITY,0))</f>
        <v>3</v>
      </c>
      <c r="AH135">
        <f ca="1">IF(T_EMPLOYEES[[#This Row],[EMPLOYEE NUMBER]]="","",MATCH(T_EMPLOYEES[[#This Row],[LOCATION]],L_LOCATION,0))</f>
        <v>1</v>
      </c>
      <c r="AI135">
        <f ca="1">IF(T_EMPLOYEES[[#This Row],[EMPLOYEE NUMBER]]="","",MATCH(T_EMPLOYEES[[#This Row],[DEPARTMENT]],L_DEPARTMENT,0))</f>
        <v>2</v>
      </c>
      <c r="AJ135">
        <f ca="1">IF(T_EMPLOYEES[[#This Row],[EMPLOYEE NUMBER]]="","",MATCH(T_EMPLOYEES[[#This Row],[JOB TYPE]],L_JOBTYPE,0))</f>
        <v>2</v>
      </c>
      <c r="AK135">
        <f ca="1">IF(T_EMPLOYEES[[#This Row],[EMPLOYEE NUMBER]]="","",MATCH(T_EMPLOYEES[[#This Row],[JOB CATEGORY]],L_JOBCATEGORY,0))</f>
        <v>5</v>
      </c>
      <c r="AL135">
        <f ca="1">IF(T_EMPLOYEES[[#This Row],[EMPLOYEE NUMBER]]="","",MATCH(T_EMPLOYEES[[#This Row],[JOB LEVEL]],L_JOBLEVEL,0))</f>
        <v>5</v>
      </c>
      <c r="AM135">
        <f ca="1">IF(T_EMPLOYEES[[#This Row],[EMPLOYEE NUMBER]]="","",MATCH(T_EMPLOYEES[[#This Row],[JOB TITLE]],L_JOBTITLE,0))</f>
        <v>5</v>
      </c>
      <c r="AN135">
        <f ca="1">IF(T_EMPLOYEES[[#This Row],[EMPLOYEE NUMBER]]="","",MATCH(T_EMPLOYEES[[#This Row],[MANAGER]],L_EMPLABELS,0))</f>
        <v>9</v>
      </c>
      <c r="AO135">
        <f ca="1">IF(T_EMPLOYEES[[#This Row],[EMPLOYEE NUMBER]]="","",IF(T_EMPLOYEES[[#This Row],[ERROR]]="",0,1))</f>
        <v>0</v>
      </c>
      <c r="AP13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6" spans="1:45">
      <c r="A136" t="s">
        <v>605</v>
      </c>
      <c r="B136" t="s">
        <v>606</v>
      </c>
      <c r="C136">
        <v>1033465</v>
      </c>
      <c r="D136" t="s">
        <v>607</v>
      </c>
      <c r="E136" s="26">
        <v>32140</v>
      </c>
      <c r="F136" s="26">
        <v>45170</v>
      </c>
      <c r="H136" t="s">
        <v>40</v>
      </c>
      <c r="I136" t="s">
        <v>54</v>
      </c>
      <c r="J136" t="s">
        <v>64</v>
      </c>
      <c r="K136" t="s">
        <v>30</v>
      </c>
      <c r="L136" s="27" t="s">
        <v>45</v>
      </c>
      <c r="M136" t="s">
        <v>46</v>
      </c>
      <c r="N136" t="s">
        <v>111</v>
      </c>
      <c r="O136" t="s">
        <v>71</v>
      </c>
      <c r="P136" t="s">
        <v>111</v>
      </c>
      <c r="Q136" t="s">
        <v>608</v>
      </c>
      <c r="R136" s="27">
        <v>5</v>
      </c>
      <c r="S136" s="1">
        <v>250000</v>
      </c>
      <c r="T136" s="1">
        <f ca="1">ROUND(T_EMPLOYEES[[#This Row],[EMP_CTC1]]/12, 0)</f>
        <v>20833</v>
      </c>
      <c r="U136" s="1">
        <v>150000</v>
      </c>
      <c r="V136" s="1" t="s">
        <v>207</v>
      </c>
      <c r="W136" s="1" t="s">
        <v>207</v>
      </c>
      <c r="X13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Sandhya Abbadasuri (1033465)</v>
      </c>
      <c r="Y136">
        <v>60000</v>
      </c>
      <c r="Z136" s="29">
        <f t="shared" ca="1" si="3"/>
        <v>40</v>
      </c>
      <c r="AA136">
        <f ca="1">IF(T_EMPLOYEES[[#This Row],[EMPLOYEE NUMBER]]="","",ROW(T_EMPLOYEES[[#This Row],[EMPLOYEE LABEL]])-ROW(T_EMPLOYEES[[#Headers],[EMPLOYEE LABEL]]))</f>
        <v>133</v>
      </c>
      <c r="AB136">
        <f ca="1">IF(T_EMPLOYEES[[#This Row],[EMPLOYEE NUMBER]]="","",IF(COUNTIF(T_EMPLOYEES[EMPLOYEE NUMBER],T_EMPLOYEES[[#This Row],[EMPLOYEE NUMBER]])&gt;1,1,0))</f>
        <v>0</v>
      </c>
      <c r="AC136">
        <f ca="1">IF(T_EMPLOYEES[[#This Row],[EMPLOYEE NUMBER]]="","",IF(AND(T_EMPLOYEES[[#This Row],[DATE OF BIRTH]]&gt;0,T_EMPLOYEES[[#This Row],[DATE OF BIRTH]]&lt;TODAY()),0,1))</f>
        <v>0</v>
      </c>
      <c r="AD136">
        <f ca="1">IF(T_EMPLOYEES[[#This Row],[EMPLOYEE NUMBER]]="","",IF(AND(T_EMPLOYEES[[#This Row],[START DATE]]&gt;0,T_EMPLOYEES[[#This Row],[START DATE]]&lt;TODAY()+60),0,1))</f>
        <v>0</v>
      </c>
      <c r="AE136">
        <f ca="1">IF(T_EMPLOYEES[[#This Row],[EMPLOYEE NUMBER]]="","",MATCH(T_EMPLOYEES[[#This Row],[GENDER]],L_GENDER,0))</f>
        <v>2</v>
      </c>
      <c r="AF136">
        <f ca="1">IF(T_EMPLOYEES[[#This Row],[EMPLOYEE NUMBER]]="","",MATCH(T_EMPLOYEES[[#This Row],[HIRE SOURCE]],L_HIRESOURCE,0))</f>
        <v>4</v>
      </c>
      <c r="AG136">
        <f ca="1">IF(T_EMPLOYEES[[#This Row],[EMPLOYEE NUMBER]]="","",MATCH(T_EMPLOYEES[[#This Row],[ETHNICITY]],L_ETHNICITY,0))</f>
        <v>3</v>
      </c>
      <c r="AH136">
        <f ca="1">IF(T_EMPLOYEES[[#This Row],[EMPLOYEE NUMBER]]="","",MATCH(T_EMPLOYEES[[#This Row],[LOCATION]],L_LOCATION,0))</f>
        <v>1</v>
      </c>
      <c r="AI136">
        <f ca="1">IF(T_EMPLOYEES[[#This Row],[EMPLOYEE NUMBER]]="","",MATCH(T_EMPLOYEES[[#This Row],[DEPARTMENT]],L_DEPARTMENT,0))</f>
        <v>2</v>
      </c>
      <c r="AJ136">
        <f ca="1">IF(T_EMPLOYEES[[#This Row],[EMPLOYEE NUMBER]]="","",MATCH(T_EMPLOYEES[[#This Row],[JOB TYPE]],L_JOBTYPE,0))</f>
        <v>2</v>
      </c>
      <c r="AK136">
        <f ca="1">IF(T_EMPLOYEES[[#This Row],[EMPLOYEE NUMBER]]="","",MATCH(T_EMPLOYEES[[#This Row],[JOB CATEGORY]],L_JOBCATEGORY,0))</f>
        <v>10</v>
      </c>
      <c r="AL136">
        <f ca="1">IF(T_EMPLOYEES[[#This Row],[EMPLOYEE NUMBER]]="","",MATCH(T_EMPLOYEES[[#This Row],[JOB LEVEL]],L_JOBLEVEL,0))</f>
        <v>4</v>
      </c>
      <c r="AM136">
        <f ca="1">IF(T_EMPLOYEES[[#This Row],[EMPLOYEE NUMBER]]="","",MATCH(T_EMPLOYEES[[#This Row],[JOB TITLE]],L_JOBTITLE,0))</f>
        <v>10</v>
      </c>
      <c r="AN136">
        <f ca="1">IF(T_EMPLOYEES[[#This Row],[EMPLOYEE NUMBER]]="","",MATCH(T_EMPLOYEES[[#This Row],[MANAGER]],L_EMPLABELS,0))</f>
        <v>105</v>
      </c>
      <c r="AO136">
        <f ca="1">IF(T_EMPLOYEES[[#This Row],[EMPLOYEE NUMBER]]="","",IF(T_EMPLOYEES[[#This Row],[ERROR]]="",0,1))</f>
        <v>0</v>
      </c>
      <c r="AP13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7" spans="1:45">
      <c r="A137" t="s">
        <v>609</v>
      </c>
      <c r="B137" t="s">
        <v>610</v>
      </c>
      <c r="C137">
        <v>1025116</v>
      </c>
      <c r="D137" t="s">
        <v>611</v>
      </c>
      <c r="E137" s="26">
        <v>32203</v>
      </c>
      <c r="F137" s="26">
        <v>44308</v>
      </c>
      <c r="H137" t="s">
        <v>27</v>
      </c>
      <c r="I137" t="s">
        <v>54</v>
      </c>
      <c r="J137" t="s">
        <v>64</v>
      </c>
      <c r="K137" t="s">
        <v>30</v>
      </c>
      <c r="L137" s="27" t="s">
        <v>114</v>
      </c>
      <c r="M137" t="s">
        <v>46</v>
      </c>
      <c r="N137" t="s">
        <v>111</v>
      </c>
      <c r="O137" t="s">
        <v>71</v>
      </c>
      <c r="P137" t="s">
        <v>111</v>
      </c>
      <c r="Q137" t="s">
        <v>206</v>
      </c>
      <c r="R137">
        <v>5</v>
      </c>
      <c r="S137" s="1">
        <v>250000</v>
      </c>
      <c r="T137" s="1">
        <f ca="1">ROUND(T_EMPLOYEES[[#This Row],[EMP_CTC1]]/12, 0)</f>
        <v>20833</v>
      </c>
      <c r="U137" s="1">
        <v>150000</v>
      </c>
      <c r="V137" s="1" t="s">
        <v>207</v>
      </c>
      <c r="W137" s="1" t="s">
        <v>207</v>
      </c>
      <c r="X13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Pallapu  Malyadri (1025116)</v>
      </c>
      <c r="Y137">
        <v>60000</v>
      </c>
      <c r="Z137" s="29">
        <f t="shared" ca="1" si="3"/>
        <v>40</v>
      </c>
      <c r="AA137">
        <f ca="1">IF(T_EMPLOYEES[[#This Row],[EMPLOYEE NUMBER]]="","",ROW(T_EMPLOYEES[[#This Row],[EMPLOYEE LABEL]])-ROW(T_EMPLOYEES[[#Headers],[EMPLOYEE LABEL]]))</f>
        <v>134</v>
      </c>
      <c r="AB137">
        <f ca="1">IF(T_EMPLOYEES[[#This Row],[EMPLOYEE NUMBER]]="","",IF(COUNTIF(T_EMPLOYEES[EMPLOYEE NUMBER],T_EMPLOYEES[[#This Row],[EMPLOYEE NUMBER]])&gt;1,1,0))</f>
        <v>0</v>
      </c>
      <c r="AC137">
        <f ca="1">IF(T_EMPLOYEES[[#This Row],[EMPLOYEE NUMBER]]="","",IF(AND(T_EMPLOYEES[[#This Row],[DATE OF BIRTH]]&gt;0,T_EMPLOYEES[[#This Row],[DATE OF BIRTH]]&lt;TODAY()),0,1))</f>
        <v>0</v>
      </c>
      <c r="AD137">
        <f ca="1">IF(T_EMPLOYEES[[#This Row],[EMPLOYEE NUMBER]]="","",IF(AND(T_EMPLOYEES[[#This Row],[START DATE]]&gt;0,T_EMPLOYEES[[#This Row],[START DATE]]&lt;TODAY()+60),0,1))</f>
        <v>0</v>
      </c>
      <c r="AE137">
        <f ca="1">IF(T_EMPLOYEES[[#This Row],[EMPLOYEE NUMBER]]="","",MATCH(T_EMPLOYEES[[#This Row],[GENDER]],L_GENDER,0))</f>
        <v>1</v>
      </c>
      <c r="AF137">
        <f ca="1">IF(T_EMPLOYEES[[#This Row],[EMPLOYEE NUMBER]]="","",MATCH(T_EMPLOYEES[[#This Row],[HIRE SOURCE]],L_HIRESOURCE,0))</f>
        <v>4</v>
      </c>
      <c r="AG137">
        <f ca="1">IF(T_EMPLOYEES[[#This Row],[EMPLOYEE NUMBER]]="","",MATCH(T_EMPLOYEES[[#This Row],[ETHNICITY]],L_ETHNICITY,0))</f>
        <v>3</v>
      </c>
      <c r="AH137">
        <f ca="1">IF(T_EMPLOYEES[[#This Row],[EMPLOYEE NUMBER]]="","",MATCH(T_EMPLOYEES[[#This Row],[LOCATION]],L_LOCATION,0))</f>
        <v>1</v>
      </c>
      <c r="AI137">
        <f ca="1">IF(T_EMPLOYEES[[#This Row],[EMPLOYEE NUMBER]]="","",MATCH(T_EMPLOYEES[[#This Row],[DEPARTMENT]],L_DEPARTMENT,0))</f>
        <v>11</v>
      </c>
      <c r="AJ137">
        <f ca="1">IF(T_EMPLOYEES[[#This Row],[EMPLOYEE NUMBER]]="","",MATCH(T_EMPLOYEES[[#This Row],[JOB TYPE]],L_JOBTYPE,0))</f>
        <v>2</v>
      </c>
      <c r="AK137">
        <f ca="1">IF(T_EMPLOYEES[[#This Row],[EMPLOYEE NUMBER]]="","",MATCH(T_EMPLOYEES[[#This Row],[JOB CATEGORY]],L_JOBCATEGORY,0))</f>
        <v>10</v>
      </c>
      <c r="AL137">
        <f ca="1">IF(T_EMPLOYEES[[#This Row],[EMPLOYEE NUMBER]]="","",MATCH(T_EMPLOYEES[[#This Row],[JOB LEVEL]],L_JOBLEVEL,0))</f>
        <v>4</v>
      </c>
      <c r="AM137">
        <f ca="1">IF(T_EMPLOYEES[[#This Row],[EMPLOYEE NUMBER]]="","",MATCH(T_EMPLOYEES[[#This Row],[JOB TITLE]],L_JOBTITLE,0))</f>
        <v>10</v>
      </c>
      <c r="AN137">
        <f ca="1">IF(T_EMPLOYEES[[#This Row],[EMPLOYEE NUMBER]]="","",MATCH(T_EMPLOYEES[[#This Row],[MANAGER]],L_EMPLABELS,0))</f>
        <v>6</v>
      </c>
      <c r="AO137">
        <f ca="1">IF(T_EMPLOYEES[[#This Row],[EMPLOYEE NUMBER]]="","",IF(T_EMPLOYEES[[#This Row],[ERROR]]="",0,1))</f>
        <v>0</v>
      </c>
      <c r="AP13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8" spans="1:45">
      <c r="A138" t="s">
        <v>612</v>
      </c>
      <c r="B138" t="s">
        <v>613</v>
      </c>
      <c r="C138">
        <v>1031879</v>
      </c>
      <c r="D138" t="s">
        <v>614</v>
      </c>
      <c r="E138" s="26">
        <v>32234</v>
      </c>
      <c r="F138" s="26">
        <v>44914</v>
      </c>
      <c r="H138" t="s">
        <v>27</v>
      </c>
      <c r="I138" t="s">
        <v>54</v>
      </c>
      <c r="J138" t="s">
        <v>64</v>
      </c>
      <c r="K138" t="s">
        <v>30</v>
      </c>
      <c r="L138" s="27" t="s">
        <v>45</v>
      </c>
      <c r="M138" t="s">
        <v>46</v>
      </c>
      <c r="N138" t="s">
        <v>111</v>
      </c>
      <c r="O138" t="s">
        <v>71</v>
      </c>
      <c r="P138" t="s">
        <v>111</v>
      </c>
      <c r="Q138" t="s">
        <v>288</v>
      </c>
      <c r="R138" s="27">
        <v>5</v>
      </c>
      <c r="S138" s="1">
        <v>250000</v>
      </c>
      <c r="T138" s="1">
        <f ca="1">ROUND(T_EMPLOYEES[[#This Row],[EMP_CTC1]]/12, 0)</f>
        <v>20833</v>
      </c>
      <c r="U138" s="1">
        <v>150000</v>
      </c>
      <c r="V138" s="1" t="s">
        <v>207</v>
      </c>
      <c r="W138" s="1" t="s">
        <v>207</v>
      </c>
      <c r="X13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Siddi Narasimhareddy  (1031879)</v>
      </c>
      <c r="Y138">
        <v>60000</v>
      </c>
      <c r="Z138" s="29">
        <f t="shared" ca="1" si="3"/>
        <v>40</v>
      </c>
      <c r="AA138">
        <f ca="1">IF(T_EMPLOYEES[[#This Row],[EMPLOYEE NUMBER]]="","",ROW(T_EMPLOYEES[[#This Row],[EMPLOYEE LABEL]])-ROW(T_EMPLOYEES[[#Headers],[EMPLOYEE LABEL]]))</f>
        <v>135</v>
      </c>
      <c r="AB138">
        <f ca="1">IF(T_EMPLOYEES[[#This Row],[EMPLOYEE NUMBER]]="","",IF(COUNTIF(T_EMPLOYEES[EMPLOYEE NUMBER],T_EMPLOYEES[[#This Row],[EMPLOYEE NUMBER]])&gt;1,1,0))</f>
        <v>0</v>
      </c>
      <c r="AC138">
        <f ca="1">IF(T_EMPLOYEES[[#This Row],[EMPLOYEE NUMBER]]="","",IF(AND(T_EMPLOYEES[[#This Row],[DATE OF BIRTH]]&gt;0,T_EMPLOYEES[[#This Row],[DATE OF BIRTH]]&lt;TODAY()),0,1))</f>
        <v>0</v>
      </c>
      <c r="AD138">
        <f ca="1">IF(T_EMPLOYEES[[#This Row],[EMPLOYEE NUMBER]]="","",IF(AND(T_EMPLOYEES[[#This Row],[START DATE]]&gt;0,T_EMPLOYEES[[#This Row],[START DATE]]&lt;TODAY()+60),0,1))</f>
        <v>0</v>
      </c>
      <c r="AE138">
        <f ca="1">IF(T_EMPLOYEES[[#This Row],[EMPLOYEE NUMBER]]="","",MATCH(T_EMPLOYEES[[#This Row],[GENDER]],L_GENDER,0))</f>
        <v>1</v>
      </c>
      <c r="AF138">
        <f ca="1">IF(T_EMPLOYEES[[#This Row],[EMPLOYEE NUMBER]]="","",MATCH(T_EMPLOYEES[[#This Row],[HIRE SOURCE]],L_HIRESOURCE,0))</f>
        <v>4</v>
      </c>
      <c r="AG138">
        <f ca="1">IF(T_EMPLOYEES[[#This Row],[EMPLOYEE NUMBER]]="","",MATCH(T_EMPLOYEES[[#This Row],[ETHNICITY]],L_ETHNICITY,0))</f>
        <v>3</v>
      </c>
      <c r="AH138">
        <f ca="1">IF(T_EMPLOYEES[[#This Row],[EMPLOYEE NUMBER]]="","",MATCH(T_EMPLOYEES[[#This Row],[LOCATION]],L_LOCATION,0))</f>
        <v>1</v>
      </c>
      <c r="AI138">
        <f ca="1">IF(T_EMPLOYEES[[#This Row],[EMPLOYEE NUMBER]]="","",MATCH(T_EMPLOYEES[[#This Row],[DEPARTMENT]],L_DEPARTMENT,0))</f>
        <v>2</v>
      </c>
      <c r="AJ138">
        <f ca="1">IF(T_EMPLOYEES[[#This Row],[EMPLOYEE NUMBER]]="","",MATCH(T_EMPLOYEES[[#This Row],[JOB TYPE]],L_JOBTYPE,0))</f>
        <v>2</v>
      </c>
      <c r="AK138">
        <f ca="1">IF(T_EMPLOYEES[[#This Row],[EMPLOYEE NUMBER]]="","",MATCH(T_EMPLOYEES[[#This Row],[JOB CATEGORY]],L_JOBCATEGORY,0))</f>
        <v>10</v>
      </c>
      <c r="AL138">
        <f ca="1">IF(T_EMPLOYEES[[#This Row],[EMPLOYEE NUMBER]]="","",MATCH(T_EMPLOYEES[[#This Row],[JOB LEVEL]],L_JOBLEVEL,0))</f>
        <v>4</v>
      </c>
      <c r="AM138">
        <f ca="1">IF(T_EMPLOYEES[[#This Row],[EMPLOYEE NUMBER]]="","",MATCH(T_EMPLOYEES[[#This Row],[JOB TITLE]],L_JOBTITLE,0))</f>
        <v>10</v>
      </c>
      <c r="AN138">
        <f ca="1">IF(T_EMPLOYEES[[#This Row],[EMPLOYEE NUMBER]]="","",MATCH(T_EMPLOYEES[[#This Row],[MANAGER]],L_EMPLABELS,0))</f>
        <v>52</v>
      </c>
      <c r="AO138">
        <f ca="1">IF(T_EMPLOYEES[[#This Row],[EMPLOYEE NUMBER]]="","",IF(T_EMPLOYEES[[#This Row],[ERROR]]="",0,1))</f>
        <v>0</v>
      </c>
      <c r="AP13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9" spans="1:45">
      <c r="A139" t="s">
        <v>615</v>
      </c>
      <c r="B139" t="s">
        <v>616</v>
      </c>
      <c r="C139">
        <v>1024413</v>
      </c>
      <c r="D139" t="s">
        <v>617</v>
      </c>
      <c r="E139" s="26">
        <v>33700</v>
      </c>
      <c r="F139" s="26">
        <v>44228</v>
      </c>
      <c r="H139" t="s">
        <v>27</v>
      </c>
      <c r="I139" t="s">
        <v>54</v>
      </c>
      <c r="J139" t="s">
        <v>64</v>
      </c>
      <c r="K139" t="s">
        <v>30</v>
      </c>
      <c r="L139" s="27" t="s">
        <v>121</v>
      </c>
      <c r="M139" t="s">
        <v>46</v>
      </c>
      <c r="N139" t="s">
        <v>111</v>
      </c>
      <c r="O139" t="s">
        <v>71</v>
      </c>
      <c r="P139" t="s">
        <v>111</v>
      </c>
      <c r="Q139" t="s">
        <v>468</v>
      </c>
      <c r="R139">
        <v>5</v>
      </c>
      <c r="S139" s="1">
        <v>250000</v>
      </c>
      <c r="T139" s="1">
        <f ca="1">ROUND(T_EMPLOYEES[[#This Row],[EMP_CTC1]]/12, 0)</f>
        <v>20833</v>
      </c>
      <c r="U139" s="1">
        <v>150000</v>
      </c>
      <c r="V139" s="1" t="s">
        <v>207</v>
      </c>
      <c r="W139" s="1" t="s">
        <v>207</v>
      </c>
      <c r="X13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Poothi Reddy Niranjan Reddy  (1024413)</v>
      </c>
      <c r="Y139">
        <v>60000</v>
      </c>
      <c r="Z139" s="29">
        <f t="shared" ca="1" si="3"/>
        <v>40</v>
      </c>
      <c r="AA139">
        <f ca="1">IF(T_EMPLOYEES[[#This Row],[EMPLOYEE NUMBER]]="","",ROW(T_EMPLOYEES[[#This Row],[EMPLOYEE LABEL]])-ROW(T_EMPLOYEES[[#Headers],[EMPLOYEE LABEL]]))</f>
        <v>136</v>
      </c>
      <c r="AB139">
        <f ca="1">IF(T_EMPLOYEES[[#This Row],[EMPLOYEE NUMBER]]="","",IF(COUNTIF(T_EMPLOYEES[EMPLOYEE NUMBER],T_EMPLOYEES[[#This Row],[EMPLOYEE NUMBER]])&gt;1,1,0))</f>
        <v>0</v>
      </c>
      <c r="AC139">
        <f ca="1">IF(T_EMPLOYEES[[#This Row],[EMPLOYEE NUMBER]]="","",IF(AND(T_EMPLOYEES[[#This Row],[DATE OF BIRTH]]&gt;0,T_EMPLOYEES[[#This Row],[DATE OF BIRTH]]&lt;TODAY()),0,1))</f>
        <v>0</v>
      </c>
      <c r="AD139">
        <f ca="1">IF(T_EMPLOYEES[[#This Row],[EMPLOYEE NUMBER]]="","",IF(AND(T_EMPLOYEES[[#This Row],[START DATE]]&gt;0,T_EMPLOYEES[[#This Row],[START DATE]]&lt;TODAY()+60),0,1))</f>
        <v>0</v>
      </c>
      <c r="AE139">
        <f ca="1">IF(T_EMPLOYEES[[#This Row],[EMPLOYEE NUMBER]]="","",MATCH(T_EMPLOYEES[[#This Row],[GENDER]],L_GENDER,0))</f>
        <v>1</v>
      </c>
      <c r="AF139">
        <f ca="1">IF(T_EMPLOYEES[[#This Row],[EMPLOYEE NUMBER]]="","",MATCH(T_EMPLOYEES[[#This Row],[HIRE SOURCE]],L_HIRESOURCE,0))</f>
        <v>4</v>
      </c>
      <c r="AG139">
        <f ca="1">IF(T_EMPLOYEES[[#This Row],[EMPLOYEE NUMBER]]="","",MATCH(T_EMPLOYEES[[#This Row],[ETHNICITY]],L_ETHNICITY,0))</f>
        <v>3</v>
      </c>
      <c r="AH139">
        <f ca="1">IF(T_EMPLOYEES[[#This Row],[EMPLOYEE NUMBER]]="","",MATCH(T_EMPLOYEES[[#This Row],[LOCATION]],L_LOCATION,0))</f>
        <v>1</v>
      </c>
      <c r="AI139">
        <f ca="1">IF(T_EMPLOYEES[[#This Row],[EMPLOYEE NUMBER]]="","",MATCH(T_EMPLOYEES[[#This Row],[DEPARTMENT]],L_DEPARTMENT,0))</f>
        <v>13</v>
      </c>
      <c r="AJ139">
        <f ca="1">IF(T_EMPLOYEES[[#This Row],[EMPLOYEE NUMBER]]="","",MATCH(T_EMPLOYEES[[#This Row],[JOB TYPE]],L_JOBTYPE,0))</f>
        <v>2</v>
      </c>
      <c r="AK139">
        <f ca="1">IF(T_EMPLOYEES[[#This Row],[EMPLOYEE NUMBER]]="","",MATCH(T_EMPLOYEES[[#This Row],[JOB CATEGORY]],L_JOBCATEGORY,0))</f>
        <v>10</v>
      </c>
      <c r="AL139">
        <f ca="1">IF(T_EMPLOYEES[[#This Row],[EMPLOYEE NUMBER]]="","",MATCH(T_EMPLOYEES[[#This Row],[JOB LEVEL]],L_JOBLEVEL,0))</f>
        <v>4</v>
      </c>
      <c r="AM139">
        <f ca="1">IF(T_EMPLOYEES[[#This Row],[EMPLOYEE NUMBER]]="","",MATCH(T_EMPLOYEES[[#This Row],[JOB TITLE]],L_JOBTITLE,0))</f>
        <v>10</v>
      </c>
      <c r="AN139">
        <f ca="1">IF(T_EMPLOYEES[[#This Row],[EMPLOYEE NUMBER]]="","",MATCH(T_EMPLOYEES[[#This Row],[MANAGER]],L_EMPLABELS,0))</f>
        <v>56</v>
      </c>
      <c r="AO139">
        <f ca="1">IF(T_EMPLOYEES[[#This Row],[EMPLOYEE NUMBER]]="","",IF(T_EMPLOYEES[[#This Row],[ERROR]]="",0,1))</f>
        <v>0</v>
      </c>
      <c r="AP13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0" spans="1:45">
      <c r="A140" t="s">
        <v>618</v>
      </c>
      <c r="B140" t="s">
        <v>619</v>
      </c>
      <c r="C140">
        <v>1017291</v>
      </c>
      <c r="D140" t="s">
        <v>620</v>
      </c>
      <c r="E140" s="26">
        <v>32273</v>
      </c>
      <c r="F140" s="26">
        <v>42186</v>
      </c>
      <c r="H140" t="s">
        <v>27</v>
      </c>
      <c r="I140" t="s">
        <v>54</v>
      </c>
      <c r="J140" t="s">
        <v>64</v>
      </c>
      <c r="K140" t="s">
        <v>30</v>
      </c>
      <c r="L140" s="27" t="s">
        <v>45</v>
      </c>
      <c r="M140" t="s">
        <v>46</v>
      </c>
      <c r="N140" t="s">
        <v>47</v>
      </c>
      <c r="O140" t="s">
        <v>90</v>
      </c>
      <c r="P140" t="s">
        <v>47</v>
      </c>
      <c r="Q140" t="s">
        <v>215</v>
      </c>
      <c r="R140" s="27">
        <v>7</v>
      </c>
      <c r="S140" s="1">
        <v>250000</v>
      </c>
      <c r="T140" s="1">
        <f ca="1">ROUND(T_EMPLOYEES[[#This Row],[EMP_CTC1]]/12, 0)</f>
        <v>20833</v>
      </c>
      <c r="U140" s="1">
        <v>150000</v>
      </c>
      <c r="V140" s="1" t="s">
        <v>207</v>
      </c>
      <c r="W140" s="1" t="s">
        <v>207</v>
      </c>
      <c r="X14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Peernayakgari Irfan Basha (1017291)</v>
      </c>
      <c r="Y140">
        <v>60000</v>
      </c>
      <c r="Z140" s="29">
        <f t="shared" ca="1" si="3"/>
        <v>40</v>
      </c>
      <c r="AA140">
        <f ca="1">IF(T_EMPLOYEES[[#This Row],[EMPLOYEE NUMBER]]="","",ROW(T_EMPLOYEES[[#This Row],[EMPLOYEE LABEL]])-ROW(T_EMPLOYEES[[#Headers],[EMPLOYEE LABEL]]))</f>
        <v>137</v>
      </c>
      <c r="AB140">
        <f ca="1">IF(T_EMPLOYEES[[#This Row],[EMPLOYEE NUMBER]]="","",IF(COUNTIF(T_EMPLOYEES[EMPLOYEE NUMBER],T_EMPLOYEES[[#This Row],[EMPLOYEE NUMBER]])&gt;1,1,0))</f>
        <v>0</v>
      </c>
      <c r="AC140">
        <f ca="1">IF(T_EMPLOYEES[[#This Row],[EMPLOYEE NUMBER]]="","",IF(AND(T_EMPLOYEES[[#This Row],[DATE OF BIRTH]]&gt;0,T_EMPLOYEES[[#This Row],[DATE OF BIRTH]]&lt;TODAY()),0,1))</f>
        <v>0</v>
      </c>
      <c r="AD140">
        <f ca="1">IF(T_EMPLOYEES[[#This Row],[EMPLOYEE NUMBER]]="","",IF(AND(T_EMPLOYEES[[#This Row],[START DATE]]&gt;0,T_EMPLOYEES[[#This Row],[START DATE]]&lt;TODAY()+60),0,1))</f>
        <v>0</v>
      </c>
      <c r="AE140">
        <f ca="1">IF(T_EMPLOYEES[[#This Row],[EMPLOYEE NUMBER]]="","",MATCH(T_EMPLOYEES[[#This Row],[GENDER]],L_GENDER,0))</f>
        <v>1</v>
      </c>
      <c r="AF140">
        <f ca="1">IF(T_EMPLOYEES[[#This Row],[EMPLOYEE NUMBER]]="","",MATCH(T_EMPLOYEES[[#This Row],[HIRE SOURCE]],L_HIRESOURCE,0))</f>
        <v>4</v>
      </c>
      <c r="AG140">
        <f ca="1">IF(T_EMPLOYEES[[#This Row],[EMPLOYEE NUMBER]]="","",MATCH(T_EMPLOYEES[[#This Row],[ETHNICITY]],L_ETHNICITY,0))</f>
        <v>3</v>
      </c>
      <c r="AH140">
        <f ca="1">IF(T_EMPLOYEES[[#This Row],[EMPLOYEE NUMBER]]="","",MATCH(T_EMPLOYEES[[#This Row],[LOCATION]],L_LOCATION,0))</f>
        <v>1</v>
      </c>
      <c r="AI140">
        <f ca="1">IF(T_EMPLOYEES[[#This Row],[EMPLOYEE NUMBER]]="","",MATCH(T_EMPLOYEES[[#This Row],[DEPARTMENT]],L_DEPARTMENT,0))</f>
        <v>2</v>
      </c>
      <c r="AJ140">
        <f ca="1">IF(T_EMPLOYEES[[#This Row],[EMPLOYEE NUMBER]]="","",MATCH(T_EMPLOYEES[[#This Row],[JOB TYPE]],L_JOBTYPE,0))</f>
        <v>2</v>
      </c>
      <c r="AK140">
        <f ca="1">IF(T_EMPLOYEES[[#This Row],[EMPLOYEE NUMBER]]="","",MATCH(T_EMPLOYEES[[#This Row],[JOB CATEGORY]],L_JOBCATEGORY,0))</f>
        <v>2</v>
      </c>
      <c r="AL140">
        <f ca="1">IF(T_EMPLOYEES[[#This Row],[EMPLOYEE NUMBER]]="","",MATCH(T_EMPLOYEES[[#This Row],[JOB LEVEL]],L_JOBLEVEL,0))</f>
        <v>6</v>
      </c>
      <c r="AM140">
        <f ca="1">IF(T_EMPLOYEES[[#This Row],[EMPLOYEE NUMBER]]="","",MATCH(T_EMPLOYEES[[#This Row],[JOB TITLE]],L_JOBTITLE,0))</f>
        <v>2</v>
      </c>
      <c r="AN140">
        <f ca="1">IF(T_EMPLOYEES[[#This Row],[EMPLOYEE NUMBER]]="","",MATCH(T_EMPLOYEES[[#This Row],[MANAGER]],L_EMPLABELS,0))</f>
        <v>13</v>
      </c>
      <c r="AO140">
        <f ca="1">IF(T_EMPLOYEES[[#This Row],[EMPLOYEE NUMBER]]="","",IF(T_EMPLOYEES[[#This Row],[ERROR]]="",0,1))</f>
        <v>0</v>
      </c>
      <c r="AP14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S140" t="s">
        <v>621</v>
      </c>
    </row>
    <row r="141" spans="1:45">
      <c r="A141" t="s">
        <v>622</v>
      </c>
      <c r="B141" t="s">
        <v>623</v>
      </c>
      <c r="C141">
        <v>1023139</v>
      </c>
      <c r="D141" t="s">
        <v>624</v>
      </c>
      <c r="E141" s="26">
        <v>32275</v>
      </c>
      <c r="F141" s="26">
        <v>43895</v>
      </c>
      <c r="H141" t="s">
        <v>40</v>
      </c>
      <c r="I141" t="s">
        <v>54</v>
      </c>
      <c r="J141" t="s">
        <v>64</v>
      </c>
      <c r="K141" t="s">
        <v>30</v>
      </c>
      <c r="L141" s="27" t="s">
        <v>45</v>
      </c>
      <c r="M141" t="s">
        <v>46</v>
      </c>
      <c r="N141" t="s">
        <v>111</v>
      </c>
      <c r="O141" t="s">
        <v>71</v>
      </c>
      <c r="P141" t="s">
        <v>111</v>
      </c>
      <c r="Q141" t="s">
        <v>333</v>
      </c>
      <c r="R141">
        <v>5</v>
      </c>
      <c r="S141" s="1">
        <v>250000</v>
      </c>
      <c r="T141" s="1">
        <f ca="1">ROUND(T_EMPLOYEES[[#This Row],[EMP_CTC1]]/12, 0)</f>
        <v>20833</v>
      </c>
      <c r="U141" s="1">
        <v>150000</v>
      </c>
      <c r="V141" s="1" t="s">
        <v>207</v>
      </c>
      <c r="W141" s="1" t="s">
        <v>207</v>
      </c>
      <c r="X14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Sravani  R N (1023139)</v>
      </c>
      <c r="Y141">
        <v>60000</v>
      </c>
      <c r="Z141" s="29">
        <f t="shared" ca="1" si="3"/>
        <v>40</v>
      </c>
      <c r="AA141">
        <f ca="1">IF(T_EMPLOYEES[[#This Row],[EMPLOYEE NUMBER]]="","",ROW(T_EMPLOYEES[[#This Row],[EMPLOYEE LABEL]])-ROW(T_EMPLOYEES[[#Headers],[EMPLOYEE LABEL]]))</f>
        <v>138</v>
      </c>
      <c r="AB141">
        <f ca="1">IF(T_EMPLOYEES[[#This Row],[EMPLOYEE NUMBER]]="","",IF(COUNTIF(T_EMPLOYEES[EMPLOYEE NUMBER],T_EMPLOYEES[[#This Row],[EMPLOYEE NUMBER]])&gt;1,1,0))</f>
        <v>0</v>
      </c>
      <c r="AC141">
        <f ca="1">IF(T_EMPLOYEES[[#This Row],[EMPLOYEE NUMBER]]="","",IF(AND(T_EMPLOYEES[[#This Row],[DATE OF BIRTH]]&gt;0,T_EMPLOYEES[[#This Row],[DATE OF BIRTH]]&lt;TODAY()),0,1))</f>
        <v>0</v>
      </c>
      <c r="AD141">
        <f ca="1">IF(T_EMPLOYEES[[#This Row],[EMPLOYEE NUMBER]]="","",IF(AND(T_EMPLOYEES[[#This Row],[START DATE]]&gt;0,T_EMPLOYEES[[#This Row],[START DATE]]&lt;TODAY()+60),0,1))</f>
        <v>0</v>
      </c>
      <c r="AE141">
        <f ca="1">IF(T_EMPLOYEES[[#This Row],[EMPLOYEE NUMBER]]="","",MATCH(T_EMPLOYEES[[#This Row],[GENDER]],L_GENDER,0))</f>
        <v>2</v>
      </c>
      <c r="AF141">
        <f ca="1">IF(T_EMPLOYEES[[#This Row],[EMPLOYEE NUMBER]]="","",MATCH(T_EMPLOYEES[[#This Row],[HIRE SOURCE]],L_HIRESOURCE,0))</f>
        <v>4</v>
      </c>
      <c r="AG141">
        <f ca="1">IF(T_EMPLOYEES[[#This Row],[EMPLOYEE NUMBER]]="","",MATCH(T_EMPLOYEES[[#This Row],[ETHNICITY]],L_ETHNICITY,0))</f>
        <v>3</v>
      </c>
      <c r="AH141">
        <f ca="1">IF(T_EMPLOYEES[[#This Row],[EMPLOYEE NUMBER]]="","",MATCH(T_EMPLOYEES[[#This Row],[LOCATION]],L_LOCATION,0))</f>
        <v>1</v>
      </c>
      <c r="AI141">
        <f ca="1">IF(T_EMPLOYEES[[#This Row],[EMPLOYEE NUMBER]]="","",MATCH(T_EMPLOYEES[[#This Row],[DEPARTMENT]],L_DEPARTMENT,0))</f>
        <v>2</v>
      </c>
      <c r="AJ141">
        <f ca="1">IF(T_EMPLOYEES[[#This Row],[EMPLOYEE NUMBER]]="","",MATCH(T_EMPLOYEES[[#This Row],[JOB TYPE]],L_JOBTYPE,0))</f>
        <v>2</v>
      </c>
      <c r="AK141">
        <f ca="1">IF(T_EMPLOYEES[[#This Row],[EMPLOYEE NUMBER]]="","",MATCH(T_EMPLOYEES[[#This Row],[JOB CATEGORY]],L_JOBCATEGORY,0))</f>
        <v>10</v>
      </c>
      <c r="AL141">
        <f ca="1">IF(T_EMPLOYEES[[#This Row],[EMPLOYEE NUMBER]]="","",MATCH(T_EMPLOYEES[[#This Row],[JOB LEVEL]],L_JOBLEVEL,0))</f>
        <v>4</v>
      </c>
      <c r="AM141">
        <f ca="1">IF(T_EMPLOYEES[[#This Row],[EMPLOYEE NUMBER]]="","",MATCH(T_EMPLOYEES[[#This Row],[JOB TITLE]],L_JOBTITLE,0))</f>
        <v>10</v>
      </c>
      <c r="AN141">
        <f ca="1">IF(T_EMPLOYEES[[#This Row],[EMPLOYEE NUMBER]]="","",MATCH(T_EMPLOYEES[[#This Row],[MANAGER]],L_EMPLABELS,0))</f>
        <v>17</v>
      </c>
      <c r="AO141">
        <f ca="1">IF(T_EMPLOYEES[[#This Row],[EMPLOYEE NUMBER]]="","",IF(T_EMPLOYEES[[#This Row],[ERROR]]="",0,1))</f>
        <v>0</v>
      </c>
      <c r="AP14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2" spans="1:45">
      <c r="A142" t="s">
        <v>625</v>
      </c>
      <c r="B142" t="s">
        <v>626</v>
      </c>
      <c r="C142">
        <v>1027972</v>
      </c>
      <c r="D142" t="s">
        <v>627</v>
      </c>
      <c r="E142" s="26">
        <v>32295</v>
      </c>
      <c r="F142" s="26">
        <v>44571</v>
      </c>
      <c r="H142" t="s">
        <v>27</v>
      </c>
      <c r="I142" t="s">
        <v>54</v>
      </c>
      <c r="J142" t="s">
        <v>64</v>
      </c>
      <c r="K142" t="s">
        <v>30</v>
      </c>
      <c r="L142" s="27" t="s">
        <v>45</v>
      </c>
      <c r="M142" t="s">
        <v>46</v>
      </c>
      <c r="N142" t="s">
        <v>119</v>
      </c>
      <c r="O142" t="s">
        <v>82</v>
      </c>
      <c r="P142" t="s">
        <v>119</v>
      </c>
      <c r="Q142" t="s">
        <v>246</v>
      </c>
      <c r="R142" s="27">
        <v>7</v>
      </c>
      <c r="S142" s="1">
        <v>250000</v>
      </c>
      <c r="T142" s="1">
        <f ca="1">ROUND(T_EMPLOYEES[[#This Row],[EMP_CTC1]]/12, 0)</f>
        <v>20833</v>
      </c>
      <c r="U142" s="1">
        <v>150000</v>
      </c>
      <c r="V142" s="1" t="s">
        <v>207</v>
      </c>
      <c r="W142" s="1" t="s">
        <v>207</v>
      </c>
      <c r="X14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Basappa S Bellanki (1027972)</v>
      </c>
      <c r="Y142">
        <v>60000</v>
      </c>
      <c r="Z142" s="29">
        <f t="shared" ca="1" si="3"/>
        <v>40</v>
      </c>
      <c r="AA142">
        <f ca="1">IF(T_EMPLOYEES[[#This Row],[EMPLOYEE NUMBER]]="","",ROW(T_EMPLOYEES[[#This Row],[EMPLOYEE LABEL]])-ROW(T_EMPLOYEES[[#Headers],[EMPLOYEE LABEL]]))</f>
        <v>139</v>
      </c>
      <c r="AB142">
        <f ca="1">IF(T_EMPLOYEES[[#This Row],[EMPLOYEE NUMBER]]="","",IF(COUNTIF(T_EMPLOYEES[EMPLOYEE NUMBER],T_EMPLOYEES[[#This Row],[EMPLOYEE NUMBER]])&gt;1,1,0))</f>
        <v>0</v>
      </c>
      <c r="AC142">
        <f ca="1">IF(T_EMPLOYEES[[#This Row],[EMPLOYEE NUMBER]]="","",IF(AND(T_EMPLOYEES[[#This Row],[DATE OF BIRTH]]&gt;0,T_EMPLOYEES[[#This Row],[DATE OF BIRTH]]&lt;TODAY()),0,1))</f>
        <v>0</v>
      </c>
      <c r="AD142">
        <f ca="1">IF(T_EMPLOYEES[[#This Row],[EMPLOYEE NUMBER]]="","",IF(AND(T_EMPLOYEES[[#This Row],[START DATE]]&gt;0,T_EMPLOYEES[[#This Row],[START DATE]]&lt;TODAY()+60),0,1))</f>
        <v>0</v>
      </c>
      <c r="AE142">
        <f ca="1">IF(T_EMPLOYEES[[#This Row],[EMPLOYEE NUMBER]]="","",MATCH(T_EMPLOYEES[[#This Row],[GENDER]],L_GENDER,0))</f>
        <v>1</v>
      </c>
      <c r="AF142">
        <f ca="1">IF(T_EMPLOYEES[[#This Row],[EMPLOYEE NUMBER]]="","",MATCH(T_EMPLOYEES[[#This Row],[HIRE SOURCE]],L_HIRESOURCE,0))</f>
        <v>4</v>
      </c>
      <c r="AG142">
        <f ca="1">IF(T_EMPLOYEES[[#This Row],[EMPLOYEE NUMBER]]="","",MATCH(T_EMPLOYEES[[#This Row],[ETHNICITY]],L_ETHNICITY,0))</f>
        <v>3</v>
      </c>
      <c r="AH142">
        <f ca="1">IF(T_EMPLOYEES[[#This Row],[EMPLOYEE NUMBER]]="","",MATCH(T_EMPLOYEES[[#This Row],[LOCATION]],L_LOCATION,0))</f>
        <v>1</v>
      </c>
      <c r="AI142">
        <f ca="1">IF(T_EMPLOYEES[[#This Row],[EMPLOYEE NUMBER]]="","",MATCH(T_EMPLOYEES[[#This Row],[DEPARTMENT]],L_DEPARTMENT,0))</f>
        <v>2</v>
      </c>
      <c r="AJ142">
        <f ca="1">IF(T_EMPLOYEES[[#This Row],[EMPLOYEE NUMBER]]="","",MATCH(T_EMPLOYEES[[#This Row],[JOB TYPE]],L_JOBTYPE,0))</f>
        <v>2</v>
      </c>
      <c r="AK142">
        <f ca="1">IF(T_EMPLOYEES[[#This Row],[EMPLOYEE NUMBER]]="","",MATCH(T_EMPLOYEES[[#This Row],[JOB CATEGORY]],L_JOBCATEGORY,0))</f>
        <v>12</v>
      </c>
      <c r="AL142">
        <f ca="1">IF(T_EMPLOYEES[[#This Row],[EMPLOYEE NUMBER]]="","",MATCH(T_EMPLOYEES[[#This Row],[JOB LEVEL]],L_JOBLEVEL,0))</f>
        <v>5</v>
      </c>
      <c r="AM142">
        <f ca="1">IF(T_EMPLOYEES[[#This Row],[EMPLOYEE NUMBER]]="","",MATCH(T_EMPLOYEES[[#This Row],[JOB TITLE]],L_JOBTITLE,0))</f>
        <v>12</v>
      </c>
      <c r="AN142">
        <f ca="1">IF(T_EMPLOYEES[[#This Row],[EMPLOYEE NUMBER]]="","",MATCH(T_EMPLOYEES[[#This Row],[MANAGER]],L_EMPLABELS,0))</f>
        <v>68</v>
      </c>
      <c r="AO142">
        <f ca="1">IF(T_EMPLOYEES[[#This Row],[EMPLOYEE NUMBER]]="","",IF(T_EMPLOYEES[[#This Row],[ERROR]]="",0,1))</f>
        <v>0</v>
      </c>
      <c r="AP14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3" spans="1:45">
      <c r="A143" t="s">
        <v>628</v>
      </c>
      <c r="B143" t="s">
        <v>629</v>
      </c>
      <c r="C143">
        <v>1029363</v>
      </c>
      <c r="D143" t="s">
        <v>630</v>
      </c>
      <c r="E143" s="26">
        <v>32309</v>
      </c>
      <c r="F143" s="26">
        <v>44735</v>
      </c>
      <c r="H143" t="s">
        <v>40</v>
      </c>
      <c r="I143" t="s">
        <v>54</v>
      </c>
      <c r="J143" t="s">
        <v>64</v>
      </c>
      <c r="K143" t="s">
        <v>30</v>
      </c>
      <c r="L143" s="27" t="s">
        <v>45</v>
      </c>
      <c r="M143" t="s">
        <v>46</v>
      </c>
      <c r="N143" t="s">
        <v>111</v>
      </c>
      <c r="O143" t="s">
        <v>71</v>
      </c>
      <c r="P143" t="s">
        <v>111</v>
      </c>
      <c r="Q143" t="s">
        <v>276</v>
      </c>
      <c r="R143">
        <v>5</v>
      </c>
      <c r="S143" s="1">
        <v>250000</v>
      </c>
      <c r="T143" s="1">
        <f ca="1">ROUND(T_EMPLOYEES[[#This Row],[EMP_CTC1]]/12, 0)</f>
        <v>20833</v>
      </c>
      <c r="U143" s="1">
        <v>150000</v>
      </c>
      <c r="V143" s="1" t="s">
        <v>207</v>
      </c>
      <c r="W143" s="1" t="s">
        <v>207</v>
      </c>
      <c r="X14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Movva Sridevi  (1029363)</v>
      </c>
      <c r="Y143">
        <v>60000</v>
      </c>
      <c r="Z143" s="29">
        <f t="shared" ca="1" si="3"/>
        <v>40</v>
      </c>
      <c r="AA143">
        <f ca="1">IF(T_EMPLOYEES[[#This Row],[EMPLOYEE NUMBER]]="","",ROW(T_EMPLOYEES[[#This Row],[EMPLOYEE LABEL]])-ROW(T_EMPLOYEES[[#Headers],[EMPLOYEE LABEL]]))</f>
        <v>140</v>
      </c>
      <c r="AB143">
        <f ca="1">IF(T_EMPLOYEES[[#This Row],[EMPLOYEE NUMBER]]="","",IF(COUNTIF(T_EMPLOYEES[EMPLOYEE NUMBER],T_EMPLOYEES[[#This Row],[EMPLOYEE NUMBER]])&gt;1,1,0))</f>
        <v>0</v>
      </c>
      <c r="AC143">
        <f ca="1">IF(T_EMPLOYEES[[#This Row],[EMPLOYEE NUMBER]]="","",IF(AND(T_EMPLOYEES[[#This Row],[DATE OF BIRTH]]&gt;0,T_EMPLOYEES[[#This Row],[DATE OF BIRTH]]&lt;TODAY()),0,1))</f>
        <v>0</v>
      </c>
      <c r="AD143">
        <f ca="1">IF(T_EMPLOYEES[[#This Row],[EMPLOYEE NUMBER]]="","",IF(AND(T_EMPLOYEES[[#This Row],[START DATE]]&gt;0,T_EMPLOYEES[[#This Row],[START DATE]]&lt;TODAY()+60),0,1))</f>
        <v>0</v>
      </c>
      <c r="AE143">
        <f ca="1">IF(T_EMPLOYEES[[#This Row],[EMPLOYEE NUMBER]]="","",MATCH(T_EMPLOYEES[[#This Row],[GENDER]],L_GENDER,0))</f>
        <v>2</v>
      </c>
      <c r="AF143">
        <f ca="1">IF(T_EMPLOYEES[[#This Row],[EMPLOYEE NUMBER]]="","",MATCH(T_EMPLOYEES[[#This Row],[HIRE SOURCE]],L_HIRESOURCE,0))</f>
        <v>4</v>
      </c>
      <c r="AG143">
        <f ca="1">IF(T_EMPLOYEES[[#This Row],[EMPLOYEE NUMBER]]="","",MATCH(T_EMPLOYEES[[#This Row],[ETHNICITY]],L_ETHNICITY,0))</f>
        <v>3</v>
      </c>
      <c r="AH143">
        <f ca="1">IF(T_EMPLOYEES[[#This Row],[EMPLOYEE NUMBER]]="","",MATCH(T_EMPLOYEES[[#This Row],[LOCATION]],L_LOCATION,0))</f>
        <v>1</v>
      </c>
      <c r="AI143">
        <f ca="1">IF(T_EMPLOYEES[[#This Row],[EMPLOYEE NUMBER]]="","",MATCH(T_EMPLOYEES[[#This Row],[DEPARTMENT]],L_DEPARTMENT,0))</f>
        <v>2</v>
      </c>
      <c r="AJ143">
        <f ca="1">IF(T_EMPLOYEES[[#This Row],[EMPLOYEE NUMBER]]="","",MATCH(T_EMPLOYEES[[#This Row],[JOB TYPE]],L_JOBTYPE,0))</f>
        <v>2</v>
      </c>
      <c r="AK143">
        <f ca="1">IF(T_EMPLOYEES[[#This Row],[EMPLOYEE NUMBER]]="","",MATCH(T_EMPLOYEES[[#This Row],[JOB CATEGORY]],L_JOBCATEGORY,0))</f>
        <v>10</v>
      </c>
      <c r="AL143">
        <f ca="1">IF(T_EMPLOYEES[[#This Row],[EMPLOYEE NUMBER]]="","",MATCH(T_EMPLOYEES[[#This Row],[JOB LEVEL]],L_JOBLEVEL,0))</f>
        <v>4</v>
      </c>
      <c r="AM143">
        <f ca="1">IF(T_EMPLOYEES[[#This Row],[EMPLOYEE NUMBER]]="","",MATCH(T_EMPLOYEES[[#This Row],[JOB TITLE]],L_JOBTITLE,0))</f>
        <v>10</v>
      </c>
      <c r="AN143">
        <f ca="1">IF(T_EMPLOYEES[[#This Row],[EMPLOYEE NUMBER]]="","",MATCH(T_EMPLOYEES[[#This Row],[MANAGER]],L_EMPLABELS,0))</f>
        <v>8</v>
      </c>
      <c r="AO143">
        <f ca="1">IF(T_EMPLOYEES[[#This Row],[EMPLOYEE NUMBER]]="","",IF(T_EMPLOYEES[[#This Row],[ERROR]]="",0,1))</f>
        <v>0</v>
      </c>
      <c r="AP14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4" spans="1:45">
      <c r="A144" t="s">
        <v>631</v>
      </c>
      <c r="B144" t="s">
        <v>632</v>
      </c>
      <c r="C144">
        <v>1027065</v>
      </c>
      <c r="D144" t="s">
        <v>633</v>
      </c>
      <c r="E144" s="26">
        <v>32321</v>
      </c>
      <c r="F144" s="26">
        <v>44505</v>
      </c>
      <c r="H144" t="s">
        <v>27</v>
      </c>
      <c r="I144" t="s">
        <v>54</v>
      </c>
      <c r="J144" t="s">
        <v>64</v>
      </c>
      <c r="K144" t="s">
        <v>30</v>
      </c>
      <c r="L144" s="27" t="s">
        <v>45</v>
      </c>
      <c r="M144" t="s">
        <v>46</v>
      </c>
      <c r="N144" t="s">
        <v>111</v>
      </c>
      <c r="O144" t="s">
        <v>71</v>
      </c>
      <c r="P144" t="s">
        <v>111</v>
      </c>
      <c r="Q144" t="s">
        <v>559</v>
      </c>
      <c r="R144" s="27">
        <v>5</v>
      </c>
      <c r="S144" s="1">
        <v>250000</v>
      </c>
      <c r="T144" s="1">
        <f ca="1">ROUND(T_EMPLOYEES[[#This Row],[EMP_CTC1]]/12, 0)</f>
        <v>20833</v>
      </c>
      <c r="U144" s="1">
        <v>150000</v>
      </c>
      <c r="V144" s="1" t="s">
        <v>207</v>
      </c>
      <c r="W144" s="1" t="s">
        <v>207</v>
      </c>
      <c r="X14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Naga Murali Krishna Valluru (1027065)</v>
      </c>
      <c r="Y144">
        <v>60000</v>
      </c>
      <c r="Z144" s="29">
        <f t="shared" ca="1" si="3"/>
        <v>40</v>
      </c>
      <c r="AA144">
        <f ca="1">IF(T_EMPLOYEES[[#This Row],[EMPLOYEE NUMBER]]="","",ROW(T_EMPLOYEES[[#This Row],[EMPLOYEE LABEL]])-ROW(T_EMPLOYEES[[#Headers],[EMPLOYEE LABEL]]))</f>
        <v>141</v>
      </c>
      <c r="AB144">
        <f ca="1">IF(T_EMPLOYEES[[#This Row],[EMPLOYEE NUMBER]]="","",IF(COUNTIF(T_EMPLOYEES[EMPLOYEE NUMBER],T_EMPLOYEES[[#This Row],[EMPLOYEE NUMBER]])&gt;1,1,0))</f>
        <v>0</v>
      </c>
      <c r="AC144">
        <f ca="1">IF(T_EMPLOYEES[[#This Row],[EMPLOYEE NUMBER]]="","",IF(AND(T_EMPLOYEES[[#This Row],[DATE OF BIRTH]]&gt;0,T_EMPLOYEES[[#This Row],[DATE OF BIRTH]]&lt;TODAY()),0,1))</f>
        <v>0</v>
      </c>
      <c r="AD144">
        <f ca="1">IF(T_EMPLOYEES[[#This Row],[EMPLOYEE NUMBER]]="","",IF(AND(T_EMPLOYEES[[#This Row],[START DATE]]&gt;0,T_EMPLOYEES[[#This Row],[START DATE]]&lt;TODAY()+60),0,1))</f>
        <v>0</v>
      </c>
      <c r="AE144">
        <f ca="1">IF(T_EMPLOYEES[[#This Row],[EMPLOYEE NUMBER]]="","",MATCH(T_EMPLOYEES[[#This Row],[GENDER]],L_GENDER,0))</f>
        <v>1</v>
      </c>
      <c r="AF144">
        <f ca="1">IF(T_EMPLOYEES[[#This Row],[EMPLOYEE NUMBER]]="","",MATCH(T_EMPLOYEES[[#This Row],[HIRE SOURCE]],L_HIRESOURCE,0))</f>
        <v>4</v>
      </c>
      <c r="AG144">
        <f ca="1">IF(T_EMPLOYEES[[#This Row],[EMPLOYEE NUMBER]]="","",MATCH(T_EMPLOYEES[[#This Row],[ETHNICITY]],L_ETHNICITY,0))</f>
        <v>3</v>
      </c>
      <c r="AH144">
        <f ca="1">IF(T_EMPLOYEES[[#This Row],[EMPLOYEE NUMBER]]="","",MATCH(T_EMPLOYEES[[#This Row],[LOCATION]],L_LOCATION,0))</f>
        <v>1</v>
      </c>
      <c r="AI144">
        <f ca="1">IF(T_EMPLOYEES[[#This Row],[EMPLOYEE NUMBER]]="","",MATCH(T_EMPLOYEES[[#This Row],[DEPARTMENT]],L_DEPARTMENT,0))</f>
        <v>2</v>
      </c>
      <c r="AJ144">
        <f ca="1">IF(T_EMPLOYEES[[#This Row],[EMPLOYEE NUMBER]]="","",MATCH(T_EMPLOYEES[[#This Row],[JOB TYPE]],L_JOBTYPE,0))</f>
        <v>2</v>
      </c>
      <c r="AK144">
        <f ca="1">IF(T_EMPLOYEES[[#This Row],[EMPLOYEE NUMBER]]="","",MATCH(T_EMPLOYEES[[#This Row],[JOB CATEGORY]],L_JOBCATEGORY,0))</f>
        <v>10</v>
      </c>
      <c r="AL144">
        <f ca="1">IF(T_EMPLOYEES[[#This Row],[EMPLOYEE NUMBER]]="","",MATCH(T_EMPLOYEES[[#This Row],[JOB LEVEL]],L_JOBLEVEL,0))</f>
        <v>4</v>
      </c>
      <c r="AM144">
        <f ca="1">IF(T_EMPLOYEES[[#This Row],[EMPLOYEE NUMBER]]="","",MATCH(T_EMPLOYEES[[#This Row],[JOB TITLE]],L_JOBTITLE,0))</f>
        <v>10</v>
      </c>
      <c r="AN144">
        <f ca="1">IF(T_EMPLOYEES[[#This Row],[EMPLOYEE NUMBER]]="","",MATCH(T_EMPLOYEES[[#This Row],[MANAGER]],L_EMPLABELS,0))</f>
        <v>58</v>
      </c>
      <c r="AO144">
        <f ca="1">IF(T_EMPLOYEES[[#This Row],[EMPLOYEE NUMBER]]="","",IF(T_EMPLOYEES[[#This Row],[ERROR]]="",0,1))</f>
        <v>0</v>
      </c>
      <c r="AP14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5" spans="1:42">
      <c r="A145" t="s">
        <v>401</v>
      </c>
      <c r="B145" t="s">
        <v>634</v>
      </c>
      <c r="C145">
        <v>1033922</v>
      </c>
      <c r="D145" t="s">
        <v>635</v>
      </c>
      <c r="E145" s="26">
        <v>32351</v>
      </c>
      <c r="F145" s="26">
        <v>45247</v>
      </c>
      <c r="H145" t="s">
        <v>27</v>
      </c>
      <c r="I145" t="s">
        <v>54</v>
      </c>
      <c r="J145" t="s">
        <v>64</v>
      </c>
      <c r="K145" t="s">
        <v>55</v>
      </c>
      <c r="L145" s="27" t="s">
        <v>45</v>
      </c>
      <c r="M145" t="s">
        <v>46</v>
      </c>
      <c r="N145" t="s">
        <v>149</v>
      </c>
      <c r="O145" t="s">
        <v>71</v>
      </c>
      <c r="P145" t="s">
        <v>149</v>
      </c>
      <c r="Q145" t="s">
        <v>418</v>
      </c>
      <c r="R145">
        <v>5</v>
      </c>
      <c r="S145" s="1">
        <v>250000</v>
      </c>
      <c r="T145" s="1">
        <f ca="1">ROUND(T_EMPLOYEES[[#This Row],[EMP_CTC1]]/12, 0)</f>
        <v>20833</v>
      </c>
      <c r="U145" s="1">
        <v>150000</v>
      </c>
      <c r="V145" s="1" t="s">
        <v>207</v>
      </c>
      <c r="W145" s="1" t="s">
        <v>207</v>
      </c>
      <c r="X14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Ashish Sandu (1033922)</v>
      </c>
      <c r="Y145">
        <v>60000</v>
      </c>
      <c r="Z145" s="29">
        <f t="shared" ca="1" si="3"/>
        <v>40</v>
      </c>
      <c r="AA145">
        <f ca="1">IF(T_EMPLOYEES[[#This Row],[EMPLOYEE NUMBER]]="","",ROW(T_EMPLOYEES[[#This Row],[EMPLOYEE LABEL]])-ROW(T_EMPLOYEES[[#Headers],[EMPLOYEE LABEL]]))</f>
        <v>142</v>
      </c>
      <c r="AB145">
        <f ca="1">IF(T_EMPLOYEES[[#This Row],[EMPLOYEE NUMBER]]="","",IF(COUNTIF(T_EMPLOYEES[EMPLOYEE NUMBER],T_EMPLOYEES[[#This Row],[EMPLOYEE NUMBER]])&gt;1,1,0))</f>
        <v>0</v>
      </c>
      <c r="AC145">
        <f ca="1">IF(T_EMPLOYEES[[#This Row],[EMPLOYEE NUMBER]]="","",IF(AND(T_EMPLOYEES[[#This Row],[DATE OF BIRTH]]&gt;0,T_EMPLOYEES[[#This Row],[DATE OF BIRTH]]&lt;TODAY()),0,1))</f>
        <v>0</v>
      </c>
      <c r="AD145">
        <f ca="1">IF(T_EMPLOYEES[[#This Row],[EMPLOYEE NUMBER]]="","",IF(AND(T_EMPLOYEES[[#This Row],[START DATE]]&gt;0,T_EMPLOYEES[[#This Row],[START DATE]]&lt;TODAY()+60),0,1))</f>
        <v>0</v>
      </c>
      <c r="AE145">
        <f ca="1">IF(T_EMPLOYEES[[#This Row],[EMPLOYEE NUMBER]]="","",MATCH(T_EMPLOYEES[[#This Row],[GENDER]],L_GENDER,0))</f>
        <v>1</v>
      </c>
      <c r="AF145">
        <f ca="1">IF(T_EMPLOYEES[[#This Row],[EMPLOYEE NUMBER]]="","",MATCH(T_EMPLOYEES[[#This Row],[HIRE SOURCE]],L_HIRESOURCE,0))</f>
        <v>4</v>
      </c>
      <c r="AG145">
        <f ca="1">IF(T_EMPLOYEES[[#This Row],[EMPLOYEE NUMBER]]="","",MATCH(T_EMPLOYEES[[#This Row],[ETHNICITY]],L_ETHNICITY,0))</f>
        <v>3</v>
      </c>
      <c r="AH145">
        <f ca="1">IF(T_EMPLOYEES[[#This Row],[EMPLOYEE NUMBER]]="","",MATCH(T_EMPLOYEES[[#This Row],[LOCATION]],L_LOCATION,0))</f>
        <v>3</v>
      </c>
      <c r="AI145">
        <f ca="1">IF(T_EMPLOYEES[[#This Row],[EMPLOYEE NUMBER]]="","",MATCH(T_EMPLOYEES[[#This Row],[DEPARTMENT]],L_DEPARTMENT,0))</f>
        <v>2</v>
      </c>
      <c r="AJ145">
        <f ca="1">IF(T_EMPLOYEES[[#This Row],[EMPLOYEE NUMBER]]="","",MATCH(T_EMPLOYEES[[#This Row],[JOB TYPE]],L_JOBTYPE,0))</f>
        <v>2</v>
      </c>
      <c r="AK145">
        <f ca="1">IF(T_EMPLOYEES[[#This Row],[EMPLOYEE NUMBER]]="","",MATCH(T_EMPLOYEES[[#This Row],[JOB CATEGORY]],L_JOBCATEGORY,0))</f>
        <v>28</v>
      </c>
      <c r="AL145">
        <f ca="1">IF(T_EMPLOYEES[[#This Row],[EMPLOYEE NUMBER]]="","",MATCH(T_EMPLOYEES[[#This Row],[JOB LEVEL]],L_JOBLEVEL,0))</f>
        <v>4</v>
      </c>
      <c r="AM145">
        <f ca="1">IF(T_EMPLOYEES[[#This Row],[EMPLOYEE NUMBER]]="","",MATCH(T_EMPLOYEES[[#This Row],[JOB TITLE]],L_JOBTITLE,0))</f>
        <v>28</v>
      </c>
      <c r="AN145">
        <f ca="1">IF(T_EMPLOYEES[[#This Row],[EMPLOYEE NUMBER]]="","",MATCH(T_EMPLOYEES[[#This Row],[MANAGER]],L_EMPLABELS,0))</f>
        <v>120</v>
      </c>
      <c r="AO145">
        <f ca="1">IF(T_EMPLOYEES[[#This Row],[EMPLOYEE NUMBER]]="","",IF(T_EMPLOYEES[[#This Row],[ERROR]]="",0,1))</f>
        <v>0</v>
      </c>
      <c r="AP14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6" spans="1:42">
      <c r="A146" t="s">
        <v>636</v>
      </c>
      <c r="B146" t="s">
        <v>637</v>
      </c>
      <c r="C146">
        <v>1023417</v>
      </c>
      <c r="D146" t="s">
        <v>638</v>
      </c>
      <c r="E146" s="26">
        <v>32379</v>
      </c>
      <c r="F146" s="26">
        <v>44014</v>
      </c>
      <c r="H146" t="s">
        <v>27</v>
      </c>
      <c r="I146" t="s">
        <v>54</v>
      </c>
      <c r="J146" t="s">
        <v>64</v>
      </c>
      <c r="K146" t="s">
        <v>30</v>
      </c>
      <c r="L146" s="27" t="s">
        <v>45</v>
      </c>
      <c r="M146" t="s">
        <v>46</v>
      </c>
      <c r="N146" t="s">
        <v>128</v>
      </c>
      <c r="O146" t="s">
        <v>60</v>
      </c>
      <c r="P146" t="s">
        <v>128</v>
      </c>
      <c r="Q146" t="s">
        <v>218</v>
      </c>
      <c r="R146" s="27">
        <v>3</v>
      </c>
      <c r="S146" s="1">
        <v>250000</v>
      </c>
      <c r="T146" s="1">
        <f ca="1">ROUND(T_EMPLOYEES[[#This Row],[EMP_CTC1]]/12, 0)</f>
        <v>20833</v>
      </c>
      <c r="U146" s="1">
        <v>150000</v>
      </c>
      <c r="V146" s="1" t="s">
        <v>207</v>
      </c>
      <c r="W146" s="1" t="s">
        <v>207</v>
      </c>
      <c r="X14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Jahangir Pasha Shaik (1023417)</v>
      </c>
      <c r="Y146">
        <v>60000</v>
      </c>
      <c r="Z146" s="29">
        <f t="shared" ca="1" si="3"/>
        <v>40</v>
      </c>
      <c r="AA146">
        <f ca="1">IF(T_EMPLOYEES[[#This Row],[EMPLOYEE NUMBER]]="","",ROW(T_EMPLOYEES[[#This Row],[EMPLOYEE LABEL]])-ROW(T_EMPLOYEES[[#Headers],[EMPLOYEE LABEL]]))</f>
        <v>143</v>
      </c>
      <c r="AB146">
        <f ca="1">IF(T_EMPLOYEES[[#This Row],[EMPLOYEE NUMBER]]="","",IF(COUNTIF(T_EMPLOYEES[EMPLOYEE NUMBER],T_EMPLOYEES[[#This Row],[EMPLOYEE NUMBER]])&gt;1,1,0))</f>
        <v>0</v>
      </c>
      <c r="AC146">
        <f ca="1">IF(T_EMPLOYEES[[#This Row],[EMPLOYEE NUMBER]]="","",IF(AND(T_EMPLOYEES[[#This Row],[DATE OF BIRTH]]&gt;0,T_EMPLOYEES[[#This Row],[DATE OF BIRTH]]&lt;TODAY()),0,1))</f>
        <v>0</v>
      </c>
      <c r="AD146">
        <f ca="1">IF(T_EMPLOYEES[[#This Row],[EMPLOYEE NUMBER]]="","",IF(AND(T_EMPLOYEES[[#This Row],[START DATE]]&gt;0,T_EMPLOYEES[[#This Row],[START DATE]]&lt;TODAY()+60),0,1))</f>
        <v>0</v>
      </c>
      <c r="AE146">
        <f ca="1">IF(T_EMPLOYEES[[#This Row],[EMPLOYEE NUMBER]]="","",MATCH(T_EMPLOYEES[[#This Row],[GENDER]],L_GENDER,0))</f>
        <v>1</v>
      </c>
      <c r="AF146">
        <f ca="1">IF(T_EMPLOYEES[[#This Row],[EMPLOYEE NUMBER]]="","",MATCH(T_EMPLOYEES[[#This Row],[HIRE SOURCE]],L_HIRESOURCE,0))</f>
        <v>4</v>
      </c>
      <c r="AG146">
        <f ca="1">IF(T_EMPLOYEES[[#This Row],[EMPLOYEE NUMBER]]="","",MATCH(T_EMPLOYEES[[#This Row],[ETHNICITY]],L_ETHNICITY,0))</f>
        <v>3</v>
      </c>
      <c r="AH146">
        <f ca="1">IF(T_EMPLOYEES[[#This Row],[EMPLOYEE NUMBER]]="","",MATCH(T_EMPLOYEES[[#This Row],[LOCATION]],L_LOCATION,0))</f>
        <v>1</v>
      </c>
      <c r="AI146">
        <f ca="1">IF(T_EMPLOYEES[[#This Row],[EMPLOYEE NUMBER]]="","",MATCH(T_EMPLOYEES[[#This Row],[DEPARTMENT]],L_DEPARTMENT,0))</f>
        <v>2</v>
      </c>
      <c r="AJ146">
        <f ca="1">IF(T_EMPLOYEES[[#This Row],[EMPLOYEE NUMBER]]="","",MATCH(T_EMPLOYEES[[#This Row],[JOB TYPE]],L_JOBTYPE,0))</f>
        <v>2</v>
      </c>
      <c r="AK146">
        <f ca="1">IF(T_EMPLOYEES[[#This Row],[EMPLOYEE NUMBER]]="","",MATCH(T_EMPLOYEES[[#This Row],[JOB CATEGORY]],L_JOBCATEGORY,0))</f>
        <v>15</v>
      </c>
      <c r="AL146">
        <f ca="1">IF(T_EMPLOYEES[[#This Row],[EMPLOYEE NUMBER]]="","",MATCH(T_EMPLOYEES[[#This Row],[JOB LEVEL]],L_JOBLEVEL,0))</f>
        <v>3</v>
      </c>
      <c r="AM146">
        <f ca="1">IF(T_EMPLOYEES[[#This Row],[EMPLOYEE NUMBER]]="","",MATCH(T_EMPLOYEES[[#This Row],[JOB TITLE]],L_JOBTITLE,0))</f>
        <v>15</v>
      </c>
      <c r="AN146">
        <f ca="1">IF(T_EMPLOYEES[[#This Row],[EMPLOYEE NUMBER]]="","",MATCH(T_EMPLOYEES[[#This Row],[MANAGER]],L_EMPLABELS,0))</f>
        <v>43</v>
      </c>
      <c r="AO146">
        <f ca="1">IF(T_EMPLOYEES[[#This Row],[EMPLOYEE NUMBER]]="","",IF(T_EMPLOYEES[[#This Row],[ERROR]]="",0,1))</f>
        <v>0</v>
      </c>
      <c r="AP14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7" spans="1:42">
      <c r="A147" t="s">
        <v>639</v>
      </c>
      <c r="B147" t="s">
        <v>640</v>
      </c>
      <c r="C147">
        <v>1027017</v>
      </c>
      <c r="D147" t="s">
        <v>641</v>
      </c>
      <c r="E147" s="26">
        <v>32380</v>
      </c>
      <c r="F147" s="26">
        <v>44498</v>
      </c>
      <c r="H147" t="s">
        <v>27</v>
      </c>
      <c r="I147" t="s">
        <v>54</v>
      </c>
      <c r="J147" t="s">
        <v>64</v>
      </c>
      <c r="K147" t="s">
        <v>30</v>
      </c>
      <c r="L147" s="27" t="s">
        <v>45</v>
      </c>
      <c r="M147" t="s">
        <v>46</v>
      </c>
      <c r="N147" t="s">
        <v>111</v>
      </c>
      <c r="O147" t="s">
        <v>71</v>
      </c>
      <c r="P147" t="s">
        <v>111</v>
      </c>
      <c r="Q147" t="s">
        <v>549</v>
      </c>
      <c r="R147">
        <v>5</v>
      </c>
      <c r="S147" s="1">
        <v>250000</v>
      </c>
      <c r="T147" s="1">
        <f ca="1">ROUND(T_EMPLOYEES[[#This Row],[EMP_CTC1]]/12, 0)</f>
        <v>20833</v>
      </c>
      <c r="U147" s="1">
        <v>150000</v>
      </c>
      <c r="V147" s="1" t="s">
        <v>207</v>
      </c>
      <c r="W147" s="1" t="s">
        <v>207</v>
      </c>
      <c r="X14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Shaik Jabeer Basha (1027017)</v>
      </c>
      <c r="Y147">
        <v>60000</v>
      </c>
      <c r="Z147" s="29">
        <f t="shared" ca="1" si="3"/>
        <v>40</v>
      </c>
      <c r="AA147">
        <f ca="1">IF(T_EMPLOYEES[[#This Row],[EMPLOYEE NUMBER]]="","",ROW(T_EMPLOYEES[[#This Row],[EMPLOYEE LABEL]])-ROW(T_EMPLOYEES[[#Headers],[EMPLOYEE LABEL]]))</f>
        <v>144</v>
      </c>
      <c r="AB147">
        <f ca="1">IF(T_EMPLOYEES[[#This Row],[EMPLOYEE NUMBER]]="","",IF(COUNTIF(T_EMPLOYEES[EMPLOYEE NUMBER],T_EMPLOYEES[[#This Row],[EMPLOYEE NUMBER]])&gt;1,1,0))</f>
        <v>0</v>
      </c>
      <c r="AC147">
        <f ca="1">IF(T_EMPLOYEES[[#This Row],[EMPLOYEE NUMBER]]="","",IF(AND(T_EMPLOYEES[[#This Row],[DATE OF BIRTH]]&gt;0,T_EMPLOYEES[[#This Row],[DATE OF BIRTH]]&lt;TODAY()),0,1))</f>
        <v>0</v>
      </c>
      <c r="AD147">
        <f ca="1">IF(T_EMPLOYEES[[#This Row],[EMPLOYEE NUMBER]]="","",IF(AND(T_EMPLOYEES[[#This Row],[START DATE]]&gt;0,T_EMPLOYEES[[#This Row],[START DATE]]&lt;TODAY()+60),0,1))</f>
        <v>0</v>
      </c>
      <c r="AE147">
        <f ca="1">IF(T_EMPLOYEES[[#This Row],[EMPLOYEE NUMBER]]="","",MATCH(T_EMPLOYEES[[#This Row],[GENDER]],L_GENDER,0))</f>
        <v>1</v>
      </c>
      <c r="AF147">
        <f ca="1">IF(T_EMPLOYEES[[#This Row],[EMPLOYEE NUMBER]]="","",MATCH(T_EMPLOYEES[[#This Row],[HIRE SOURCE]],L_HIRESOURCE,0))</f>
        <v>4</v>
      </c>
      <c r="AG147">
        <f ca="1">IF(T_EMPLOYEES[[#This Row],[EMPLOYEE NUMBER]]="","",MATCH(T_EMPLOYEES[[#This Row],[ETHNICITY]],L_ETHNICITY,0))</f>
        <v>3</v>
      </c>
      <c r="AH147">
        <f ca="1">IF(T_EMPLOYEES[[#This Row],[EMPLOYEE NUMBER]]="","",MATCH(T_EMPLOYEES[[#This Row],[LOCATION]],L_LOCATION,0))</f>
        <v>1</v>
      </c>
      <c r="AI147">
        <f ca="1">IF(T_EMPLOYEES[[#This Row],[EMPLOYEE NUMBER]]="","",MATCH(T_EMPLOYEES[[#This Row],[DEPARTMENT]],L_DEPARTMENT,0))</f>
        <v>2</v>
      </c>
      <c r="AJ147">
        <f ca="1">IF(T_EMPLOYEES[[#This Row],[EMPLOYEE NUMBER]]="","",MATCH(T_EMPLOYEES[[#This Row],[JOB TYPE]],L_JOBTYPE,0))</f>
        <v>2</v>
      </c>
      <c r="AK147">
        <f ca="1">IF(T_EMPLOYEES[[#This Row],[EMPLOYEE NUMBER]]="","",MATCH(T_EMPLOYEES[[#This Row],[JOB CATEGORY]],L_JOBCATEGORY,0))</f>
        <v>10</v>
      </c>
      <c r="AL147">
        <f ca="1">IF(T_EMPLOYEES[[#This Row],[EMPLOYEE NUMBER]]="","",MATCH(T_EMPLOYEES[[#This Row],[JOB LEVEL]],L_JOBLEVEL,0))</f>
        <v>4</v>
      </c>
      <c r="AM147">
        <f ca="1">IF(T_EMPLOYEES[[#This Row],[EMPLOYEE NUMBER]]="","",MATCH(T_EMPLOYEES[[#This Row],[JOB TITLE]],L_JOBTITLE,0))</f>
        <v>10</v>
      </c>
      <c r="AN147">
        <f ca="1">IF(T_EMPLOYEES[[#This Row],[EMPLOYEE NUMBER]]="","",MATCH(T_EMPLOYEES[[#This Row],[MANAGER]],L_EMPLABELS,0))</f>
        <v>50</v>
      </c>
      <c r="AO147">
        <f ca="1">IF(T_EMPLOYEES[[#This Row],[EMPLOYEE NUMBER]]="","",IF(T_EMPLOYEES[[#This Row],[ERROR]]="",0,1))</f>
        <v>0</v>
      </c>
      <c r="AP14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8" spans="1:42">
      <c r="A148" t="s">
        <v>642</v>
      </c>
      <c r="B148" t="s">
        <v>643</v>
      </c>
      <c r="C148">
        <v>1020308</v>
      </c>
      <c r="D148" t="s">
        <v>644</v>
      </c>
      <c r="E148" s="26">
        <v>32491</v>
      </c>
      <c r="F148" s="26">
        <v>43171</v>
      </c>
      <c r="H148" t="s">
        <v>40</v>
      </c>
      <c r="I148" t="s">
        <v>54</v>
      </c>
      <c r="J148" t="s">
        <v>64</v>
      </c>
      <c r="K148" t="s">
        <v>30</v>
      </c>
      <c r="L148" s="27" t="s">
        <v>45</v>
      </c>
      <c r="M148" t="s">
        <v>46</v>
      </c>
      <c r="N148" t="s">
        <v>47</v>
      </c>
      <c r="O148" t="s">
        <v>90</v>
      </c>
      <c r="P148" t="s">
        <v>47</v>
      </c>
      <c r="Q148" t="s">
        <v>215</v>
      </c>
      <c r="R148" s="27">
        <v>7</v>
      </c>
      <c r="S148" s="1">
        <v>250000</v>
      </c>
      <c r="T148" s="1">
        <f ca="1">ROUND(T_EMPLOYEES[[#This Row],[EMP_CTC1]]/12, 0)</f>
        <v>20833</v>
      </c>
      <c r="U148" s="1">
        <v>150000</v>
      </c>
      <c r="V148" s="1" t="s">
        <v>207</v>
      </c>
      <c r="W148" s="1" t="s">
        <v>207</v>
      </c>
      <c r="X14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Kavita Doraisamy (1020308)</v>
      </c>
      <c r="Y148">
        <v>60000</v>
      </c>
      <c r="Z148" s="29">
        <f t="shared" ca="1" si="3"/>
        <v>40</v>
      </c>
      <c r="AA148">
        <f ca="1">IF(T_EMPLOYEES[[#This Row],[EMPLOYEE NUMBER]]="","",ROW(T_EMPLOYEES[[#This Row],[EMPLOYEE LABEL]])-ROW(T_EMPLOYEES[[#Headers],[EMPLOYEE LABEL]]))</f>
        <v>145</v>
      </c>
      <c r="AB148">
        <f ca="1">IF(T_EMPLOYEES[[#This Row],[EMPLOYEE NUMBER]]="","",IF(COUNTIF(T_EMPLOYEES[EMPLOYEE NUMBER],T_EMPLOYEES[[#This Row],[EMPLOYEE NUMBER]])&gt;1,1,0))</f>
        <v>0</v>
      </c>
      <c r="AC148">
        <f ca="1">IF(T_EMPLOYEES[[#This Row],[EMPLOYEE NUMBER]]="","",IF(AND(T_EMPLOYEES[[#This Row],[DATE OF BIRTH]]&gt;0,T_EMPLOYEES[[#This Row],[DATE OF BIRTH]]&lt;TODAY()),0,1))</f>
        <v>0</v>
      </c>
      <c r="AD148">
        <f ca="1">IF(T_EMPLOYEES[[#This Row],[EMPLOYEE NUMBER]]="","",IF(AND(T_EMPLOYEES[[#This Row],[START DATE]]&gt;0,T_EMPLOYEES[[#This Row],[START DATE]]&lt;TODAY()+60),0,1))</f>
        <v>0</v>
      </c>
      <c r="AE148">
        <f ca="1">IF(T_EMPLOYEES[[#This Row],[EMPLOYEE NUMBER]]="","",MATCH(T_EMPLOYEES[[#This Row],[GENDER]],L_GENDER,0))</f>
        <v>2</v>
      </c>
      <c r="AF148">
        <f ca="1">IF(T_EMPLOYEES[[#This Row],[EMPLOYEE NUMBER]]="","",MATCH(T_EMPLOYEES[[#This Row],[HIRE SOURCE]],L_HIRESOURCE,0))</f>
        <v>4</v>
      </c>
      <c r="AG148">
        <f ca="1">IF(T_EMPLOYEES[[#This Row],[EMPLOYEE NUMBER]]="","",MATCH(T_EMPLOYEES[[#This Row],[ETHNICITY]],L_ETHNICITY,0))</f>
        <v>3</v>
      </c>
      <c r="AH148">
        <f ca="1">IF(T_EMPLOYEES[[#This Row],[EMPLOYEE NUMBER]]="","",MATCH(T_EMPLOYEES[[#This Row],[LOCATION]],L_LOCATION,0))</f>
        <v>1</v>
      </c>
      <c r="AI148">
        <f ca="1">IF(T_EMPLOYEES[[#This Row],[EMPLOYEE NUMBER]]="","",MATCH(T_EMPLOYEES[[#This Row],[DEPARTMENT]],L_DEPARTMENT,0))</f>
        <v>2</v>
      </c>
      <c r="AJ148">
        <f ca="1">IF(T_EMPLOYEES[[#This Row],[EMPLOYEE NUMBER]]="","",MATCH(T_EMPLOYEES[[#This Row],[JOB TYPE]],L_JOBTYPE,0))</f>
        <v>2</v>
      </c>
      <c r="AK148">
        <f ca="1">IF(T_EMPLOYEES[[#This Row],[EMPLOYEE NUMBER]]="","",MATCH(T_EMPLOYEES[[#This Row],[JOB CATEGORY]],L_JOBCATEGORY,0))</f>
        <v>2</v>
      </c>
      <c r="AL148">
        <f ca="1">IF(T_EMPLOYEES[[#This Row],[EMPLOYEE NUMBER]]="","",MATCH(T_EMPLOYEES[[#This Row],[JOB LEVEL]],L_JOBLEVEL,0))</f>
        <v>6</v>
      </c>
      <c r="AM148">
        <f ca="1">IF(T_EMPLOYEES[[#This Row],[EMPLOYEE NUMBER]]="","",MATCH(T_EMPLOYEES[[#This Row],[JOB TITLE]],L_JOBTITLE,0))</f>
        <v>2</v>
      </c>
      <c r="AN148">
        <f ca="1">IF(T_EMPLOYEES[[#This Row],[EMPLOYEE NUMBER]]="","",MATCH(T_EMPLOYEES[[#This Row],[MANAGER]],L_EMPLABELS,0))</f>
        <v>13</v>
      </c>
      <c r="AO148">
        <f ca="1">IF(T_EMPLOYEES[[#This Row],[EMPLOYEE NUMBER]]="","",IF(T_EMPLOYEES[[#This Row],[ERROR]]="",0,1))</f>
        <v>0</v>
      </c>
      <c r="AP14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9" spans="1:42">
      <c r="A149" t="s">
        <v>550</v>
      </c>
      <c r="B149" t="s">
        <v>645</v>
      </c>
      <c r="C149">
        <v>1026567</v>
      </c>
      <c r="D149" t="s">
        <v>646</v>
      </c>
      <c r="E149" s="26">
        <v>32503</v>
      </c>
      <c r="F149" s="26">
        <v>44466</v>
      </c>
      <c r="H149" t="s">
        <v>27</v>
      </c>
      <c r="I149" t="s">
        <v>54</v>
      </c>
      <c r="J149" t="s">
        <v>64</v>
      </c>
      <c r="K149" t="s">
        <v>30</v>
      </c>
      <c r="L149" s="27" t="s">
        <v>45</v>
      </c>
      <c r="M149" t="s">
        <v>46</v>
      </c>
      <c r="N149" t="s">
        <v>89</v>
      </c>
      <c r="O149" t="s">
        <v>60</v>
      </c>
      <c r="P149" t="s">
        <v>89</v>
      </c>
      <c r="Q149" t="s">
        <v>218</v>
      </c>
      <c r="R149">
        <v>3</v>
      </c>
      <c r="S149" s="1">
        <v>250000</v>
      </c>
      <c r="T149" s="1">
        <f ca="1">ROUND(T_EMPLOYEES[[#This Row],[EMP_CTC1]]/12, 0)</f>
        <v>20833</v>
      </c>
      <c r="U149" s="1">
        <v>150000</v>
      </c>
      <c r="V149" s="1" t="s">
        <v>207</v>
      </c>
      <c r="W149" s="1" t="s">
        <v>207</v>
      </c>
      <c r="X14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Abhishek  Venkatesh (1026567)</v>
      </c>
      <c r="Y149">
        <v>60000</v>
      </c>
      <c r="Z149" s="29">
        <f t="shared" ca="1" si="3"/>
        <v>40</v>
      </c>
      <c r="AA149">
        <f ca="1">IF(T_EMPLOYEES[[#This Row],[EMPLOYEE NUMBER]]="","",ROW(T_EMPLOYEES[[#This Row],[EMPLOYEE LABEL]])-ROW(T_EMPLOYEES[[#Headers],[EMPLOYEE LABEL]]))</f>
        <v>146</v>
      </c>
      <c r="AB149">
        <f ca="1">IF(T_EMPLOYEES[[#This Row],[EMPLOYEE NUMBER]]="","",IF(COUNTIF(T_EMPLOYEES[EMPLOYEE NUMBER],T_EMPLOYEES[[#This Row],[EMPLOYEE NUMBER]])&gt;1,1,0))</f>
        <v>0</v>
      </c>
      <c r="AC149">
        <f ca="1">IF(T_EMPLOYEES[[#This Row],[EMPLOYEE NUMBER]]="","",IF(AND(T_EMPLOYEES[[#This Row],[DATE OF BIRTH]]&gt;0,T_EMPLOYEES[[#This Row],[DATE OF BIRTH]]&lt;TODAY()),0,1))</f>
        <v>0</v>
      </c>
      <c r="AD149">
        <f ca="1">IF(T_EMPLOYEES[[#This Row],[EMPLOYEE NUMBER]]="","",IF(AND(T_EMPLOYEES[[#This Row],[START DATE]]&gt;0,T_EMPLOYEES[[#This Row],[START DATE]]&lt;TODAY()+60),0,1))</f>
        <v>0</v>
      </c>
      <c r="AE149">
        <f ca="1">IF(T_EMPLOYEES[[#This Row],[EMPLOYEE NUMBER]]="","",MATCH(T_EMPLOYEES[[#This Row],[GENDER]],L_GENDER,0))</f>
        <v>1</v>
      </c>
      <c r="AF149">
        <f ca="1">IF(T_EMPLOYEES[[#This Row],[EMPLOYEE NUMBER]]="","",MATCH(T_EMPLOYEES[[#This Row],[HIRE SOURCE]],L_HIRESOURCE,0))</f>
        <v>4</v>
      </c>
      <c r="AG149">
        <f ca="1">IF(T_EMPLOYEES[[#This Row],[EMPLOYEE NUMBER]]="","",MATCH(T_EMPLOYEES[[#This Row],[ETHNICITY]],L_ETHNICITY,0))</f>
        <v>3</v>
      </c>
      <c r="AH149">
        <f ca="1">IF(T_EMPLOYEES[[#This Row],[EMPLOYEE NUMBER]]="","",MATCH(T_EMPLOYEES[[#This Row],[LOCATION]],L_LOCATION,0))</f>
        <v>1</v>
      </c>
      <c r="AI149">
        <f ca="1">IF(T_EMPLOYEES[[#This Row],[EMPLOYEE NUMBER]]="","",MATCH(T_EMPLOYEES[[#This Row],[DEPARTMENT]],L_DEPARTMENT,0))</f>
        <v>2</v>
      </c>
      <c r="AJ149">
        <f ca="1">IF(T_EMPLOYEES[[#This Row],[EMPLOYEE NUMBER]]="","",MATCH(T_EMPLOYEES[[#This Row],[JOB TYPE]],L_JOBTYPE,0))</f>
        <v>2</v>
      </c>
      <c r="AK149">
        <f ca="1">IF(T_EMPLOYEES[[#This Row],[EMPLOYEE NUMBER]]="","",MATCH(T_EMPLOYEES[[#This Row],[JOB CATEGORY]],L_JOBCATEGORY,0))</f>
        <v>6</v>
      </c>
      <c r="AL149">
        <f ca="1">IF(T_EMPLOYEES[[#This Row],[EMPLOYEE NUMBER]]="","",MATCH(T_EMPLOYEES[[#This Row],[JOB LEVEL]],L_JOBLEVEL,0))</f>
        <v>3</v>
      </c>
      <c r="AM149">
        <f ca="1">IF(T_EMPLOYEES[[#This Row],[EMPLOYEE NUMBER]]="","",MATCH(T_EMPLOYEES[[#This Row],[JOB TITLE]],L_JOBTITLE,0))</f>
        <v>6</v>
      </c>
      <c r="AN149">
        <f ca="1">IF(T_EMPLOYEES[[#This Row],[EMPLOYEE NUMBER]]="","",MATCH(T_EMPLOYEES[[#This Row],[MANAGER]],L_EMPLABELS,0))</f>
        <v>43</v>
      </c>
      <c r="AO149">
        <f ca="1">IF(T_EMPLOYEES[[#This Row],[EMPLOYEE NUMBER]]="","",IF(T_EMPLOYEES[[#This Row],[ERROR]]="",0,1))</f>
        <v>0</v>
      </c>
      <c r="AP14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0" spans="1:42">
      <c r="A150" t="s">
        <v>647</v>
      </c>
      <c r="B150" t="s">
        <v>648</v>
      </c>
      <c r="C150">
        <v>1030686</v>
      </c>
      <c r="D150" t="s">
        <v>649</v>
      </c>
      <c r="E150" s="26">
        <v>32510</v>
      </c>
      <c r="F150" s="26">
        <v>44853</v>
      </c>
      <c r="H150" t="s">
        <v>27</v>
      </c>
      <c r="I150" t="s">
        <v>54</v>
      </c>
      <c r="J150" t="s">
        <v>64</v>
      </c>
      <c r="K150" t="s">
        <v>43</v>
      </c>
      <c r="L150" s="27" t="s">
        <v>45</v>
      </c>
      <c r="M150" t="s">
        <v>46</v>
      </c>
      <c r="N150" t="s">
        <v>128</v>
      </c>
      <c r="O150" t="s">
        <v>60</v>
      </c>
      <c r="P150" t="s">
        <v>128</v>
      </c>
      <c r="Q150" t="s">
        <v>373</v>
      </c>
      <c r="R150" s="27">
        <v>3</v>
      </c>
      <c r="S150" s="1">
        <v>250000</v>
      </c>
      <c r="T150" s="1">
        <f ca="1">ROUND(T_EMPLOYEES[[#This Row],[EMP_CTC1]]/12, 0)</f>
        <v>20833</v>
      </c>
      <c r="U150" s="1">
        <v>150000</v>
      </c>
      <c r="V150" s="1" t="s">
        <v>207</v>
      </c>
      <c r="W150" s="1" t="s">
        <v>207</v>
      </c>
      <c r="X15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 Sathishkumar  Ramasamy (1030686)</v>
      </c>
      <c r="Y150">
        <v>60000</v>
      </c>
      <c r="Z150" s="29">
        <f t="shared" ca="1" si="3"/>
        <v>40</v>
      </c>
      <c r="AA150">
        <f ca="1">IF(T_EMPLOYEES[[#This Row],[EMPLOYEE NUMBER]]="","",ROW(T_EMPLOYEES[[#This Row],[EMPLOYEE LABEL]])-ROW(T_EMPLOYEES[[#Headers],[EMPLOYEE LABEL]]))</f>
        <v>147</v>
      </c>
      <c r="AB150">
        <f ca="1">IF(T_EMPLOYEES[[#This Row],[EMPLOYEE NUMBER]]="","",IF(COUNTIF(T_EMPLOYEES[EMPLOYEE NUMBER],T_EMPLOYEES[[#This Row],[EMPLOYEE NUMBER]])&gt;1,1,0))</f>
        <v>0</v>
      </c>
      <c r="AC150">
        <f ca="1">IF(T_EMPLOYEES[[#This Row],[EMPLOYEE NUMBER]]="","",IF(AND(T_EMPLOYEES[[#This Row],[DATE OF BIRTH]]&gt;0,T_EMPLOYEES[[#This Row],[DATE OF BIRTH]]&lt;TODAY()),0,1))</f>
        <v>0</v>
      </c>
      <c r="AD150">
        <f ca="1">IF(T_EMPLOYEES[[#This Row],[EMPLOYEE NUMBER]]="","",IF(AND(T_EMPLOYEES[[#This Row],[START DATE]]&gt;0,T_EMPLOYEES[[#This Row],[START DATE]]&lt;TODAY()+60),0,1))</f>
        <v>0</v>
      </c>
      <c r="AE150">
        <f ca="1">IF(T_EMPLOYEES[[#This Row],[EMPLOYEE NUMBER]]="","",MATCH(T_EMPLOYEES[[#This Row],[GENDER]],L_GENDER,0))</f>
        <v>1</v>
      </c>
      <c r="AF150">
        <f ca="1">IF(T_EMPLOYEES[[#This Row],[EMPLOYEE NUMBER]]="","",MATCH(T_EMPLOYEES[[#This Row],[HIRE SOURCE]],L_HIRESOURCE,0))</f>
        <v>4</v>
      </c>
      <c r="AG150">
        <f ca="1">IF(T_EMPLOYEES[[#This Row],[EMPLOYEE NUMBER]]="","",MATCH(T_EMPLOYEES[[#This Row],[ETHNICITY]],L_ETHNICITY,0))</f>
        <v>3</v>
      </c>
      <c r="AH150">
        <f ca="1">IF(T_EMPLOYEES[[#This Row],[EMPLOYEE NUMBER]]="","",MATCH(T_EMPLOYEES[[#This Row],[LOCATION]],L_LOCATION,0))</f>
        <v>2</v>
      </c>
      <c r="AI150">
        <f ca="1">IF(T_EMPLOYEES[[#This Row],[EMPLOYEE NUMBER]]="","",MATCH(T_EMPLOYEES[[#This Row],[DEPARTMENT]],L_DEPARTMENT,0))</f>
        <v>2</v>
      </c>
      <c r="AJ150">
        <f ca="1">IF(T_EMPLOYEES[[#This Row],[EMPLOYEE NUMBER]]="","",MATCH(T_EMPLOYEES[[#This Row],[JOB TYPE]],L_JOBTYPE,0))</f>
        <v>2</v>
      </c>
      <c r="AK150">
        <f ca="1">IF(T_EMPLOYEES[[#This Row],[EMPLOYEE NUMBER]]="","",MATCH(T_EMPLOYEES[[#This Row],[JOB CATEGORY]],L_JOBCATEGORY,0))</f>
        <v>15</v>
      </c>
      <c r="AL150">
        <f ca="1">IF(T_EMPLOYEES[[#This Row],[EMPLOYEE NUMBER]]="","",MATCH(T_EMPLOYEES[[#This Row],[JOB LEVEL]],L_JOBLEVEL,0))</f>
        <v>3</v>
      </c>
      <c r="AM150">
        <f ca="1">IF(T_EMPLOYEES[[#This Row],[EMPLOYEE NUMBER]]="","",MATCH(T_EMPLOYEES[[#This Row],[JOB TITLE]],L_JOBTITLE,0))</f>
        <v>15</v>
      </c>
      <c r="AN150">
        <f ca="1">IF(T_EMPLOYEES[[#This Row],[EMPLOYEE NUMBER]]="","",MATCH(T_EMPLOYEES[[#This Row],[MANAGER]],L_EMPLABELS,0))</f>
        <v>9</v>
      </c>
      <c r="AO150">
        <f ca="1">IF(T_EMPLOYEES[[#This Row],[EMPLOYEE NUMBER]]="","",IF(T_EMPLOYEES[[#This Row],[ERROR]]="",0,1))</f>
        <v>0</v>
      </c>
      <c r="AP15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1" spans="1:42">
      <c r="A151" t="s">
        <v>650</v>
      </c>
      <c r="B151" t="s">
        <v>651</v>
      </c>
      <c r="C151">
        <v>1032730</v>
      </c>
      <c r="D151" t="s">
        <v>652</v>
      </c>
      <c r="E151" s="26">
        <v>32590</v>
      </c>
      <c r="F151" s="26">
        <v>45057</v>
      </c>
      <c r="H151" t="s">
        <v>27</v>
      </c>
      <c r="I151" t="s">
        <v>54</v>
      </c>
      <c r="J151" t="s">
        <v>64</v>
      </c>
      <c r="K151" t="s">
        <v>30</v>
      </c>
      <c r="L151" s="27" t="s">
        <v>45</v>
      </c>
      <c r="M151" t="s">
        <v>46</v>
      </c>
      <c r="N151" t="s">
        <v>150</v>
      </c>
      <c r="O151" t="s">
        <v>60</v>
      </c>
      <c r="P151" t="s">
        <v>150</v>
      </c>
      <c r="Q151" t="s">
        <v>653</v>
      </c>
      <c r="R151">
        <v>3</v>
      </c>
      <c r="S151" s="1">
        <v>250000</v>
      </c>
      <c r="T151" s="1">
        <f ca="1">ROUND(T_EMPLOYEES[[#This Row],[EMP_CTC1]]/12, 0)</f>
        <v>20833</v>
      </c>
      <c r="U151" s="1">
        <v>150000</v>
      </c>
      <c r="V151" s="1" t="s">
        <v>207</v>
      </c>
      <c r="W151" s="1" t="s">
        <v>207</v>
      </c>
      <c r="X15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Vuppuluri Raghu Rami Reddy (1032730)</v>
      </c>
      <c r="Y151">
        <v>60000</v>
      </c>
      <c r="Z151" s="29">
        <f t="shared" ca="1" si="3"/>
        <v>40</v>
      </c>
      <c r="AA151">
        <f ca="1">IF(T_EMPLOYEES[[#This Row],[EMPLOYEE NUMBER]]="","",ROW(T_EMPLOYEES[[#This Row],[EMPLOYEE LABEL]])-ROW(T_EMPLOYEES[[#Headers],[EMPLOYEE LABEL]]))</f>
        <v>148</v>
      </c>
      <c r="AB151">
        <f ca="1">IF(T_EMPLOYEES[[#This Row],[EMPLOYEE NUMBER]]="","",IF(COUNTIF(T_EMPLOYEES[EMPLOYEE NUMBER],T_EMPLOYEES[[#This Row],[EMPLOYEE NUMBER]])&gt;1,1,0))</f>
        <v>0</v>
      </c>
      <c r="AC151">
        <f ca="1">IF(T_EMPLOYEES[[#This Row],[EMPLOYEE NUMBER]]="","",IF(AND(T_EMPLOYEES[[#This Row],[DATE OF BIRTH]]&gt;0,T_EMPLOYEES[[#This Row],[DATE OF BIRTH]]&lt;TODAY()),0,1))</f>
        <v>0</v>
      </c>
      <c r="AD151">
        <f ca="1">IF(T_EMPLOYEES[[#This Row],[EMPLOYEE NUMBER]]="","",IF(AND(T_EMPLOYEES[[#This Row],[START DATE]]&gt;0,T_EMPLOYEES[[#This Row],[START DATE]]&lt;TODAY()+60),0,1))</f>
        <v>0</v>
      </c>
      <c r="AE151">
        <f ca="1">IF(T_EMPLOYEES[[#This Row],[EMPLOYEE NUMBER]]="","",MATCH(T_EMPLOYEES[[#This Row],[GENDER]],L_GENDER,0))</f>
        <v>1</v>
      </c>
      <c r="AF151">
        <f ca="1">IF(T_EMPLOYEES[[#This Row],[EMPLOYEE NUMBER]]="","",MATCH(T_EMPLOYEES[[#This Row],[HIRE SOURCE]],L_HIRESOURCE,0))</f>
        <v>4</v>
      </c>
      <c r="AG151">
        <f ca="1">IF(T_EMPLOYEES[[#This Row],[EMPLOYEE NUMBER]]="","",MATCH(T_EMPLOYEES[[#This Row],[ETHNICITY]],L_ETHNICITY,0))</f>
        <v>3</v>
      </c>
      <c r="AH151">
        <f ca="1">IF(T_EMPLOYEES[[#This Row],[EMPLOYEE NUMBER]]="","",MATCH(T_EMPLOYEES[[#This Row],[LOCATION]],L_LOCATION,0))</f>
        <v>1</v>
      </c>
      <c r="AI151">
        <f ca="1">IF(T_EMPLOYEES[[#This Row],[EMPLOYEE NUMBER]]="","",MATCH(T_EMPLOYEES[[#This Row],[DEPARTMENT]],L_DEPARTMENT,0))</f>
        <v>2</v>
      </c>
      <c r="AJ151">
        <f ca="1">IF(T_EMPLOYEES[[#This Row],[EMPLOYEE NUMBER]]="","",MATCH(T_EMPLOYEES[[#This Row],[JOB TYPE]],L_JOBTYPE,0))</f>
        <v>2</v>
      </c>
      <c r="AK151">
        <f ca="1">IF(T_EMPLOYEES[[#This Row],[EMPLOYEE NUMBER]]="","",MATCH(T_EMPLOYEES[[#This Row],[JOB CATEGORY]],L_JOBCATEGORY,0))</f>
        <v>29</v>
      </c>
      <c r="AL151">
        <f ca="1">IF(T_EMPLOYEES[[#This Row],[EMPLOYEE NUMBER]]="","",MATCH(T_EMPLOYEES[[#This Row],[JOB LEVEL]],L_JOBLEVEL,0))</f>
        <v>3</v>
      </c>
      <c r="AM151">
        <f ca="1">IF(T_EMPLOYEES[[#This Row],[EMPLOYEE NUMBER]]="","",MATCH(T_EMPLOYEES[[#This Row],[JOB TITLE]],L_JOBTITLE,0))</f>
        <v>29</v>
      </c>
      <c r="AN151">
        <f ca="1">IF(T_EMPLOYEES[[#This Row],[EMPLOYEE NUMBER]]="","",MATCH(T_EMPLOYEES[[#This Row],[MANAGER]],L_EMPLABELS,0))</f>
        <v>7</v>
      </c>
      <c r="AO151">
        <f ca="1">IF(T_EMPLOYEES[[#This Row],[EMPLOYEE NUMBER]]="","",IF(T_EMPLOYEES[[#This Row],[ERROR]]="",0,1))</f>
        <v>0</v>
      </c>
      <c r="AP15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2" spans="1:42">
      <c r="A152" t="s">
        <v>654</v>
      </c>
      <c r="B152" t="s">
        <v>63</v>
      </c>
      <c r="C152">
        <v>1021537</v>
      </c>
      <c r="D152" t="s">
        <v>655</v>
      </c>
      <c r="E152" s="26">
        <v>32619</v>
      </c>
      <c r="F152" s="26">
        <v>43507</v>
      </c>
      <c r="H152" t="s">
        <v>27</v>
      </c>
      <c r="I152" t="s">
        <v>54</v>
      </c>
      <c r="J152" t="s">
        <v>64</v>
      </c>
      <c r="K152" t="s">
        <v>30</v>
      </c>
      <c r="L152" t="s">
        <v>130</v>
      </c>
      <c r="M152" t="s">
        <v>46</v>
      </c>
      <c r="N152" t="s">
        <v>111</v>
      </c>
      <c r="O152" t="s">
        <v>71</v>
      </c>
      <c r="P152" t="s">
        <v>111</v>
      </c>
      <c r="Q152" t="s">
        <v>337</v>
      </c>
      <c r="R152" s="27">
        <v>5</v>
      </c>
      <c r="S152" s="1">
        <v>250000</v>
      </c>
      <c r="T152" s="1">
        <f ca="1">ROUND(T_EMPLOYEES[[#This Row],[EMP_CTC1]]/12, 0)</f>
        <v>20833</v>
      </c>
      <c r="U152" s="1">
        <v>150000</v>
      </c>
      <c r="V152" s="1" t="s">
        <v>207</v>
      </c>
      <c r="W152" s="1" t="s">
        <v>207</v>
      </c>
      <c r="X15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Waseem M (1021537)</v>
      </c>
      <c r="Y152">
        <v>60000</v>
      </c>
      <c r="Z152" s="29">
        <f t="shared" ca="1" si="3"/>
        <v>40</v>
      </c>
      <c r="AA152">
        <f ca="1">IF(T_EMPLOYEES[[#This Row],[EMPLOYEE NUMBER]]="","",ROW(T_EMPLOYEES[[#This Row],[EMPLOYEE LABEL]])-ROW(T_EMPLOYEES[[#Headers],[EMPLOYEE LABEL]]))</f>
        <v>149</v>
      </c>
      <c r="AB152">
        <f ca="1">IF(T_EMPLOYEES[[#This Row],[EMPLOYEE NUMBER]]="","",IF(COUNTIF(T_EMPLOYEES[EMPLOYEE NUMBER],T_EMPLOYEES[[#This Row],[EMPLOYEE NUMBER]])&gt;1,1,0))</f>
        <v>0</v>
      </c>
      <c r="AC152">
        <f ca="1">IF(T_EMPLOYEES[[#This Row],[EMPLOYEE NUMBER]]="","",IF(AND(T_EMPLOYEES[[#This Row],[DATE OF BIRTH]]&gt;0,T_EMPLOYEES[[#This Row],[DATE OF BIRTH]]&lt;TODAY()),0,1))</f>
        <v>0</v>
      </c>
      <c r="AD152">
        <f ca="1">IF(T_EMPLOYEES[[#This Row],[EMPLOYEE NUMBER]]="","",IF(AND(T_EMPLOYEES[[#This Row],[START DATE]]&gt;0,T_EMPLOYEES[[#This Row],[START DATE]]&lt;TODAY()+60),0,1))</f>
        <v>0</v>
      </c>
      <c r="AE152">
        <f ca="1">IF(T_EMPLOYEES[[#This Row],[EMPLOYEE NUMBER]]="","",MATCH(T_EMPLOYEES[[#This Row],[GENDER]],L_GENDER,0))</f>
        <v>1</v>
      </c>
      <c r="AF152">
        <f ca="1">IF(T_EMPLOYEES[[#This Row],[EMPLOYEE NUMBER]]="","",MATCH(T_EMPLOYEES[[#This Row],[HIRE SOURCE]],L_HIRESOURCE,0))</f>
        <v>4</v>
      </c>
      <c r="AG152">
        <f ca="1">IF(T_EMPLOYEES[[#This Row],[EMPLOYEE NUMBER]]="","",MATCH(T_EMPLOYEES[[#This Row],[ETHNICITY]],L_ETHNICITY,0))</f>
        <v>3</v>
      </c>
      <c r="AH152">
        <f ca="1">IF(T_EMPLOYEES[[#This Row],[EMPLOYEE NUMBER]]="","",MATCH(T_EMPLOYEES[[#This Row],[LOCATION]],L_LOCATION,0))</f>
        <v>1</v>
      </c>
      <c r="AI152">
        <f ca="1">IF(T_EMPLOYEES[[#This Row],[EMPLOYEE NUMBER]]="","",MATCH(T_EMPLOYEES[[#This Row],[DEPARTMENT]],L_DEPARTMENT,0))</f>
        <v>16</v>
      </c>
      <c r="AJ152">
        <f ca="1">IF(T_EMPLOYEES[[#This Row],[EMPLOYEE NUMBER]]="","",MATCH(T_EMPLOYEES[[#This Row],[JOB TYPE]],L_JOBTYPE,0))</f>
        <v>2</v>
      </c>
      <c r="AK152">
        <f ca="1">IF(T_EMPLOYEES[[#This Row],[EMPLOYEE NUMBER]]="","",MATCH(T_EMPLOYEES[[#This Row],[JOB CATEGORY]],L_JOBCATEGORY,0))</f>
        <v>10</v>
      </c>
      <c r="AL152">
        <f ca="1">IF(T_EMPLOYEES[[#This Row],[EMPLOYEE NUMBER]]="","",MATCH(T_EMPLOYEES[[#This Row],[JOB LEVEL]],L_JOBLEVEL,0))</f>
        <v>4</v>
      </c>
      <c r="AM152">
        <f ca="1">IF(T_EMPLOYEES[[#This Row],[EMPLOYEE NUMBER]]="","",MATCH(T_EMPLOYEES[[#This Row],[JOB TITLE]],L_JOBTITLE,0))</f>
        <v>10</v>
      </c>
      <c r="AN152">
        <f ca="1">IF(T_EMPLOYEES[[#This Row],[EMPLOYEE NUMBER]]="","",MATCH(T_EMPLOYEES[[#This Row],[MANAGER]],L_EMPLABELS,0))</f>
        <v>48</v>
      </c>
      <c r="AO152">
        <f ca="1">IF(T_EMPLOYEES[[#This Row],[EMPLOYEE NUMBER]]="","",IF(T_EMPLOYEES[[#This Row],[ERROR]]="",0,1))</f>
        <v>0</v>
      </c>
      <c r="AP15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3" spans="1:42">
      <c r="A153" t="s">
        <v>656</v>
      </c>
      <c r="B153" t="s">
        <v>657</v>
      </c>
      <c r="C153">
        <v>1031050</v>
      </c>
      <c r="D153" t="s">
        <v>658</v>
      </c>
      <c r="E153" s="26">
        <v>32622</v>
      </c>
      <c r="F153" s="26">
        <v>44889</v>
      </c>
      <c r="H153" t="s">
        <v>27</v>
      </c>
      <c r="I153" t="s">
        <v>54</v>
      </c>
      <c r="J153" t="s">
        <v>64</v>
      </c>
      <c r="K153" t="s">
        <v>30</v>
      </c>
      <c r="L153" s="27" t="s">
        <v>45</v>
      </c>
      <c r="M153" t="s">
        <v>46</v>
      </c>
      <c r="N153" t="s">
        <v>151</v>
      </c>
      <c r="O153" t="s">
        <v>36</v>
      </c>
      <c r="P153" t="s">
        <v>151</v>
      </c>
      <c r="Q153" t="s">
        <v>608</v>
      </c>
      <c r="R153">
        <v>0</v>
      </c>
      <c r="S153" s="1">
        <v>250000</v>
      </c>
      <c r="T153" s="1">
        <f ca="1">ROUND(T_EMPLOYEES[[#This Row],[EMP_CTC1]]/12, 0)</f>
        <v>20833</v>
      </c>
      <c r="U153" s="1">
        <v>150000</v>
      </c>
      <c r="V153" s="1" t="s">
        <v>207</v>
      </c>
      <c r="W153" s="1" t="s">
        <v>207</v>
      </c>
      <c r="X15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Tembhurne Ashwin Nutandas (1031050)</v>
      </c>
      <c r="Y153">
        <v>60000</v>
      </c>
      <c r="Z153" s="29">
        <f t="shared" ca="1" si="3"/>
        <v>40</v>
      </c>
      <c r="AA153">
        <f ca="1">IF(T_EMPLOYEES[[#This Row],[EMPLOYEE NUMBER]]="","",ROW(T_EMPLOYEES[[#This Row],[EMPLOYEE LABEL]])-ROW(T_EMPLOYEES[[#Headers],[EMPLOYEE LABEL]]))</f>
        <v>150</v>
      </c>
      <c r="AB153">
        <f ca="1">IF(T_EMPLOYEES[[#This Row],[EMPLOYEE NUMBER]]="","",IF(COUNTIF(T_EMPLOYEES[EMPLOYEE NUMBER],T_EMPLOYEES[[#This Row],[EMPLOYEE NUMBER]])&gt;1,1,0))</f>
        <v>0</v>
      </c>
      <c r="AC153">
        <f ca="1">IF(T_EMPLOYEES[[#This Row],[EMPLOYEE NUMBER]]="","",IF(AND(T_EMPLOYEES[[#This Row],[DATE OF BIRTH]]&gt;0,T_EMPLOYEES[[#This Row],[DATE OF BIRTH]]&lt;TODAY()),0,1))</f>
        <v>0</v>
      </c>
      <c r="AD153">
        <f ca="1">IF(T_EMPLOYEES[[#This Row],[EMPLOYEE NUMBER]]="","",IF(AND(T_EMPLOYEES[[#This Row],[START DATE]]&gt;0,T_EMPLOYEES[[#This Row],[START DATE]]&lt;TODAY()+60),0,1))</f>
        <v>0</v>
      </c>
      <c r="AE153">
        <f ca="1">IF(T_EMPLOYEES[[#This Row],[EMPLOYEE NUMBER]]="","",MATCH(T_EMPLOYEES[[#This Row],[GENDER]],L_GENDER,0))</f>
        <v>1</v>
      </c>
      <c r="AF153">
        <f ca="1">IF(T_EMPLOYEES[[#This Row],[EMPLOYEE NUMBER]]="","",MATCH(T_EMPLOYEES[[#This Row],[HIRE SOURCE]],L_HIRESOURCE,0))</f>
        <v>4</v>
      </c>
      <c r="AG153">
        <f ca="1">IF(T_EMPLOYEES[[#This Row],[EMPLOYEE NUMBER]]="","",MATCH(T_EMPLOYEES[[#This Row],[ETHNICITY]],L_ETHNICITY,0))</f>
        <v>3</v>
      </c>
      <c r="AH153">
        <f ca="1">IF(T_EMPLOYEES[[#This Row],[EMPLOYEE NUMBER]]="","",MATCH(T_EMPLOYEES[[#This Row],[LOCATION]],L_LOCATION,0))</f>
        <v>1</v>
      </c>
      <c r="AI153">
        <f ca="1">IF(T_EMPLOYEES[[#This Row],[EMPLOYEE NUMBER]]="","",MATCH(T_EMPLOYEES[[#This Row],[DEPARTMENT]],L_DEPARTMENT,0))</f>
        <v>2</v>
      </c>
      <c r="AJ153">
        <f ca="1">IF(T_EMPLOYEES[[#This Row],[EMPLOYEE NUMBER]]="","",MATCH(T_EMPLOYEES[[#This Row],[JOB TYPE]],L_JOBTYPE,0))</f>
        <v>2</v>
      </c>
      <c r="AK153">
        <f ca="1">IF(T_EMPLOYEES[[#This Row],[EMPLOYEE NUMBER]]="","",MATCH(T_EMPLOYEES[[#This Row],[JOB CATEGORY]],L_JOBCATEGORY,0))</f>
        <v>30</v>
      </c>
      <c r="AL153">
        <f ca="1">IF(T_EMPLOYEES[[#This Row],[EMPLOYEE NUMBER]]="","",MATCH(T_EMPLOYEES[[#This Row],[JOB LEVEL]],L_JOBLEVEL,0))</f>
        <v>1</v>
      </c>
      <c r="AM153">
        <f ca="1">IF(T_EMPLOYEES[[#This Row],[EMPLOYEE NUMBER]]="","",MATCH(T_EMPLOYEES[[#This Row],[JOB TITLE]],L_JOBTITLE,0))</f>
        <v>30</v>
      </c>
      <c r="AN153">
        <f ca="1">IF(T_EMPLOYEES[[#This Row],[EMPLOYEE NUMBER]]="","",MATCH(T_EMPLOYEES[[#This Row],[MANAGER]],L_EMPLABELS,0))</f>
        <v>105</v>
      </c>
      <c r="AO153">
        <f ca="1">IF(T_EMPLOYEES[[#This Row],[EMPLOYEE NUMBER]]="","",IF(T_EMPLOYEES[[#This Row],[ERROR]]="",0,1))</f>
        <v>0</v>
      </c>
      <c r="AP15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4" spans="1:42">
      <c r="A154" t="s">
        <v>659</v>
      </c>
      <c r="B154" t="s">
        <v>660</v>
      </c>
      <c r="C154">
        <v>1028789</v>
      </c>
      <c r="D154" t="s">
        <v>661</v>
      </c>
      <c r="E154" s="26">
        <v>32634</v>
      </c>
      <c r="F154" s="26">
        <v>44659</v>
      </c>
      <c r="H154" t="s">
        <v>27</v>
      </c>
      <c r="I154" t="s">
        <v>54</v>
      </c>
      <c r="J154" t="s">
        <v>64</v>
      </c>
      <c r="K154" t="s">
        <v>30</v>
      </c>
      <c r="L154" s="27" t="s">
        <v>45</v>
      </c>
      <c r="M154" t="s">
        <v>46</v>
      </c>
      <c r="N154" t="s">
        <v>111</v>
      </c>
      <c r="O154" t="s">
        <v>71</v>
      </c>
      <c r="P154" t="s">
        <v>111</v>
      </c>
      <c r="Q154" t="s">
        <v>218</v>
      </c>
      <c r="R154" s="27">
        <v>5</v>
      </c>
      <c r="S154" s="1">
        <v>250000</v>
      </c>
      <c r="T154" s="1">
        <f ca="1">ROUND(T_EMPLOYEES[[#This Row],[EMP_CTC1]]/12, 0)</f>
        <v>20833</v>
      </c>
      <c r="U154" s="1">
        <v>150000</v>
      </c>
      <c r="V154" s="1" t="s">
        <v>207</v>
      </c>
      <c r="W154" s="1" t="s">
        <v>207</v>
      </c>
      <c r="X15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Mudiam Sreenivasa Reddy (1028789)</v>
      </c>
      <c r="Y154">
        <v>60000</v>
      </c>
      <c r="Z154" s="29">
        <f t="shared" ca="1" si="3"/>
        <v>40</v>
      </c>
      <c r="AA154">
        <f ca="1">IF(T_EMPLOYEES[[#This Row],[EMPLOYEE NUMBER]]="","",ROW(T_EMPLOYEES[[#This Row],[EMPLOYEE LABEL]])-ROW(T_EMPLOYEES[[#Headers],[EMPLOYEE LABEL]]))</f>
        <v>151</v>
      </c>
      <c r="AB154">
        <f ca="1">IF(T_EMPLOYEES[[#This Row],[EMPLOYEE NUMBER]]="","",IF(COUNTIF(T_EMPLOYEES[EMPLOYEE NUMBER],T_EMPLOYEES[[#This Row],[EMPLOYEE NUMBER]])&gt;1,1,0))</f>
        <v>0</v>
      </c>
      <c r="AC154">
        <f ca="1">IF(T_EMPLOYEES[[#This Row],[EMPLOYEE NUMBER]]="","",IF(AND(T_EMPLOYEES[[#This Row],[DATE OF BIRTH]]&gt;0,T_EMPLOYEES[[#This Row],[DATE OF BIRTH]]&lt;TODAY()),0,1))</f>
        <v>0</v>
      </c>
      <c r="AD154">
        <f ca="1">IF(T_EMPLOYEES[[#This Row],[EMPLOYEE NUMBER]]="","",IF(AND(T_EMPLOYEES[[#This Row],[START DATE]]&gt;0,T_EMPLOYEES[[#This Row],[START DATE]]&lt;TODAY()+60),0,1))</f>
        <v>0</v>
      </c>
      <c r="AE154">
        <f ca="1">IF(T_EMPLOYEES[[#This Row],[EMPLOYEE NUMBER]]="","",MATCH(T_EMPLOYEES[[#This Row],[GENDER]],L_GENDER,0))</f>
        <v>1</v>
      </c>
      <c r="AF154">
        <f ca="1">IF(T_EMPLOYEES[[#This Row],[EMPLOYEE NUMBER]]="","",MATCH(T_EMPLOYEES[[#This Row],[HIRE SOURCE]],L_HIRESOURCE,0))</f>
        <v>4</v>
      </c>
      <c r="AG154">
        <f ca="1">IF(T_EMPLOYEES[[#This Row],[EMPLOYEE NUMBER]]="","",MATCH(T_EMPLOYEES[[#This Row],[ETHNICITY]],L_ETHNICITY,0))</f>
        <v>3</v>
      </c>
      <c r="AH154">
        <f ca="1">IF(T_EMPLOYEES[[#This Row],[EMPLOYEE NUMBER]]="","",MATCH(T_EMPLOYEES[[#This Row],[LOCATION]],L_LOCATION,0))</f>
        <v>1</v>
      </c>
      <c r="AI154">
        <f ca="1">IF(T_EMPLOYEES[[#This Row],[EMPLOYEE NUMBER]]="","",MATCH(T_EMPLOYEES[[#This Row],[DEPARTMENT]],L_DEPARTMENT,0))</f>
        <v>2</v>
      </c>
      <c r="AJ154">
        <f ca="1">IF(T_EMPLOYEES[[#This Row],[EMPLOYEE NUMBER]]="","",MATCH(T_EMPLOYEES[[#This Row],[JOB TYPE]],L_JOBTYPE,0))</f>
        <v>2</v>
      </c>
      <c r="AK154">
        <f ca="1">IF(T_EMPLOYEES[[#This Row],[EMPLOYEE NUMBER]]="","",MATCH(T_EMPLOYEES[[#This Row],[JOB CATEGORY]],L_JOBCATEGORY,0))</f>
        <v>10</v>
      </c>
      <c r="AL154">
        <f ca="1">IF(T_EMPLOYEES[[#This Row],[EMPLOYEE NUMBER]]="","",MATCH(T_EMPLOYEES[[#This Row],[JOB LEVEL]],L_JOBLEVEL,0))</f>
        <v>4</v>
      </c>
      <c r="AM154">
        <f ca="1">IF(T_EMPLOYEES[[#This Row],[EMPLOYEE NUMBER]]="","",MATCH(T_EMPLOYEES[[#This Row],[JOB TITLE]],L_JOBTITLE,0))</f>
        <v>10</v>
      </c>
      <c r="AN154">
        <f ca="1">IF(T_EMPLOYEES[[#This Row],[EMPLOYEE NUMBER]]="","",MATCH(T_EMPLOYEES[[#This Row],[MANAGER]],L_EMPLABELS,0))</f>
        <v>43</v>
      </c>
      <c r="AO154">
        <f ca="1">IF(T_EMPLOYEES[[#This Row],[EMPLOYEE NUMBER]]="","",IF(T_EMPLOYEES[[#This Row],[ERROR]]="",0,1))</f>
        <v>0</v>
      </c>
      <c r="AP15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5" spans="1:42">
      <c r="A155" t="s">
        <v>484</v>
      </c>
      <c r="B155" t="s">
        <v>662</v>
      </c>
      <c r="C155">
        <v>1031849</v>
      </c>
      <c r="D155" t="s">
        <v>663</v>
      </c>
      <c r="E155" s="26">
        <v>32649</v>
      </c>
      <c r="F155" s="26">
        <v>44914</v>
      </c>
      <c r="H155" t="s">
        <v>27</v>
      </c>
      <c r="I155" t="s">
        <v>54</v>
      </c>
      <c r="J155" t="s">
        <v>64</v>
      </c>
      <c r="K155" t="s">
        <v>30</v>
      </c>
      <c r="L155" s="27" t="s">
        <v>45</v>
      </c>
      <c r="M155" t="s">
        <v>46</v>
      </c>
      <c r="N155" t="s">
        <v>111</v>
      </c>
      <c r="O155" t="s">
        <v>71</v>
      </c>
      <c r="P155" t="s">
        <v>111</v>
      </c>
      <c r="Q155" t="s">
        <v>448</v>
      </c>
      <c r="R155">
        <v>5</v>
      </c>
      <c r="S155" s="1">
        <v>250000</v>
      </c>
      <c r="T155" s="1">
        <f ca="1">ROUND(T_EMPLOYEES[[#This Row],[EMP_CTC1]]/12, 0)</f>
        <v>20833</v>
      </c>
      <c r="U155" s="1">
        <v>150000</v>
      </c>
      <c r="V155" s="1" t="s">
        <v>207</v>
      </c>
      <c r="W155" s="1" t="s">
        <v>207</v>
      </c>
      <c r="X15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 Leo (1031849)</v>
      </c>
      <c r="Y155">
        <v>60000</v>
      </c>
      <c r="Z155" s="29">
        <f t="shared" ca="1" si="3"/>
        <v>40</v>
      </c>
      <c r="AA155">
        <f ca="1">IF(T_EMPLOYEES[[#This Row],[EMPLOYEE NUMBER]]="","",ROW(T_EMPLOYEES[[#This Row],[EMPLOYEE LABEL]])-ROW(T_EMPLOYEES[[#Headers],[EMPLOYEE LABEL]]))</f>
        <v>152</v>
      </c>
      <c r="AB155">
        <f ca="1">IF(T_EMPLOYEES[[#This Row],[EMPLOYEE NUMBER]]="","",IF(COUNTIF(T_EMPLOYEES[EMPLOYEE NUMBER],T_EMPLOYEES[[#This Row],[EMPLOYEE NUMBER]])&gt;1,1,0))</f>
        <v>0</v>
      </c>
      <c r="AC155">
        <f ca="1">IF(T_EMPLOYEES[[#This Row],[EMPLOYEE NUMBER]]="","",IF(AND(T_EMPLOYEES[[#This Row],[DATE OF BIRTH]]&gt;0,T_EMPLOYEES[[#This Row],[DATE OF BIRTH]]&lt;TODAY()),0,1))</f>
        <v>0</v>
      </c>
      <c r="AD155">
        <f ca="1">IF(T_EMPLOYEES[[#This Row],[EMPLOYEE NUMBER]]="","",IF(AND(T_EMPLOYEES[[#This Row],[START DATE]]&gt;0,T_EMPLOYEES[[#This Row],[START DATE]]&lt;TODAY()+60),0,1))</f>
        <v>0</v>
      </c>
      <c r="AE155">
        <f ca="1">IF(T_EMPLOYEES[[#This Row],[EMPLOYEE NUMBER]]="","",MATCH(T_EMPLOYEES[[#This Row],[GENDER]],L_GENDER,0))</f>
        <v>1</v>
      </c>
      <c r="AF155">
        <f ca="1">IF(T_EMPLOYEES[[#This Row],[EMPLOYEE NUMBER]]="","",MATCH(T_EMPLOYEES[[#This Row],[HIRE SOURCE]],L_HIRESOURCE,0))</f>
        <v>4</v>
      </c>
      <c r="AG155">
        <f ca="1">IF(T_EMPLOYEES[[#This Row],[EMPLOYEE NUMBER]]="","",MATCH(T_EMPLOYEES[[#This Row],[ETHNICITY]],L_ETHNICITY,0))</f>
        <v>3</v>
      </c>
      <c r="AH155">
        <f ca="1">IF(T_EMPLOYEES[[#This Row],[EMPLOYEE NUMBER]]="","",MATCH(T_EMPLOYEES[[#This Row],[LOCATION]],L_LOCATION,0))</f>
        <v>1</v>
      </c>
      <c r="AI155">
        <f ca="1">IF(T_EMPLOYEES[[#This Row],[EMPLOYEE NUMBER]]="","",MATCH(T_EMPLOYEES[[#This Row],[DEPARTMENT]],L_DEPARTMENT,0))</f>
        <v>2</v>
      </c>
      <c r="AJ155">
        <f ca="1">IF(T_EMPLOYEES[[#This Row],[EMPLOYEE NUMBER]]="","",MATCH(T_EMPLOYEES[[#This Row],[JOB TYPE]],L_JOBTYPE,0))</f>
        <v>2</v>
      </c>
      <c r="AK155">
        <f ca="1">IF(T_EMPLOYEES[[#This Row],[EMPLOYEE NUMBER]]="","",MATCH(T_EMPLOYEES[[#This Row],[JOB CATEGORY]],L_JOBCATEGORY,0))</f>
        <v>10</v>
      </c>
      <c r="AL155">
        <f ca="1">IF(T_EMPLOYEES[[#This Row],[EMPLOYEE NUMBER]]="","",MATCH(T_EMPLOYEES[[#This Row],[JOB LEVEL]],L_JOBLEVEL,0))</f>
        <v>4</v>
      </c>
      <c r="AM155">
        <f ca="1">IF(T_EMPLOYEES[[#This Row],[EMPLOYEE NUMBER]]="","",MATCH(T_EMPLOYEES[[#This Row],[JOB TITLE]],L_JOBTITLE,0))</f>
        <v>10</v>
      </c>
      <c r="AN155">
        <f ca="1">IF(T_EMPLOYEES[[#This Row],[EMPLOYEE NUMBER]]="","",MATCH(T_EMPLOYEES[[#This Row],[MANAGER]],L_EMPLABELS,0))</f>
        <v>83</v>
      </c>
      <c r="AO155">
        <f ca="1">IF(T_EMPLOYEES[[#This Row],[EMPLOYEE NUMBER]]="","",IF(T_EMPLOYEES[[#This Row],[ERROR]]="",0,1))</f>
        <v>0</v>
      </c>
      <c r="AP15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6" spans="1:42">
      <c r="A156" t="s">
        <v>664</v>
      </c>
      <c r="B156" t="s">
        <v>665</v>
      </c>
      <c r="C156">
        <v>1033995</v>
      </c>
      <c r="D156" t="s">
        <v>666</v>
      </c>
      <c r="E156" s="26">
        <v>32660</v>
      </c>
      <c r="F156" s="26">
        <v>45264</v>
      </c>
      <c r="H156" t="s">
        <v>27</v>
      </c>
      <c r="I156" t="s">
        <v>54</v>
      </c>
      <c r="J156" t="s">
        <v>64</v>
      </c>
      <c r="K156" t="s">
        <v>43</v>
      </c>
      <c r="L156" s="27" t="s">
        <v>45</v>
      </c>
      <c r="M156" t="s">
        <v>46</v>
      </c>
      <c r="N156" t="s">
        <v>111</v>
      </c>
      <c r="O156" t="s">
        <v>71</v>
      </c>
      <c r="P156" t="s">
        <v>111</v>
      </c>
      <c r="Q156" t="s">
        <v>211</v>
      </c>
      <c r="R156" s="27">
        <v>5</v>
      </c>
      <c r="S156" s="1">
        <v>250000</v>
      </c>
      <c r="T156" s="1">
        <f ca="1">ROUND(T_EMPLOYEES[[#This Row],[EMP_CTC1]]/12, 0)</f>
        <v>20833</v>
      </c>
      <c r="U156" s="1">
        <v>150000</v>
      </c>
      <c r="V156" s="1" t="s">
        <v>207</v>
      </c>
      <c r="W156" s="1" t="s">
        <v>207</v>
      </c>
      <c r="X15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Maibubsab  Attar (1033995)</v>
      </c>
      <c r="Y156">
        <v>60000</v>
      </c>
      <c r="Z156" s="29">
        <f t="shared" ca="1" si="3"/>
        <v>40</v>
      </c>
      <c r="AA156">
        <f ca="1">IF(T_EMPLOYEES[[#This Row],[EMPLOYEE NUMBER]]="","",ROW(T_EMPLOYEES[[#This Row],[EMPLOYEE LABEL]])-ROW(T_EMPLOYEES[[#Headers],[EMPLOYEE LABEL]]))</f>
        <v>153</v>
      </c>
      <c r="AB156">
        <f ca="1">IF(T_EMPLOYEES[[#This Row],[EMPLOYEE NUMBER]]="","",IF(COUNTIF(T_EMPLOYEES[EMPLOYEE NUMBER],T_EMPLOYEES[[#This Row],[EMPLOYEE NUMBER]])&gt;1,1,0))</f>
        <v>0</v>
      </c>
      <c r="AC156">
        <f ca="1">IF(T_EMPLOYEES[[#This Row],[EMPLOYEE NUMBER]]="","",IF(AND(T_EMPLOYEES[[#This Row],[DATE OF BIRTH]]&gt;0,T_EMPLOYEES[[#This Row],[DATE OF BIRTH]]&lt;TODAY()),0,1))</f>
        <v>0</v>
      </c>
      <c r="AD156">
        <f ca="1">IF(T_EMPLOYEES[[#This Row],[EMPLOYEE NUMBER]]="","",IF(AND(T_EMPLOYEES[[#This Row],[START DATE]]&gt;0,T_EMPLOYEES[[#This Row],[START DATE]]&lt;TODAY()+60),0,1))</f>
        <v>0</v>
      </c>
      <c r="AE156">
        <f ca="1">IF(T_EMPLOYEES[[#This Row],[EMPLOYEE NUMBER]]="","",MATCH(T_EMPLOYEES[[#This Row],[GENDER]],L_GENDER,0))</f>
        <v>1</v>
      </c>
      <c r="AF156">
        <f ca="1">IF(T_EMPLOYEES[[#This Row],[EMPLOYEE NUMBER]]="","",MATCH(T_EMPLOYEES[[#This Row],[HIRE SOURCE]],L_HIRESOURCE,0))</f>
        <v>4</v>
      </c>
      <c r="AG156">
        <f ca="1">IF(T_EMPLOYEES[[#This Row],[EMPLOYEE NUMBER]]="","",MATCH(T_EMPLOYEES[[#This Row],[ETHNICITY]],L_ETHNICITY,0))</f>
        <v>3</v>
      </c>
      <c r="AH156">
        <f ca="1">IF(T_EMPLOYEES[[#This Row],[EMPLOYEE NUMBER]]="","",MATCH(T_EMPLOYEES[[#This Row],[LOCATION]],L_LOCATION,0))</f>
        <v>2</v>
      </c>
      <c r="AI156">
        <f ca="1">IF(T_EMPLOYEES[[#This Row],[EMPLOYEE NUMBER]]="","",MATCH(T_EMPLOYEES[[#This Row],[DEPARTMENT]],L_DEPARTMENT,0))</f>
        <v>2</v>
      </c>
      <c r="AJ156">
        <f ca="1">IF(T_EMPLOYEES[[#This Row],[EMPLOYEE NUMBER]]="","",MATCH(T_EMPLOYEES[[#This Row],[JOB TYPE]],L_JOBTYPE,0))</f>
        <v>2</v>
      </c>
      <c r="AK156">
        <f ca="1">IF(T_EMPLOYEES[[#This Row],[EMPLOYEE NUMBER]]="","",MATCH(T_EMPLOYEES[[#This Row],[JOB CATEGORY]],L_JOBCATEGORY,0))</f>
        <v>10</v>
      </c>
      <c r="AL156">
        <f ca="1">IF(T_EMPLOYEES[[#This Row],[EMPLOYEE NUMBER]]="","",MATCH(T_EMPLOYEES[[#This Row],[JOB LEVEL]],L_JOBLEVEL,0))</f>
        <v>4</v>
      </c>
      <c r="AM156">
        <f ca="1">IF(T_EMPLOYEES[[#This Row],[EMPLOYEE NUMBER]]="","",MATCH(T_EMPLOYEES[[#This Row],[JOB TITLE]],L_JOBTITLE,0))</f>
        <v>10</v>
      </c>
      <c r="AN156">
        <f ca="1">IF(T_EMPLOYEES[[#This Row],[EMPLOYEE NUMBER]]="","",MATCH(T_EMPLOYEES[[#This Row],[MANAGER]],L_EMPLABELS,0))</f>
        <v>49</v>
      </c>
      <c r="AO156">
        <f ca="1">IF(T_EMPLOYEES[[#This Row],[EMPLOYEE NUMBER]]="","",IF(T_EMPLOYEES[[#This Row],[ERROR]]="",0,1))</f>
        <v>0</v>
      </c>
      <c r="AP15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7" spans="1:42">
      <c r="A157" t="s">
        <v>667</v>
      </c>
      <c r="B157" t="s">
        <v>668</v>
      </c>
      <c r="C157">
        <v>1022282</v>
      </c>
      <c r="D157" t="s">
        <v>669</v>
      </c>
      <c r="E157" s="26">
        <v>32669</v>
      </c>
      <c r="F157" s="26">
        <v>43642</v>
      </c>
      <c r="H157" t="s">
        <v>40</v>
      </c>
      <c r="I157" t="s">
        <v>54</v>
      </c>
      <c r="J157" t="s">
        <v>64</v>
      </c>
      <c r="K157" t="s">
        <v>30</v>
      </c>
      <c r="L157" s="27" t="s">
        <v>45</v>
      </c>
      <c r="M157" t="s">
        <v>46</v>
      </c>
      <c r="N157" t="s">
        <v>128</v>
      </c>
      <c r="O157" t="s">
        <v>60</v>
      </c>
      <c r="P157" t="s">
        <v>128</v>
      </c>
      <c r="Q157" t="s">
        <v>218</v>
      </c>
      <c r="R157">
        <v>3</v>
      </c>
      <c r="S157" s="1">
        <v>250000</v>
      </c>
      <c r="T157" s="1">
        <f ca="1">ROUND(T_EMPLOYEES[[#This Row],[EMP_CTC1]]/12, 0)</f>
        <v>20833</v>
      </c>
      <c r="U157" s="1">
        <v>150000</v>
      </c>
      <c r="V157" s="1" t="s">
        <v>207</v>
      </c>
      <c r="W157" s="1" t="s">
        <v>207</v>
      </c>
      <c r="X15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Katta  Kavitha (1022282)</v>
      </c>
      <c r="Y157">
        <v>60000</v>
      </c>
      <c r="Z157" s="29">
        <f t="shared" ca="1" si="3"/>
        <v>40</v>
      </c>
      <c r="AA157">
        <f ca="1">IF(T_EMPLOYEES[[#This Row],[EMPLOYEE NUMBER]]="","",ROW(T_EMPLOYEES[[#This Row],[EMPLOYEE LABEL]])-ROW(T_EMPLOYEES[[#Headers],[EMPLOYEE LABEL]]))</f>
        <v>154</v>
      </c>
      <c r="AB157">
        <f ca="1">IF(T_EMPLOYEES[[#This Row],[EMPLOYEE NUMBER]]="","",IF(COUNTIF(T_EMPLOYEES[EMPLOYEE NUMBER],T_EMPLOYEES[[#This Row],[EMPLOYEE NUMBER]])&gt;1,1,0))</f>
        <v>0</v>
      </c>
      <c r="AC157">
        <f ca="1">IF(T_EMPLOYEES[[#This Row],[EMPLOYEE NUMBER]]="","",IF(AND(T_EMPLOYEES[[#This Row],[DATE OF BIRTH]]&gt;0,T_EMPLOYEES[[#This Row],[DATE OF BIRTH]]&lt;TODAY()),0,1))</f>
        <v>0</v>
      </c>
      <c r="AD157">
        <f ca="1">IF(T_EMPLOYEES[[#This Row],[EMPLOYEE NUMBER]]="","",IF(AND(T_EMPLOYEES[[#This Row],[START DATE]]&gt;0,T_EMPLOYEES[[#This Row],[START DATE]]&lt;TODAY()+60),0,1))</f>
        <v>0</v>
      </c>
      <c r="AE157">
        <f ca="1">IF(T_EMPLOYEES[[#This Row],[EMPLOYEE NUMBER]]="","",MATCH(T_EMPLOYEES[[#This Row],[GENDER]],L_GENDER,0))</f>
        <v>2</v>
      </c>
      <c r="AF157">
        <f ca="1">IF(T_EMPLOYEES[[#This Row],[EMPLOYEE NUMBER]]="","",MATCH(T_EMPLOYEES[[#This Row],[HIRE SOURCE]],L_HIRESOURCE,0))</f>
        <v>4</v>
      </c>
      <c r="AG157">
        <f ca="1">IF(T_EMPLOYEES[[#This Row],[EMPLOYEE NUMBER]]="","",MATCH(T_EMPLOYEES[[#This Row],[ETHNICITY]],L_ETHNICITY,0))</f>
        <v>3</v>
      </c>
      <c r="AH157">
        <f ca="1">IF(T_EMPLOYEES[[#This Row],[EMPLOYEE NUMBER]]="","",MATCH(T_EMPLOYEES[[#This Row],[LOCATION]],L_LOCATION,0))</f>
        <v>1</v>
      </c>
      <c r="AI157">
        <f ca="1">IF(T_EMPLOYEES[[#This Row],[EMPLOYEE NUMBER]]="","",MATCH(T_EMPLOYEES[[#This Row],[DEPARTMENT]],L_DEPARTMENT,0))</f>
        <v>2</v>
      </c>
      <c r="AJ157">
        <f ca="1">IF(T_EMPLOYEES[[#This Row],[EMPLOYEE NUMBER]]="","",MATCH(T_EMPLOYEES[[#This Row],[JOB TYPE]],L_JOBTYPE,0))</f>
        <v>2</v>
      </c>
      <c r="AK157">
        <f ca="1">IF(T_EMPLOYEES[[#This Row],[EMPLOYEE NUMBER]]="","",MATCH(T_EMPLOYEES[[#This Row],[JOB CATEGORY]],L_JOBCATEGORY,0))</f>
        <v>15</v>
      </c>
      <c r="AL157">
        <f ca="1">IF(T_EMPLOYEES[[#This Row],[EMPLOYEE NUMBER]]="","",MATCH(T_EMPLOYEES[[#This Row],[JOB LEVEL]],L_JOBLEVEL,0))</f>
        <v>3</v>
      </c>
      <c r="AM157">
        <f ca="1">IF(T_EMPLOYEES[[#This Row],[EMPLOYEE NUMBER]]="","",MATCH(T_EMPLOYEES[[#This Row],[JOB TITLE]],L_JOBTITLE,0))</f>
        <v>15</v>
      </c>
      <c r="AN157">
        <f ca="1">IF(T_EMPLOYEES[[#This Row],[EMPLOYEE NUMBER]]="","",MATCH(T_EMPLOYEES[[#This Row],[MANAGER]],L_EMPLABELS,0))</f>
        <v>43</v>
      </c>
      <c r="AO157">
        <f ca="1">IF(T_EMPLOYEES[[#This Row],[EMPLOYEE NUMBER]]="","",IF(T_EMPLOYEES[[#This Row],[ERROR]]="",0,1))</f>
        <v>0</v>
      </c>
      <c r="AP15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8" spans="1:42">
      <c r="A158" t="s">
        <v>670</v>
      </c>
      <c r="B158" t="s">
        <v>671</v>
      </c>
      <c r="C158">
        <v>1030165</v>
      </c>
      <c r="D158" t="s">
        <v>672</v>
      </c>
      <c r="E158" s="26">
        <v>32672</v>
      </c>
      <c r="F158" s="26">
        <v>44813</v>
      </c>
      <c r="H158" t="s">
        <v>40</v>
      </c>
      <c r="I158" t="s">
        <v>54</v>
      </c>
      <c r="J158" t="s">
        <v>64</v>
      </c>
      <c r="K158" t="s">
        <v>30</v>
      </c>
      <c r="L158" s="27" t="s">
        <v>45</v>
      </c>
      <c r="M158" t="s">
        <v>46</v>
      </c>
      <c r="N158" t="s">
        <v>111</v>
      </c>
      <c r="O158" t="s">
        <v>71</v>
      </c>
      <c r="P158" t="s">
        <v>111</v>
      </c>
      <c r="Q158" t="s">
        <v>218</v>
      </c>
      <c r="R158" s="27">
        <v>5</v>
      </c>
      <c r="S158" s="1">
        <v>250000</v>
      </c>
      <c r="T158" s="1">
        <f ca="1">ROUND(T_EMPLOYEES[[#This Row],[EMP_CTC1]]/12, 0)</f>
        <v>20833</v>
      </c>
      <c r="U158" s="1">
        <v>150000</v>
      </c>
      <c r="V158" s="1" t="s">
        <v>207</v>
      </c>
      <c r="W158" s="1" t="s">
        <v>207</v>
      </c>
      <c r="X15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Gunda Spandana (1030165)</v>
      </c>
      <c r="Y158">
        <v>60000</v>
      </c>
      <c r="Z158" s="29">
        <f t="shared" ca="1" si="3"/>
        <v>40</v>
      </c>
      <c r="AA158">
        <f ca="1">IF(T_EMPLOYEES[[#This Row],[EMPLOYEE NUMBER]]="","",ROW(T_EMPLOYEES[[#This Row],[EMPLOYEE LABEL]])-ROW(T_EMPLOYEES[[#Headers],[EMPLOYEE LABEL]]))</f>
        <v>155</v>
      </c>
      <c r="AB158">
        <f ca="1">IF(T_EMPLOYEES[[#This Row],[EMPLOYEE NUMBER]]="","",IF(COUNTIF(T_EMPLOYEES[EMPLOYEE NUMBER],T_EMPLOYEES[[#This Row],[EMPLOYEE NUMBER]])&gt;1,1,0))</f>
        <v>0</v>
      </c>
      <c r="AC158">
        <f ca="1">IF(T_EMPLOYEES[[#This Row],[EMPLOYEE NUMBER]]="","",IF(AND(T_EMPLOYEES[[#This Row],[DATE OF BIRTH]]&gt;0,T_EMPLOYEES[[#This Row],[DATE OF BIRTH]]&lt;TODAY()),0,1))</f>
        <v>0</v>
      </c>
      <c r="AD158">
        <f ca="1">IF(T_EMPLOYEES[[#This Row],[EMPLOYEE NUMBER]]="","",IF(AND(T_EMPLOYEES[[#This Row],[START DATE]]&gt;0,T_EMPLOYEES[[#This Row],[START DATE]]&lt;TODAY()+60),0,1))</f>
        <v>0</v>
      </c>
      <c r="AE158">
        <f ca="1">IF(T_EMPLOYEES[[#This Row],[EMPLOYEE NUMBER]]="","",MATCH(T_EMPLOYEES[[#This Row],[GENDER]],L_GENDER,0))</f>
        <v>2</v>
      </c>
      <c r="AF158">
        <f ca="1">IF(T_EMPLOYEES[[#This Row],[EMPLOYEE NUMBER]]="","",MATCH(T_EMPLOYEES[[#This Row],[HIRE SOURCE]],L_HIRESOURCE,0))</f>
        <v>4</v>
      </c>
      <c r="AG158">
        <f ca="1">IF(T_EMPLOYEES[[#This Row],[EMPLOYEE NUMBER]]="","",MATCH(T_EMPLOYEES[[#This Row],[ETHNICITY]],L_ETHNICITY,0))</f>
        <v>3</v>
      </c>
      <c r="AH158">
        <f ca="1">IF(T_EMPLOYEES[[#This Row],[EMPLOYEE NUMBER]]="","",MATCH(T_EMPLOYEES[[#This Row],[LOCATION]],L_LOCATION,0))</f>
        <v>1</v>
      </c>
      <c r="AI158">
        <f ca="1">IF(T_EMPLOYEES[[#This Row],[EMPLOYEE NUMBER]]="","",MATCH(T_EMPLOYEES[[#This Row],[DEPARTMENT]],L_DEPARTMENT,0))</f>
        <v>2</v>
      </c>
      <c r="AJ158">
        <f ca="1">IF(T_EMPLOYEES[[#This Row],[EMPLOYEE NUMBER]]="","",MATCH(T_EMPLOYEES[[#This Row],[JOB TYPE]],L_JOBTYPE,0))</f>
        <v>2</v>
      </c>
      <c r="AK158">
        <f ca="1">IF(T_EMPLOYEES[[#This Row],[EMPLOYEE NUMBER]]="","",MATCH(T_EMPLOYEES[[#This Row],[JOB CATEGORY]],L_JOBCATEGORY,0))</f>
        <v>10</v>
      </c>
      <c r="AL158">
        <f ca="1">IF(T_EMPLOYEES[[#This Row],[EMPLOYEE NUMBER]]="","",MATCH(T_EMPLOYEES[[#This Row],[JOB LEVEL]],L_JOBLEVEL,0))</f>
        <v>4</v>
      </c>
      <c r="AM158">
        <f ca="1">IF(T_EMPLOYEES[[#This Row],[EMPLOYEE NUMBER]]="","",MATCH(T_EMPLOYEES[[#This Row],[JOB TITLE]],L_JOBTITLE,0))</f>
        <v>10</v>
      </c>
      <c r="AN158">
        <f ca="1">IF(T_EMPLOYEES[[#This Row],[EMPLOYEE NUMBER]]="","",MATCH(T_EMPLOYEES[[#This Row],[MANAGER]],L_EMPLABELS,0))</f>
        <v>43</v>
      </c>
      <c r="AO158">
        <f ca="1">IF(T_EMPLOYEES[[#This Row],[EMPLOYEE NUMBER]]="","",IF(T_EMPLOYEES[[#This Row],[ERROR]]="",0,1))</f>
        <v>0</v>
      </c>
      <c r="AP15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9" spans="1:42">
      <c r="A159" t="s">
        <v>673</v>
      </c>
      <c r="B159" t="s">
        <v>674</v>
      </c>
      <c r="C159">
        <v>1029042</v>
      </c>
      <c r="D159" t="s">
        <v>675</v>
      </c>
      <c r="E159" s="26">
        <v>32691</v>
      </c>
      <c r="F159" s="26">
        <v>44693</v>
      </c>
      <c r="H159" t="s">
        <v>40</v>
      </c>
      <c r="I159" t="s">
        <v>54</v>
      </c>
      <c r="J159" t="s">
        <v>64</v>
      </c>
      <c r="K159" t="s">
        <v>43</v>
      </c>
      <c r="L159" s="27" t="s">
        <v>45</v>
      </c>
      <c r="M159" t="s">
        <v>46</v>
      </c>
      <c r="N159" t="s">
        <v>128</v>
      </c>
      <c r="O159" t="s">
        <v>60</v>
      </c>
      <c r="P159" t="s">
        <v>128</v>
      </c>
      <c r="Q159" t="s">
        <v>373</v>
      </c>
      <c r="R159">
        <v>3</v>
      </c>
      <c r="S159" s="1">
        <v>250000</v>
      </c>
      <c r="T159" s="1">
        <f ca="1">ROUND(T_EMPLOYEES[[#This Row],[EMP_CTC1]]/12, 0)</f>
        <v>20833</v>
      </c>
      <c r="U159" s="1">
        <v>150000</v>
      </c>
      <c r="V159" s="1" t="s">
        <v>207</v>
      </c>
      <c r="W159" s="1" t="s">
        <v>207</v>
      </c>
      <c r="X15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Kambham  Anusha (1029042)</v>
      </c>
      <c r="Y159">
        <v>60000</v>
      </c>
      <c r="Z159" s="29">
        <f t="shared" ca="1" si="3"/>
        <v>40</v>
      </c>
      <c r="AA159">
        <f ca="1">IF(T_EMPLOYEES[[#This Row],[EMPLOYEE NUMBER]]="","",ROW(T_EMPLOYEES[[#This Row],[EMPLOYEE LABEL]])-ROW(T_EMPLOYEES[[#Headers],[EMPLOYEE LABEL]]))</f>
        <v>156</v>
      </c>
      <c r="AB159">
        <f ca="1">IF(T_EMPLOYEES[[#This Row],[EMPLOYEE NUMBER]]="","",IF(COUNTIF(T_EMPLOYEES[EMPLOYEE NUMBER],T_EMPLOYEES[[#This Row],[EMPLOYEE NUMBER]])&gt;1,1,0))</f>
        <v>0</v>
      </c>
      <c r="AC159">
        <f ca="1">IF(T_EMPLOYEES[[#This Row],[EMPLOYEE NUMBER]]="","",IF(AND(T_EMPLOYEES[[#This Row],[DATE OF BIRTH]]&gt;0,T_EMPLOYEES[[#This Row],[DATE OF BIRTH]]&lt;TODAY()),0,1))</f>
        <v>0</v>
      </c>
      <c r="AD159">
        <f ca="1">IF(T_EMPLOYEES[[#This Row],[EMPLOYEE NUMBER]]="","",IF(AND(T_EMPLOYEES[[#This Row],[START DATE]]&gt;0,T_EMPLOYEES[[#This Row],[START DATE]]&lt;TODAY()+60),0,1))</f>
        <v>0</v>
      </c>
      <c r="AE159">
        <f ca="1">IF(T_EMPLOYEES[[#This Row],[EMPLOYEE NUMBER]]="","",MATCH(T_EMPLOYEES[[#This Row],[GENDER]],L_GENDER,0))</f>
        <v>2</v>
      </c>
      <c r="AF159">
        <f ca="1">IF(T_EMPLOYEES[[#This Row],[EMPLOYEE NUMBER]]="","",MATCH(T_EMPLOYEES[[#This Row],[HIRE SOURCE]],L_HIRESOURCE,0))</f>
        <v>4</v>
      </c>
      <c r="AG159">
        <f ca="1">IF(T_EMPLOYEES[[#This Row],[EMPLOYEE NUMBER]]="","",MATCH(T_EMPLOYEES[[#This Row],[ETHNICITY]],L_ETHNICITY,0))</f>
        <v>3</v>
      </c>
      <c r="AH159">
        <f ca="1">IF(T_EMPLOYEES[[#This Row],[EMPLOYEE NUMBER]]="","",MATCH(T_EMPLOYEES[[#This Row],[LOCATION]],L_LOCATION,0))</f>
        <v>2</v>
      </c>
      <c r="AI159">
        <f ca="1">IF(T_EMPLOYEES[[#This Row],[EMPLOYEE NUMBER]]="","",MATCH(T_EMPLOYEES[[#This Row],[DEPARTMENT]],L_DEPARTMENT,0))</f>
        <v>2</v>
      </c>
      <c r="AJ159">
        <f ca="1">IF(T_EMPLOYEES[[#This Row],[EMPLOYEE NUMBER]]="","",MATCH(T_EMPLOYEES[[#This Row],[JOB TYPE]],L_JOBTYPE,0))</f>
        <v>2</v>
      </c>
      <c r="AK159">
        <f ca="1">IF(T_EMPLOYEES[[#This Row],[EMPLOYEE NUMBER]]="","",MATCH(T_EMPLOYEES[[#This Row],[JOB CATEGORY]],L_JOBCATEGORY,0))</f>
        <v>15</v>
      </c>
      <c r="AL159">
        <f ca="1">IF(T_EMPLOYEES[[#This Row],[EMPLOYEE NUMBER]]="","",MATCH(T_EMPLOYEES[[#This Row],[JOB LEVEL]],L_JOBLEVEL,0))</f>
        <v>3</v>
      </c>
      <c r="AM159">
        <f ca="1">IF(T_EMPLOYEES[[#This Row],[EMPLOYEE NUMBER]]="","",MATCH(T_EMPLOYEES[[#This Row],[JOB TITLE]],L_JOBTITLE,0))</f>
        <v>15</v>
      </c>
      <c r="AN159">
        <f ca="1">IF(T_EMPLOYEES[[#This Row],[EMPLOYEE NUMBER]]="","",MATCH(T_EMPLOYEES[[#This Row],[MANAGER]],L_EMPLABELS,0))</f>
        <v>9</v>
      </c>
      <c r="AO159">
        <f ca="1">IF(T_EMPLOYEES[[#This Row],[EMPLOYEE NUMBER]]="","",IF(T_EMPLOYEES[[#This Row],[ERROR]]="",0,1))</f>
        <v>0</v>
      </c>
      <c r="AP15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0" spans="1:42">
      <c r="A160" t="s">
        <v>676</v>
      </c>
      <c r="B160" t="s">
        <v>677</v>
      </c>
      <c r="C160">
        <v>1031845</v>
      </c>
      <c r="D160" t="s">
        <v>678</v>
      </c>
      <c r="E160" s="26">
        <v>32709</v>
      </c>
      <c r="F160" s="26">
        <v>44914</v>
      </c>
      <c r="H160" t="s">
        <v>27</v>
      </c>
      <c r="I160" t="s">
        <v>54</v>
      </c>
      <c r="J160" t="s">
        <v>64</v>
      </c>
      <c r="K160" t="s">
        <v>43</v>
      </c>
      <c r="L160" s="27" t="s">
        <v>45</v>
      </c>
      <c r="M160" t="s">
        <v>46</v>
      </c>
      <c r="N160" t="s">
        <v>148</v>
      </c>
      <c r="O160" t="s">
        <v>48</v>
      </c>
      <c r="P160" t="s">
        <v>148</v>
      </c>
      <c r="Q160" t="s">
        <v>377</v>
      </c>
      <c r="R160" s="27">
        <v>3</v>
      </c>
      <c r="S160" s="1">
        <v>250000</v>
      </c>
      <c r="T160" s="1">
        <f ca="1">ROUND(T_EMPLOYEES[[#This Row],[EMP_CTC1]]/12, 0)</f>
        <v>20833</v>
      </c>
      <c r="U160" s="1">
        <v>150000</v>
      </c>
      <c r="V160" s="1" t="s">
        <v>207</v>
      </c>
      <c r="W160" s="1" t="s">
        <v>207</v>
      </c>
      <c r="X16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Rahul Diwakar Perkiwar (1031845)</v>
      </c>
      <c r="Y160">
        <v>60000</v>
      </c>
      <c r="Z160" s="29">
        <f t="shared" ca="1" si="3"/>
        <v>40</v>
      </c>
      <c r="AA160">
        <f ca="1">IF(T_EMPLOYEES[[#This Row],[EMPLOYEE NUMBER]]="","",ROW(T_EMPLOYEES[[#This Row],[EMPLOYEE LABEL]])-ROW(T_EMPLOYEES[[#Headers],[EMPLOYEE LABEL]]))</f>
        <v>157</v>
      </c>
      <c r="AB160">
        <f ca="1">IF(T_EMPLOYEES[[#This Row],[EMPLOYEE NUMBER]]="","",IF(COUNTIF(T_EMPLOYEES[EMPLOYEE NUMBER],T_EMPLOYEES[[#This Row],[EMPLOYEE NUMBER]])&gt;1,1,0))</f>
        <v>0</v>
      </c>
      <c r="AC160">
        <f ca="1">IF(T_EMPLOYEES[[#This Row],[EMPLOYEE NUMBER]]="","",IF(AND(T_EMPLOYEES[[#This Row],[DATE OF BIRTH]]&gt;0,T_EMPLOYEES[[#This Row],[DATE OF BIRTH]]&lt;TODAY()),0,1))</f>
        <v>0</v>
      </c>
      <c r="AD160">
        <f ca="1">IF(T_EMPLOYEES[[#This Row],[EMPLOYEE NUMBER]]="","",IF(AND(T_EMPLOYEES[[#This Row],[START DATE]]&gt;0,T_EMPLOYEES[[#This Row],[START DATE]]&lt;TODAY()+60),0,1))</f>
        <v>0</v>
      </c>
      <c r="AE160">
        <f ca="1">IF(T_EMPLOYEES[[#This Row],[EMPLOYEE NUMBER]]="","",MATCH(T_EMPLOYEES[[#This Row],[GENDER]],L_GENDER,0))</f>
        <v>1</v>
      </c>
      <c r="AF160">
        <f ca="1">IF(T_EMPLOYEES[[#This Row],[EMPLOYEE NUMBER]]="","",MATCH(T_EMPLOYEES[[#This Row],[HIRE SOURCE]],L_HIRESOURCE,0))</f>
        <v>4</v>
      </c>
      <c r="AG160">
        <f ca="1">IF(T_EMPLOYEES[[#This Row],[EMPLOYEE NUMBER]]="","",MATCH(T_EMPLOYEES[[#This Row],[ETHNICITY]],L_ETHNICITY,0))</f>
        <v>3</v>
      </c>
      <c r="AH160">
        <f ca="1">IF(T_EMPLOYEES[[#This Row],[EMPLOYEE NUMBER]]="","",MATCH(T_EMPLOYEES[[#This Row],[LOCATION]],L_LOCATION,0))</f>
        <v>2</v>
      </c>
      <c r="AI160">
        <f ca="1">IF(T_EMPLOYEES[[#This Row],[EMPLOYEE NUMBER]]="","",MATCH(T_EMPLOYEES[[#This Row],[DEPARTMENT]],L_DEPARTMENT,0))</f>
        <v>2</v>
      </c>
      <c r="AJ160">
        <f ca="1">IF(T_EMPLOYEES[[#This Row],[EMPLOYEE NUMBER]]="","",MATCH(T_EMPLOYEES[[#This Row],[JOB TYPE]],L_JOBTYPE,0))</f>
        <v>2</v>
      </c>
      <c r="AK160">
        <f ca="1">IF(T_EMPLOYEES[[#This Row],[EMPLOYEE NUMBER]]="","",MATCH(T_EMPLOYEES[[#This Row],[JOB CATEGORY]],L_JOBCATEGORY,0))</f>
        <v>27</v>
      </c>
      <c r="AL160">
        <f ca="1">IF(T_EMPLOYEES[[#This Row],[EMPLOYEE NUMBER]]="","",MATCH(T_EMPLOYEES[[#This Row],[JOB LEVEL]],L_JOBLEVEL,0))</f>
        <v>2</v>
      </c>
      <c r="AM160">
        <f ca="1">IF(T_EMPLOYEES[[#This Row],[EMPLOYEE NUMBER]]="","",MATCH(T_EMPLOYEES[[#This Row],[JOB TITLE]],L_JOBTITLE,0))</f>
        <v>27</v>
      </c>
      <c r="AN160">
        <f ca="1">IF(T_EMPLOYEES[[#This Row],[EMPLOYEE NUMBER]]="","",MATCH(T_EMPLOYEES[[#This Row],[MANAGER]],L_EMPLABELS,0))</f>
        <v>64</v>
      </c>
      <c r="AO160">
        <f ca="1">IF(T_EMPLOYEES[[#This Row],[EMPLOYEE NUMBER]]="","",IF(T_EMPLOYEES[[#This Row],[ERROR]]="",0,1))</f>
        <v>0</v>
      </c>
      <c r="AP16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1" spans="1:42">
      <c r="A161" t="s">
        <v>497</v>
      </c>
      <c r="B161" t="s">
        <v>679</v>
      </c>
      <c r="C161">
        <v>1026741</v>
      </c>
      <c r="D161" t="s">
        <v>680</v>
      </c>
      <c r="E161" s="26">
        <v>32727</v>
      </c>
      <c r="F161" s="26">
        <v>44470</v>
      </c>
      <c r="H161" t="s">
        <v>27</v>
      </c>
      <c r="I161" t="s">
        <v>54</v>
      </c>
      <c r="J161" t="s">
        <v>64</v>
      </c>
      <c r="K161" t="s">
        <v>30</v>
      </c>
      <c r="L161" s="27" t="s">
        <v>130</v>
      </c>
      <c r="M161" t="s">
        <v>46</v>
      </c>
      <c r="N161" t="s">
        <v>152</v>
      </c>
      <c r="O161" t="s">
        <v>60</v>
      </c>
      <c r="P161" t="s">
        <v>152</v>
      </c>
      <c r="Q161" t="s">
        <v>337</v>
      </c>
      <c r="R161">
        <v>3</v>
      </c>
      <c r="S161" s="1">
        <v>250000</v>
      </c>
      <c r="T161" s="1">
        <f ca="1">ROUND(T_EMPLOYEES[[#This Row],[EMP_CTC1]]/12, 0)</f>
        <v>20833</v>
      </c>
      <c r="U161" s="1">
        <v>150000</v>
      </c>
      <c r="V161" s="1" t="s">
        <v>207</v>
      </c>
      <c r="W161" s="1" t="s">
        <v>207</v>
      </c>
      <c r="X16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 Vignesh Kannan (1026741)</v>
      </c>
      <c r="Y161">
        <v>60000</v>
      </c>
      <c r="Z161" s="29">
        <f t="shared" ca="1" si="3"/>
        <v>40</v>
      </c>
      <c r="AA161">
        <f ca="1">IF(T_EMPLOYEES[[#This Row],[EMPLOYEE NUMBER]]="","",ROW(T_EMPLOYEES[[#This Row],[EMPLOYEE LABEL]])-ROW(T_EMPLOYEES[[#Headers],[EMPLOYEE LABEL]]))</f>
        <v>158</v>
      </c>
      <c r="AB161">
        <f ca="1">IF(T_EMPLOYEES[[#This Row],[EMPLOYEE NUMBER]]="","",IF(COUNTIF(T_EMPLOYEES[EMPLOYEE NUMBER],T_EMPLOYEES[[#This Row],[EMPLOYEE NUMBER]])&gt;1,1,0))</f>
        <v>0</v>
      </c>
      <c r="AC161">
        <f ca="1">IF(T_EMPLOYEES[[#This Row],[EMPLOYEE NUMBER]]="","",IF(AND(T_EMPLOYEES[[#This Row],[DATE OF BIRTH]]&gt;0,T_EMPLOYEES[[#This Row],[DATE OF BIRTH]]&lt;TODAY()),0,1))</f>
        <v>0</v>
      </c>
      <c r="AD161">
        <f ca="1">IF(T_EMPLOYEES[[#This Row],[EMPLOYEE NUMBER]]="","",IF(AND(T_EMPLOYEES[[#This Row],[START DATE]]&gt;0,T_EMPLOYEES[[#This Row],[START DATE]]&lt;TODAY()+60),0,1))</f>
        <v>0</v>
      </c>
      <c r="AE161">
        <f ca="1">IF(T_EMPLOYEES[[#This Row],[EMPLOYEE NUMBER]]="","",MATCH(T_EMPLOYEES[[#This Row],[GENDER]],L_GENDER,0))</f>
        <v>1</v>
      </c>
      <c r="AF161">
        <f ca="1">IF(T_EMPLOYEES[[#This Row],[EMPLOYEE NUMBER]]="","",MATCH(T_EMPLOYEES[[#This Row],[HIRE SOURCE]],L_HIRESOURCE,0))</f>
        <v>4</v>
      </c>
      <c r="AG161">
        <f ca="1">IF(T_EMPLOYEES[[#This Row],[EMPLOYEE NUMBER]]="","",MATCH(T_EMPLOYEES[[#This Row],[ETHNICITY]],L_ETHNICITY,0))</f>
        <v>3</v>
      </c>
      <c r="AH161">
        <f ca="1">IF(T_EMPLOYEES[[#This Row],[EMPLOYEE NUMBER]]="","",MATCH(T_EMPLOYEES[[#This Row],[LOCATION]],L_LOCATION,0))</f>
        <v>1</v>
      </c>
      <c r="AI161">
        <f ca="1">IF(T_EMPLOYEES[[#This Row],[EMPLOYEE NUMBER]]="","",MATCH(T_EMPLOYEES[[#This Row],[DEPARTMENT]],L_DEPARTMENT,0))</f>
        <v>16</v>
      </c>
      <c r="AJ161">
        <f ca="1">IF(T_EMPLOYEES[[#This Row],[EMPLOYEE NUMBER]]="","",MATCH(T_EMPLOYEES[[#This Row],[JOB TYPE]],L_JOBTYPE,0))</f>
        <v>2</v>
      </c>
      <c r="AK161">
        <f ca="1">IF(T_EMPLOYEES[[#This Row],[EMPLOYEE NUMBER]]="","",MATCH(T_EMPLOYEES[[#This Row],[JOB CATEGORY]],L_JOBCATEGORY,0))</f>
        <v>31</v>
      </c>
      <c r="AL161">
        <f ca="1">IF(T_EMPLOYEES[[#This Row],[EMPLOYEE NUMBER]]="","",MATCH(T_EMPLOYEES[[#This Row],[JOB LEVEL]],L_JOBLEVEL,0))</f>
        <v>3</v>
      </c>
      <c r="AM161">
        <f ca="1">IF(T_EMPLOYEES[[#This Row],[EMPLOYEE NUMBER]]="","",MATCH(T_EMPLOYEES[[#This Row],[JOB TITLE]],L_JOBTITLE,0))</f>
        <v>31</v>
      </c>
      <c r="AN161">
        <f ca="1">IF(T_EMPLOYEES[[#This Row],[EMPLOYEE NUMBER]]="","",MATCH(T_EMPLOYEES[[#This Row],[MANAGER]],L_EMPLABELS,0))</f>
        <v>48</v>
      </c>
      <c r="AO161">
        <f ca="1">IF(T_EMPLOYEES[[#This Row],[EMPLOYEE NUMBER]]="","",IF(T_EMPLOYEES[[#This Row],[ERROR]]="",0,1))</f>
        <v>0</v>
      </c>
      <c r="AP16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2" spans="1:42">
      <c r="A162" t="s">
        <v>681</v>
      </c>
      <c r="B162" t="s">
        <v>682</v>
      </c>
      <c r="C162">
        <v>1024184</v>
      </c>
      <c r="D162" t="s">
        <v>683</v>
      </c>
      <c r="E162" s="26">
        <v>32792</v>
      </c>
      <c r="F162" s="26">
        <v>44179</v>
      </c>
      <c r="H162" t="s">
        <v>40</v>
      </c>
      <c r="I162" t="s">
        <v>54</v>
      </c>
      <c r="J162" t="s">
        <v>64</v>
      </c>
      <c r="K162" t="s">
        <v>30</v>
      </c>
      <c r="L162" s="27" t="s">
        <v>45</v>
      </c>
      <c r="M162" t="s">
        <v>46</v>
      </c>
      <c r="N162" t="s">
        <v>149</v>
      </c>
      <c r="O162" t="s">
        <v>71</v>
      </c>
      <c r="P162" t="s">
        <v>149</v>
      </c>
      <c r="Q162" t="s">
        <v>684</v>
      </c>
      <c r="R162" s="27">
        <v>5</v>
      </c>
      <c r="S162" s="1">
        <v>250000</v>
      </c>
      <c r="T162" s="1">
        <f ca="1">ROUND(T_EMPLOYEES[[#This Row],[EMP_CTC1]]/12, 0)</f>
        <v>20833</v>
      </c>
      <c r="U162" s="1">
        <v>150000</v>
      </c>
      <c r="V162" s="1" t="s">
        <v>207</v>
      </c>
      <c r="W162" s="1" t="s">
        <v>207</v>
      </c>
      <c r="X16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Nirosha  V (1024184)</v>
      </c>
      <c r="Y162">
        <v>60000</v>
      </c>
      <c r="Z162" s="29">
        <f t="shared" ca="1" si="3"/>
        <v>40</v>
      </c>
      <c r="AA162">
        <f ca="1">IF(T_EMPLOYEES[[#This Row],[EMPLOYEE NUMBER]]="","",ROW(T_EMPLOYEES[[#This Row],[EMPLOYEE LABEL]])-ROW(T_EMPLOYEES[[#Headers],[EMPLOYEE LABEL]]))</f>
        <v>159</v>
      </c>
      <c r="AB162">
        <f ca="1">IF(T_EMPLOYEES[[#This Row],[EMPLOYEE NUMBER]]="","",IF(COUNTIF(T_EMPLOYEES[EMPLOYEE NUMBER],T_EMPLOYEES[[#This Row],[EMPLOYEE NUMBER]])&gt;1,1,0))</f>
        <v>0</v>
      </c>
      <c r="AC162">
        <f ca="1">IF(T_EMPLOYEES[[#This Row],[EMPLOYEE NUMBER]]="","",IF(AND(T_EMPLOYEES[[#This Row],[DATE OF BIRTH]]&gt;0,T_EMPLOYEES[[#This Row],[DATE OF BIRTH]]&lt;TODAY()),0,1))</f>
        <v>0</v>
      </c>
      <c r="AD162">
        <f ca="1">IF(T_EMPLOYEES[[#This Row],[EMPLOYEE NUMBER]]="","",IF(AND(T_EMPLOYEES[[#This Row],[START DATE]]&gt;0,T_EMPLOYEES[[#This Row],[START DATE]]&lt;TODAY()+60),0,1))</f>
        <v>0</v>
      </c>
      <c r="AE162">
        <f ca="1">IF(T_EMPLOYEES[[#This Row],[EMPLOYEE NUMBER]]="","",MATCH(T_EMPLOYEES[[#This Row],[GENDER]],L_GENDER,0))</f>
        <v>2</v>
      </c>
      <c r="AF162">
        <f ca="1">IF(T_EMPLOYEES[[#This Row],[EMPLOYEE NUMBER]]="","",MATCH(T_EMPLOYEES[[#This Row],[HIRE SOURCE]],L_HIRESOURCE,0))</f>
        <v>4</v>
      </c>
      <c r="AG162">
        <f ca="1">IF(T_EMPLOYEES[[#This Row],[EMPLOYEE NUMBER]]="","",MATCH(T_EMPLOYEES[[#This Row],[ETHNICITY]],L_ETHNICITY,0))</f>
        <v>3</v>
      </c>
      <c r="AH162">
        <f ca="1">IF(T_EMPLOYEES[[#This Row],[EMPLOYEE NUMBER]]="","",MATCH(T_EMPLOYEES[[#This Row],[LOCATION]],L_LOCATION,0))</f>
        <v>1</v>
      </c>
      <c r="AI162">
        <f ca="1">IF(T_EMPLOYEES[[#This Row],[EMPLOYEE NUMBER]]="","",MATCH(T_EMPLOYEES[[#This Row],[DEPARTMENT]],L_DEPARTMENT,0))</f>
        <v>2</v>
      </c>
      <c r="AJ162">
        <f ca="1">IF(T_EMPLOYEES[[#This Row],[EMPLOYEE NUMBER]]="","",MATCH(T_EMPLOYEES[[#This Row],[JOB TYPE]],L_JOBTYPE,0))</f>
        <v>2</v>
      </c>
      <c r="AK162">
        <f ca="1">IF(T_EMPLOYEES[[#This Row],[EMPLOYEE NUMBER]]="","",MATCH(T_EMPLOYEES[[#This Row],[JOB CATEGORY]],L_JOBCATEGORY,0))</f>
        <v>28</v>
      </c>
      <c r="AL162">
        <f ca="1">IF(T_EMPLOYEES[[#This Row],[EMPLOYEE NUMBER]]="","",MATCH(T_EMPLOYEES[[#This Row],[JOB LEVEL]],L_JOBLEVEL,0))</f>
        <v>4</v>
      </c>
      <c r="AM162">
        <f ca="1">IF(T_EMPLOYEES[[#This Row],[EMPLOYEE NUMBER]]="","",MATCH(T_EMPLOYEES[[#This Row],[JOB TITLE]],L_JOBTITLE,0))</f>
        <v>28</v>
      </c>
      <c r="AN162">
        <f ca="1">IF(T_EMPLOYEES[[#This Row],[EMPLOYEE NUMBER]]="","",MATCH(T_EMPLOYEES[[#This Row],[MANAGER]],L_EMPLABELS,0))</f>
        <v>232</v>
      </c>
      <c r="AO162">
        <f ca="1">IF(T_EMPLOYEES[[#This Row],[EMPLOYEE NUMBER]]="","",IF(T_EMPLOYEES[[#This Row],[ERROR]]="",0,1))</f>
        <v>0</v>
      </c>
      <c r="AP16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3" spans="1:42">
      <c r="A163" t="s">
        <v>685</v>
      </c>
      <c r="B163" t="s">
        <v>497</v>
      </c>
      <c r="C163">
        <v>1030579</v>
      </c>
      <c r="D163" t="s">
        <v>686</v>
      </c>
      <c r="E163" s="26">
        <v>32872</v>
      </c>
      <c r="F163" s="26">
        <v>44844</v>
      </c>
      <c r="H163" t="s">
        <v>40</v>
      </c>
      <c r="I163" t="s">
        <v>54</v>
      </c>
      <c r="J163" t="s">
        <v>64</v>
      </c>
      <c r="K163" t="s">
        <v>30</v>
      </c>
      <c r="L163" s="27" t="s">
        <v>45</v>
      </c>
      <c r="M163" t="s">
        <v>46</v>
      </c>
      <c r="N163" t="s">
        <v>125</v>
      </c>
      <c r="O163" t="s">
        <v>71</v>
      </c>
      <c r="P163" t="s">
        <v>125</v>
      </c>
      <c r="Q163" t="s">
        <v>288</v>
      </c>
      <c r="R163">
        <v>5</v>
      </c>
      <c r="S163" s="1">
        <v>250000</v>
      </c>
      <c r="T163" s="1">
        <f ca="1">ROUND(T_EMPLOYEES[[#This Row],[EMP_CTC1]]/12, 0)</f>
        <v>20833</v>
      </c>
      <c r="U163" s="1">
        <v>150000</v>
      </c>
      <c r="V163" s="1" t="s">
        <v>207</v>
      </c>
      <c r="W163" s="1" t="s">
        <v>207</v>
      </c>
      <c r="X16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Bhuvaneshwari D (1030579)</v>
      </c>
      <c r="Y163">
        <v>60000</v>
      </c>
      <c r="Z163" s="29">
        <f t="shared" ca="1" si="3"/>
        <v>40</v>
      </c>
      <c r="AA163">
        <f ca="1">IF(T_EMPLOYEES[[#This Row],[EMPLOYEE NUMBER]]="","",ROW(T_EMPLOYEES[[#This Row],[EMPLOYEE LABEL]])-ROW(T_EMPLOYEES[[#Headers],[EMPLOYEE LABEL]]))</f>
        <v>160</v>
      </c>
      <c r="AB163">
        <f ca="1">IF(T_EMPLOYEES[[#This Row],[EMPLOYEE NUMBER]]="","",IF(COUNTIF(T_EMPLOYEES[EMPLOYEE NUMBER],T_EMPLOYEES[[#This Row],[EMPLOYEE NUMBER]])&gt;1,1,0))</f>
        <v>0</v>
      </c>
      <c r="AC163">
        <f ca="1">IF(T_EMPLOYEES[[#This Row],[EMPLOYEE NUMBER]]="","",IF(AND(T_EMPLOYEES[[#This Row],[DATE OF BIRTH]]&gt;0,T_EMPLOYEES[[#This Row],[DATE OF BIRTH]]&lt;TODAY()),0,1))</f>
        <v>0</v>
      </c>
      <c r="AD163">
        <f ca="1">IF(T_EMPLOYEES[[#This Row],[EMPLOYEE NUMBER]]="","",IF(AND(T_EMPLOYEES[[#This Row],[START DATE]]&gt;0,T_EMPLOYEES[[#This Row],[START DATE]]&lt;TODAY()+60),0,1))</f>
        <v>0</v>
      </c>
      <c r="AE163">
        <f ca="1">IF(T_EMPLOYEES[[#This Row],[EMPLOYEE NUMBER]]="","",MATCH(T_EMPLOYEES[[#This Row],[GENDER]],L_GENDER,0))</f>
        <v>2</v>
      </c>
      <c r="AF163">
        <f ca="1">IF(T_EMPLOYEES[[#This Row],[EMPLOYEE NUMBER]]="","",MATCH(T_EMPLOYEES[[#This Row],[HIRE SOURCE]],L_HIRESOURCE,0))</f>
        <v>4</v>
      </c>
      <c r="AG163">
        <f ca="1">IF(T_EMPLOYEES[[#This Row],[EMPLOYEE NUMBER]]="","",MATCH(T_EMPLOYEES[[#This Row],[ETHNICITY]],L_ETHNICITY,0))</f>
        <v>3</v>
      </c>
      <c r="AH163">
        <f ca="1">IF(T_EMPLOYEES[[#This Row],[EMPLOYEE NUMBER]]="","",MATCH(T_EMPLOYEES[[#This Row],[LOCATION]],L_LOCATION,0))</f>
        <v>1</v>
      </c>
      <c r="AI163">
        <f ca="1">IF(T_EMPLOYEES[[#This Row],[EMPLOYEE NUMBER]]="","",MATCH(T_EMPLOYEES[[#This Row],[DEPARTMENT]],L_DEPARTMENT,0))</f>
        <v>2</v>
      </c>
      <c r="AJ163">
        <f ca="1">IF(T_EMPLOYEES[[#This Row],[EMPLOYEE NUMBER]]="","",MATCH(T_EMPLOYEES[[#This Row],[JOB TYPE]],L_JOBTYPE,0))</f>
        <v>2</v>
      </c>
      <c r="AK163">
        <f ca="1">IF(T_EMPLOYEES[[#This Row],[EMPLOYEE NUMBER]]="","",MATCH(T_EMPLOYEES[[#This Row],[JOB CATEGORY]],L_JOBCATEGORY,0))</f>
        <v>14</v>
      </c>
      <c r="AL163">
        <f ca="1">IF(T_EMPLOYEES[[#This Row],[EMPLOYEE NUMBER]]="","",MATCH(T_EMPLOYEES[[#This Row],[JOB LEVEL]],L_JOBLEVEL,0))</f>
        <v>4</v>
      </c>
      <c r="AM163">
        <f ca="1">IF(T_EMPLOYEES[[#This Row],[EMPLOYEE NUMBER]]="","",MATCH(T_EMPLOYEES[[#This Row],[JOB TITLE]],L_JOBTITLE,0))</f>
        <v>14</v>
      </c>
      <c r="AN163">
        <f ca="1">IF(T_EMPLOYEES[[#This Row],[EMPLOYEE NUMBER]]="","",MATCH(T_EMPLOYEES[[#This Row],[MANAGER]],L_EMPLABELS,0))</f>
        <v>52</v>
      </c>
      <c r="AO163">
        <f ca="1">IF(T_EMPLOYEES[[#This Row],[EMPLOYEE NUMBER]]="","",IF(T_EMPLOYEES[[#This Row],[ERROR]]="",0,1))</f>
        <v>0</v>
      </c>
      <c r="AP16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4" spans="1:42">
      <c r="A164" t="s">
        <v>687</v>
      </c>
      <c r="B164" t="s">
        <v>688</v>
      </c>
      <c r="C164">
        <v>1031862</v>
      </c>
      <c r="D164" t="s">
        <v>689</v>
      </c>
      <c r="E164" s="26">
        <v>32904</v>
      </c>
      <c r="F164" s="26">
        <v>44914</v>
      </c>
      <c r="H164" t="s">
        <v>27</v>
      </c>
      <c r="I164" t="s">
        <v>54</v>
      </c>
      <c r="J164" t="s">
        <v>64</v>
      </c>
      <c r="K164" t="s">
        <v>30</v>
      </c>
      <c r="L164" s="27" t="s">
        <v>45</v>
      </c>
      <c r="M164" t="s">
        <v>46</v>
      </c>
      <c r="N164" t="s">
        <v>125</v>
      </c>
      <c r="O164" t="s">
        <v>71</v>
      </c>
      <c r="P164" t="s">
        <v>125</v>
      </c>
      <c r="Q164" t="s">
        <v>578</v>
      </c>
      <c r="R164" s="27">
        <v>5</v>
      </c>
      <c r="S164" s="1">
        <v>250000</v>
      </c>
      <c r="T164" s="1">
        <f ca="1">ROUND(T_EMPLOYEES[[#This Row],[EMP_CTC1]]/12, 0)</f>
        <v>20833</v>
      </c>
      <c r="U164" s="1">
        <v>150000</v>
      </c>
      <c r="V164" s="1" t="s">
        <v>207</v>
      </c>
      <c r="W164" s="1" t="s">
        <v>207</v>
      </c>
      <c r="X16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Nidhin C N (1031862)</v>
      </c>
      <c r="Y164">
        <v>60000</v>
      </c>
      <c r="Z164" s="29">
        <f t="shared" ca="1" si="3"/>
        <v>40</v>
      </c>
      <c r="AA164">
        <f ca="1">IF(T_EMPLOYEES[[#This Row],[EMPLOYEE NUMBER]]="","",ROW(T_EMPLOYEES[[#This Row],[EMPLOYEE LABEL]])-ROW(T_EMPLOYEES[[#Headers],[EMPLOYEE LABEL]]))</f>
        <v>161</v>
      </c>
      <c r="AB164">
        <f ca="1">IF(T_EMPLOYEES[[#This Row],[EMPLOYEE NUMBER]]="","",IF(COUNTIF(T_EMPLOYEES[EMPLOYEE NUMBER],T_EMPLOYEES[[#This Row],[EMPLOYEE NUMBER]])&gt;1,1,0))</f>
        <v>0</v>
      </c>
      <c r="AC164">
        <f ca="1">IF(T_EMPLOYEES[[#This Row],[EMPLOYEE NUMBER]]="","",IF(AND(T_EMPLOYEES[[#This Row],[DATE OF BIRTH]]&gt;0,T_EMPLOYEES[[#This Row],[DATE OF BIRTH]]&lt;TODAY()),0,1))</f>
        <v>0</v>
      </c>
      <c r="AD164">
        <f ca="1">IF(T_EMPLOYEES[[#This Row],[EMPLOYEE NUMBER]]="","",IF(AND(T_EMPLOYEES[[#This Row],[START DATE]]&gt;0,T_EMPLOYEES[[#This Row],[START DATE]]&lt;TODAY()+60),0,1))</f>
        <v>0</v>
      </c>
      <c r="AE164">
        <f ca="1">IF(T_EMPLOYEES[[#This Row],[EMPLOYEE NUMBER]]="","",MATCH(T_EMPLOYEES[[#This Row],[GENDER]],L_GENDER,0))</f>
        <v>1</v>
      </c>
      <c r="AF164">
        <f ca="1">IF(T_EMPLOYEES[[#This Row],[EMPLOYEE NUMBER]]="","",MATCH(T_EMPLOYEES[[#This Row],[HIRE SOURCE]],L_HIRESOURCE,0))</f>
        <v>4</v>
      </c>
      <c r="AG164">
        <f ca="1">IF(T_EMPLOYEES[[#This Row],[EMPLOYEE NUMBER]]="","",MATCH(T_EMPLOYEES[[#This Row],[ETHNICITY]],L_ETHNICITY,0))</f>
        <v>3</v>
      </c>
      <c r="AH164">
        <f ca="1">IF(T_EMPLOYEES[[#This Row],[EMPLOYEE NUMBER]]="","",MATCH(T_EMPLOYEES[[#This Row],[LOCATION]],L_LOCATION,0))</f>
        <v>1</v>
      </c>
      <c r="AI164">
        <f ca="1">IF(T_EMPLOYEES[[#This Row],[EMPLOYEE NUMBER]]="","",MATCH(T_EMPLOYEES[[#This Row],[DEPARTMENT]],L_DEPARTMENT,0))</f>
        <v>2</v>
      </c>
      <c r="AJ164">
        <f ca="1">IF(T_EMPLOYEES[[#This Row],[EMPLOYEE NUMBER]]="","",MATCH(T_EMPLOYEES[[#This Row],[JOB TYPE]],L_JOBTYPE,0))</f>
        <v>2</v>
      </c>
      <c r="AK164">
        <f ca="1">IF(T_EMPLOYEES[[#This Row],[EMPLOYEE NUMBER]]="","",MATCH(T_EMPLOYEES[[#This Row],[JOB CATEGORY]],L_JOBCATEGORY,0))</f>
        <v>14</v>
      </c>
      <c r="AL164">
        <f ca="1">IF(T_EMPLOYEES[[#This Row],[EMPLOYEE NUMBER]]="","",MATCH(T_EMPLOYEES[[#This Row],[JOB LEVEL]],L_JOBLEVEL,0))</f>
        <v>4</v>
      </c>
      <c r="AM164">
        <f ca="1">IF(T_EMPLOYEES[[#This Row],[EMPLOYEE NUMBER]]="","",MATCH(T_EMPLOYEES[[#This Row],[JOB TITLE]],L_JOBTITLE,0))</f>
        <v>14</v>
      </c>
      <c r="AN164">
        <f ca="1">IF(T_EMPLOYEES[[#This Row],[EMPLOYEE NUMBER]]="","",MATCH(T_EMPLOYEES[[#This Row],[MANAGER]],L_EMPLABELS,0))</f>
        <v>76</v>
      </c>
      <c r="AO164">
        <f ca="1">IF(T_EMPLOYEES[[#This Row],[EMPLOYEE NUMBER]]="","",IF(T_EMPLOYEES[[#This Row],[ERROR]]="",0,1))</f>
        <v>0</v>
      </c>
      <c r="AP16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5" spans="1:42">
      <c r="A165" t="s">
        <v>690</v>
      </c>
      <c r="B165" t="s">
        <v>691</v>
      </c>
      <c r="C165">
        <v>1026219</v>
      </c>
      <c r="D165" t="s">
        <v>692</v>
      </c>
      <c r="E165" s="26">
        <v>32932</v>
      </c>
      <c r="F165" s="26">
        <v>44431</v>
      </c>
      <c r="H165" t="s">
        <v>27</v>
      </c>
      <c r="I165" t="s">
        <v>54</v>
      </c>
      <c r="J165" t="s">
        <v>64</v>
      </c>
      <c r="K165" t="s">
        <v>30</v>
      </c>
      <c r="L165" s="27" t="s">
        <v>114</v>
      </c>
      <c r="M165" t="s">
        <v>46</v>
      </c>
      <c r="N165" t="s">
        <v>131</v>
      </c>
      <c r="O165" t="s">
        <v>60</v>
      </c>
      <c r="P165" t="s">
        <v>131</v>
      </c>
      <c r="Q165" t="s">
        <v>206</v>
      </c>
      <c r="R165">
        <v>3</v>
      </c>
      <c r="S165" s="1">
        <v>250000</v>
      </c>
      <c r="T165" s="1">
        <f ca="1">ROUND(T_EMPLOYEES[[#This Row],[EMP_CTC1]]/12, 0)</f>
        <v>20833</v>
      </c>
      <c r="U165" s="1">
        <v>150000</v>
      </c>
      <c r="V165" s="1" t="s">
        <v>207</v>
      </c>
      <c r="W165" s="1" t="s">
        <v>207</v>
      </c>
      <c r="X16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Vadde Vijay Kumar (1026219)</v>
      </c>
      <c r="Y165">
        <v>60000</v>
      </c>
      <c r="Z165" s="29">
        <f t="shared" ca="1" si="3"/>
        <v>40</v>
      </c>
      <c r="AA165">
        <f ca="1">IF(T_EMPLOYEES[[#This Row],[EMPLOYEE NUMBER]]="","",ROW(T_EMPLOYEES[[#This Row],[EMPLOYEE LABEL]])-ROW(T_EMPLOYEES[[#Headers],[EMPLOYEE LABEL]]))</f>
        <v>162</v>
      </c>
      <c r="AB165">
        <f ca="1">IF(T_EMPLOYEES[[#This Row],[EMPLOYEE NUMBER]]="","",IF(COUNTIF(T_EMPLOYEES[EMPLOYEE NUMBER],T_EMPLOYEES[[#This Row],[EMPLOYEE NUMBER]])&gt;1,1,0))</f>
        <v>0</v>
      </c>
      <c r="AC165">
        <f ca="1">IF(T_EMPLOYEES[[#This Row],[EMPLOYEE NUMBER]]="","",IF(AND(T_EMPLOYEES[[#This Row],[DATE OF BIRTH]]&gt;0,T_EMPLOYEES[[#This Row],[DATE OF BIRTH]]&lt;TODAY()),0,1))</f>
        <v>0</v>
      </c>
      <c r="AD165">
        <f ca="1">IF(T_EMPLOYEES[[#This Row],[EMPLOYEE NUMBER]]="","",IF(AND(T_EMPLOYEES[[#This Row],[START DATE]]&gt;0,T_EMPLOYEES[[#This Row],[START DATE]]&lt;TODAY()+60),0,1))</f>
        <v>0</v>
      </c>
      <c r="AE165">
        <f ca="1">IF(T_EMPLOYEES[[#This Row],[EMPLOYEE NUMBER]]="","",MATCH(T_EMPLOYEES[[#This Row],[GENDER]],L_GENDER,0))</f>
        <v>1</v>
      </c>
      <c r="AF165">
        <f ca="1">IF(T_EMPLOYEES[[#This Row],[EMPLOYEE NUMBER]]="","",MATCH(T_EMPLOYEES[[#This Row],[HIRE SOURCE]],L_HIRESOURCE,0))</f>
        <v>4</v>
      </c>
      <c r="AG165">
        <f ca="1">IF(T_EMPLOYEES[[#This Row],[EMPLOYEE NUMBER]]="","",MATCH(T_EMPLOYEES[[#This Row],[ETHNICITY]],L_ETHNICITY,0))</f>
        <v>3</v>
      </c>
      <c r="AH165">
        <f ca="1">IF(T_EMPLOYEES[[#This Row],[EMPLOYEE NUMBER]]="","",MATCH(T_EMPLOYEES[[#This Row],[LOCATION]],L_LOCATION,0))</f>
        <v>1</v>
      </c>
      <c r="AI165">
        <f ca="1">IF(T_EMPLOYEES[[#This Row],[EMPLOYEE NUMBER]]="","",MATCH(T_EMPLOYEES[[#This Row],[DEPARTMENT]],L_DEPARTMENT,0))</f>
        <v>11</v>
      </c>
      <c r="AJ165">
        <f ca="1">IF(T_EMPLOYEES[[#This Row],[EMPLOYEE NUMBER]]="","",MATCH(T_EMPLOYEES[[#This Row],[JOB TYPE]],L_JOBTYPE,0))</f>
        <v>2</v>
      </c>
      <c r="AK165">
        <f ca="1">IF(T_EMPLOYEES[[#This Row],[EMPLOYEE NUMBER]]="","",MATCH(T_EMPLOYEES[[#This Row],[JOB CATEGORY]],L_JOBCATEGORY,0))</f>
        <v>16</v>
      </c>
      <c r="AL165">
        <f ca="1">IF(T_EMPLOYEES[[#This Row],[EMPLOYEE NUMBER]]="","",MATCH(T_EMPLOYEES[[#This Row],[JOB LEVEL]],L_JOBLEVEL,0))</f>
        <v>3</v>
      </c>
      <c r="AM165">
        <f ca="1">IF(T_EMPLOYEES[[#This Row],[EMPLOYEE NUMBER]]="","",MATCH(T_EMPLOYEES[[#This Row],[JOB TITLE]],L_JOBTITLE,0))</f>
        <v>16</v>
      </c>
      <c r="AN165">
        <f ca="1">IF(T_EMPLOYEES[[#This Row],[EMPLOYEE NUMBER]]="","",MATCH(T_EMPLOYEES[[#This Row],[MANAGER]],L_EMPLABELS,0))</f>
        <v>6</v>
      </c>
      <c r="AO165">
        <f ca="1">IF(T_EMPLOYEES[[#This Row],[EMPLOYEE NUMBER]]="","",IF(T_EMPLOYEES[[#This Row],[ERROR]]="",0,1))</f>
        <v>0</v>
      </c>
      <c r="AP16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6" spans="1:42">
      <c r="A166" t="s">
        <v>693</v>
      </c>
      <c r="B166" t="s">
        <v>694</v>
      </c>
      <c r="C166">
        <v>1030719</v>
      </c>
      <c r="D166" t="s">
        <v>695</v>
      </c>
      <c r="E166" s="26">
        <v>32942</v>
      </c>
      <c r="F166" s="26">
        <v>44859</v>
      </c>
      <c r="H166" t="s">
        <v>27</v>
      </c>
      <c r="I166" t="s">
        <v>54</v>
      </c>
      <c r="J166" t="s">
        <v>64</v>
      </c>
      <c r="K166" t="s">
        <v>30</v>
      </c>
      <c r="L166" s="27" t="s">
        <v>45</v>
      </c>
      <c r="M166" t="s">
        <v>46</v>
      </c>
      <c r="N166" t="s">
        <v>128</v>
      </c>
      <c r="O166" t="s">
        <v>60</v>
      </c>
      <c r="P166" t="s">
        <v>128</v>
      </c>
      <c r="Q166" t="s">
        <v>311</v>
      </c>
      <c r="R166" s="27">
        <v>3</v>
      </c>
      <c r="S166" s="1">
        <v>250000</v>
      </c>
      <c r="T166" s="1">
        <f ca="1">ROUND(T_EMPLOYEES[[#This Row],[EMP_CTC1]]/12, 0)</f>
        <v>20833</v>
      </c>
      <c r="U166" s="1">
        <v>150000</v>
      </c>
      <c r="V166" s="1" t="s">
        <v>207</v>
      </c>
      <c r="W166" s="1" t="s">
        <v>207</v>
      </c>
      <c r="X16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Surya Prasad Gupta (1030719)</v>
      </c>
      <c r="Y166">
        <v>60000</v>
      </c>
      <c r="Z166" s="29">
        <f t="shared" ca="1" si="3"/>
        <v>40</v>
      </c>
      <c r="AA166">
        <f ca="1">IF(T_EMPLOYEES[[#This Row],[EMPLOYEE NUMBER]]="","",ROW(T_EMPLOYEES[[#This Row],[EMPLOYEE LABEL]])-ROW(T_EMPLOYEES[[#Headers],[EMPLOYEE LABEL]]))</f>
        <v>163</v>
      </c>
      <c r="AB166">
        <f ca="1">IF(T_EMPLOYEES[[#This Row],[EMPLOYEE NUMBER]]="","",IF(COUNTIF(T_EMPLOYEES[EMPLOYEE NUMBER],T_EMPLOYEES[[#This Row],[EMPLOYEE NUMBER]])&gt;1,1,0))</f>
        <v>0</v>
      </c>
      <c r="AC166">
        <f ca="1">IF(T_EMPLOYEES[[#This Row],[EMPLOYEE NUMBER]]="","",IF(AND(T_EMPLOYEES[[#This Row],[DATE OF BIRTH]]&gt;0,T_EMPLOYEES[[#This Row],[DATE OF BIRTH]]&lt;TODAY()),0,1))</f>
        <v>0</v>
      </c>
      <c r="AD166">
        <f ca="1">IF(T_EMPLOYEES[[#This Row],[EMPLOYEE NUMBER]]="","",IF(AND(T_EMPLOYEES[[#This Row],[START DATE]]&gt;0,T_EMPLOYEES[[#This Row],[START DATE]]&lt;TODAY()+60),0,1))</f>
        <v>0</v>
      </c>
      <c r="AE166">
        <f ca="1">IF(T_EMPLOYEES[[#This Row],[EMPLOYEE NUMBER]]="","",MATCH(T_EMPLOYEES[[#This Row],[GENDER]],L_GENDER,0))</f>
        <v>1</v>
      </c>
      <c r="AF166">
        <f ca="1">IF(T_EMPLOYEES[[#This Row],[EMPLOYEE NUMBER]]="","",MATCH(T_EMPLOYEES[[#This Row],[HIRE SOURCE]],L_HIRESOURCE,0))</f>
        <v>4</v>
      </c>
      <c r="AG166">
        <f ca="1">IF(T_EMPLOYEES[[#This Row],[EMPLOYEE NUMBER]]="","",MATCH(T_EMPLOYEES[[#This Row],[ETHNICITY]],L_ETHNICITY,0))</f>
        <v>3</v>
      </c>
      <c r="AH166">
        <f ca="1">IF(T_EMPLOYEES[[#This Row],[EMPLOYEE NUMBER]]="","",MATCH(T_EMPLOYEES[[#This Row],[LOCATION]],L_LOCATION,0))</f>
        <v>1</v>
      </c>
      <c r="AI166">
        <f ca="1">IF(T_EMPLOYEES[[#This Row],[EMPLOYEE NUMBER]]="","",MATCH(T_EMPLOYEES[[#This Row],[DEPARTMENT]],L_DEPARTMENT,0))</f>
        <v>2</v>
      </c>
      <c r="AJ166">
        <f ca="1">IF(T_EMPLOYEES[[#This Row],[EMPLOYEE NUMBER]]="","",MATCH(T_EMPLOYEES[[#This Row],[JOB TYPE]],L_JOBTYPE,0))</f>
        <v>2</v>
      </c>
      <c r="AK166">
        <f ca="1">IF(T_EMPLOYEES[[#This Row],[EMPLOYEE NUMBER]]="","",MATCH(T_EMPLOYEES[[#This Row],[JOB CATEGORY]],L_JOBCATEGORY,0))</f>
        <v>15</v>
      </c>
      <c r="AL166">
        <f ca="1">IF(T_EMPLOYEES[[#This Row],[EMPLOYEE NUMBER]]="","",MATCH(T_EMPLOYEES[[#This Row],[JOB LEVEL]],L_JOBLEVEL,0))</f>
        <v>3</v>
      </c>
      <c r="AM166">
        <f ca="1">IF(T_EMPLOYEES[[#This Row],[EMPLOYEE NUMBER]]="","",MATCH(T_EMPLOYEES[[#This Row],[JOB TITLE]],L_JOBTITLE,0))</f>
        <v>15</v>
      </c>
      <c r="AN166">
        <f ca="1">IF(T_EMPLOYEES[[#This Row],[EMPLOYEE NUMBER]]="","",MATCH(T_EMPLOYEES[[#This Row],[MANAGER]],L_EMPLABELS,0))</f>
        <v>2</v>
      </c>
      <c r="AO166">
        <f ca="1">IF(T_EMPLOYEES[[#This Row],[EMPLOYEE NUMBER]]="","",IF(T_EMPLOYEES[[#This Row],[ERROR]]="",0,1))</f>
        <v>0</v>
      </c>
      <c r="AP16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7" spans="1:42">
      <c r="A167" t="s">
        <v>696</v>
      </c>
      <c r="B167" t="s">
        <v>697</v>
      </c>
      <c r="C167">
        <v>1031857</v>
      </c>
      <c r="D167" t="s">
        <v>698</v>
      </c>
      <c r="E167" s="26">
        <v>32953</v>
      </c>
      <c r="F167" s="26">
        <v>44914</v>
      </c>
      <c r="H167" t="s">
        <v>40</v>
      </c>
      <c r="I167" t="s">
        <v>54</v>
      </c>
      <c r="J167" t="s">
        <v>64</v>
      </c>
      <c r="K167" t="s">
        <v>30</v>
      </c>
      <c r="L167" s="27" t="s">
        <v>45</v>
      </c>
      <c r="M167" t="s">
        <v>46</v>
      </c>
      <c r="N167" t="s">
        <v>125</v>
      </c>
      <c r="O167" t="s">
        <v>71</v>
      </c>
      <c r="P167" t="s">
        <v>125</v>
      </c>
      <c r="Q167" t="s">
        <v>377</v>
      </c>
      <c r="R167">
        <v>5</v>
      </c>
      <c r="S167" s="1">
        <v>250000</v>
      </c>
      <c r="T167" s="1">
        <f ca="1">ROUND(T_EMPLOYEES[[#This Row],[EMP_CTC1]]/12, 0)</f>
        <v>20833</v>
      </c>
      <c r="U167" s="1">
        <v>150000</v>
      </c>
      <c r="V167" s="1" t="s">
        <v>207</v>
      </c>
      <c r="W167" s="1" t="s">
        <v>207</v>
      </c>
      <c r="X16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Irfana Anjum (1031857)</v>
      </c>
      <c r="Y167">
        <v>60000</v>
      </c>
      <c r="Z167" s="29">
        <f t="shared" ca="1" si="3"/>
        <v>40</v>
      </c>
      <c r="AA167">
        <f ca="1">IF(T_EMPLOYEES[[#This Row],[EMPLOYEE NUMBER]]="","",ROW(T_EMPLOYEES[[#This Row],[EMPLOYEE LABEL]])-ROW(T_EMPLOYEES[[#Headers],[EMPLOYEE LABEL]]))</f>
        <v>164</v>
      </c>
      <c r="AB167">
        <f ca="1">IF(T_EMPLOYEES[[#This Row],[EMPLOYEE NUMBER]]="","",IF(COUNTIF(T_EMPLOYEES[EMPLOYEE NUMBER],T_EMPLOYEES[[#This Row],[EMPLOYEE NUMBER]])&gt;1,1,0))</f>
        <v>0</v>
      </c>
      <c r="AC167">
        <f ca="1">IF(T_EMPLOYEES[[#This Row],[EMPLOYEE NUMBER]]="","",IF(AND(T_EMPLOYEES[[#This Row],[DATE OF BIRTH]]&gt;0,T_EMPLOYEES[[#This Row],[DATE OF BIRTH]]&lt;TODAY()),0,1))</f>
        <v>0</v>
      </c>
      <c r="AD167">
        <f ca="1">IF(T_EMPLOYEES[[#This Row],[EMPLOYEE NUMBER]]="","",IF(AND(T_EMPLOYEES[[#This Row],[START DATE]]&gt;0,T_EMPLOYEES[[#This Row],[START DATE]]&lt;TODAY()+60),0,1))</f>
        <v>0</v>
      </c>
      <c r="AE167">
        <f ca="1">IF(T_EMPLOYEES[[#This Row],[EMPLOYEE NUMBER]]="","",MATCH(T_EMPLOYEES[[#This Row],[GENDER]],L_GENDER,0))</f>
        <v>2</v>
      </c>
      <c r="AF167">
        <f ca="1">IF(T_EMPLOYEES[[#This Row],[EMPLOYEE NUMBER]]="","",MATCH(T_EMPLOYEES[[#This Row],[HIRE SOURCE]],L_HIRESOURCE,0))</f>
        <v>4</v>
      </c>
      <c r="AG167">
        <f ca="1">IF(T_EMPLOYEES[[#This Row],[EMPLOYEE NUMBER]]="","",MATCH(T_EMPLOYEES[[#This Row],[ETHNICITY]],L_ETHNICITY,0))</f>
        <v>3</v>
      </c>
      <c r="AH167">
        <f ca="1">IF(T_EMPLOYEES[[#This Row],[EMPLOYEE NUMBER]]="","",MATCH(T_EMPLOYEES[[#This Row],[LOCATION]],L_LOCATION,0))</f>
        <v>1</v>
      </c>
      <c r="AI167">
        <f ca="1">IF(T_EMPLOYEES[[#This Row],[EMPLOYEE NUMBER]]="","",MATCH(T_EMPLOYEES[[#This Row],[DEPARTMENT]],L_DEPARTMENT,0))</f>
        <v>2</v>
      </c>
      <c r="AJ167">
        <f ca="1">IF(T_EMPLOYEES[[#This Row],[EMPLOYEE NUMBER]]="","",MATCH(T_EMPLOYEES[[#This Row],[JOB TYPE]],L_JOBTYPE,0))</f>
        <v>2</v>
      </c>
      <c r="AK167">
        <f ca="1">IF(T_EMPLOYEES[[#This Row],[EMPLOYEE NUMBER]]="","",MATCH(T_EMPLOYEES[[#This Row],[JOB CATEGORY]],L_JOBCATEGORY,0))</f>
        <v>14</v>
      </c>
      <c r="AL167">
        <f ca="1">IF(T_EMPLOYEES[[#This Row],[EMPLOYEE NUMBER]]="","",MATCH(T_EMPLOYEES[[#This Row],[JOB LEVEL]],L_JOBLEVEL,0))</f>
        <v>4</v>
      </c>
      <c r="AM167">
        <f ca="1">IF(T_EMPLOYEES[[#This Row],[EMPLOYEE NUMBER]]="","",MATCH(T_EMPLOYEES[[#This Row],[JOB TITLE]],L_JOBTITLE,0))</f>
        <v>14</v>
      </c>
      <c r="AN167">
        <f ca="1">IF(T_EMPLOYEES[[#This Row],[EMPLOYEE NUMBER]]="","",MATCH(T_EMPLOYEES[[#This Row],[MANAGER]],L_EMPLABELS,0))</f>
        <v>64</v>
      </c>
      <c r="AO167">
        <f ca="1">IF(T_EMPLOYEES[[#This Row],[EMPLOYEE NUMBER]]="","",IF(T_EMPLOYEES[[#This Row],[ERROR]]="",0,1))</f>
        <v>0</v>
      </c>
      <c r="AP16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8" spans="1:42">
      <c r="A168" t="s">
        <v>699</v>
      </c>
      <c r="B168" t="s">
        <v>700</v>
      </c>
      <c r="C168">
        <v>1031863</v>
      </c>
      <c r="D168" t="s">
        <v>701</v>
      </c>
      <c r="E168" s="26">
        <v>33003</v>
      </c>
      <c r="F168" s="26">
        <v>44914</v>
      </c>
      <c r="H168" t="s">
        <v>40</v>
      </c>
      <c r="I168" t="s">
        <v>54</v>
      </c>
      <c r="J168" t="s">
        <v>64</v>
      </c>
      <c r="K168" t="s">
        <v>43</v>
      </c>
      <c r="L168" s="27" t="s">
        <v>45</v>
      </c>
      <c r="M168" t="s">
        <v>46</v>
      </c>
      <c r="N168" t="s">
        <v>128</v>
      </c>
      <c r="O168" t="s">
        <v>60</v>
      </c>
      <c r="P168" t="s">
        <v>128</v>
      </c>
      <c r="Q168" t="s">
        <v>448</v>
      </c>
      <c r="R168" s="27">
        <v>3</v>
      </c>
      <c r="S168" s="1">
        <v>250000</v>
      </c>
      <c r="T168" s="1">
        <f ca="1">ROUND(T_EMPLOYEES[[#This Row],[EMP_CTC1]]/12, 0)</f>
        <v>20833</v>
      </c>
      <c r="U168" s="1">
        <v>150000</v>
      </c>
      <c r="V168" s="1" t="s">
        <v>207</v>
      </c>
      <c r="W168" s="1" t="s">
        <v>207</v>
      </c>
      <c r="X16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Ashwitha Kumari H (1031863)</v>
      </c>
      <c r="Y168">
        <v>60000</v>
      </c>
      <c r="Z168" s="29">
        <f t="shared" ca="1" si="3"/>
        <v>40</v>
      </c>
      <c r="AA168">
        <f ca="1">IF(T_EMPLOYEES[[#This Row],[EMPLOYEE NUMBER]]="","",ROW(T_EMPLOYEES[[#This Row],[EMPLOYEE LABEL]])-ROW(T_EMPLOYEES[[#Headers],[EMPLOYEE LABEL]]))</f>
        <v>165</v>
      </c>
      <c r="AB168">
        <f ca="1">IF(T_EMPLOYEES[[#This Row],[EMPLOYEE NUMBER]]="","",IF(COUNTIF(T_EMPLOYEES[EMPLOYEE NUMBER],T_EMPLOYEES[[#This Row],[EMPLOYEE NUMBER]])&gt;1,1,0))</f>
        <v>0</v>
      </c>
      <c r="AC168">
        <f ca="1">IF(T_EMPLOYEES[[#This Row],[EMPLOYEE NUMBER]]="","",IF(AND(T_EMPLOYEES[[#This Row],[DATE OF BIRTH]]&gt;0,T_EMPLOYEES[[#This Row],[DATE OF BIRTH]]&lt;TODAY()),0,1))</f>
        <v>0</v>
      </c>
      <c r="AD168">
        <f ca="1">IF(T_EMPLOYEES[[#This Row],[EMPLOYEE NUMBER]]="","",IF(AND(T_EMPLOYEES[[#This Row],[START DATE]]&gt;0,T_EMPLOYEES[[#This Row],[START DATE]]&lt;TODAY()+60),0,1))</f>
        <v>0</v>
      </c>
      <c r="AE168">
        <f ca="1">IF(T_EMPLOYEES[[#This Row],[EMPLOYEE NUMBER]]="","",MATCH(T_EMPLOYEES[[#This Row],[GENDER]],L_GENDER,0))</f>
        <v>2</v>
      </c>
      <c r="AF168">
        <f ca="1">IF(T_EMPLOYEES[[#This Row],[EMPLOYEE NUMBER]]="","",MATCH(T_EMPLOYEES[[#This Row],[HIRE SOURCE]],L_HIRESOURCE,0))</f>
        <v>4</v>
      </c>
      <c r="AG168">
        <f ca="1">IF(T_EMPLOYEES[[#This Row],[EMPLOYEE NUMBER]]="","",MATCH(T_EMPLOYEES[[#This Row],[ETHNICITY]],L_ETHNICITY,0))</f>
        <v>3</v>
      </c>
      <c r="AH168">
        <f ca="1">IF(T_EMPLOYEES[[#This Row],[EMPLOYEE NUMBER]]="","",MATCH(T_EMPLOYEES[[#This Row],[LOCATION]],L_LOCATION,0))</f>
        <v>2</v>
      </c>
      <c r="AI168">
        <f ca="1">IF(T_EMPLOYEES[[#This Row],[EMPLOYEE NUMBER]]="","",MATCH(T_EMPLOYEES[[#This Row],[DEPARTMENT]],L_DEPARTMENT,0))</f>
        <v>2</v>
      </c>
      <c r="AJ168">
        <f ca="1">IF(T_EMPLOYEES[[#This Row],[EMPLOYEE NUMBER]]="","",MATCH(T_EMPLOYEES[[#This Row],[JOB TYPE]],L_JOBTYPE,0))</f>
        <v>2</v>
      </c>
      <c r="AK168">
        <f ca="1">IF(T_EMPLOYEES[[#This Row],[EMPLOYEE NUMBER]]="","",MATCH(T_EMPLOYEES[[#This Row],[JOB CATEGORY]],L_JOBCATEGORY,0))</f>
        <v>15</v>
      </c>
      <c r="AL168">
        <f ca="1">IF(T_EMPLOYEES[[#This Row],[EMPLOYEE NUMBER]]="","",MATCH(T_EMPLOYEES[[#This Row],[JOB LEVEL]],L_JOBLEVEL,0))</f>
        <v>3</v>
      </c>
      <c r="AM168">
        <f ca="1">IF(T_EMPLOYEES[[#This Row],[EMPLOYEE NUMBER]]="","",MATCH(T_EMPLOYEES[[#This Row],[JOB TITLE]],L_JOBTITLE,0))</f>
        <v>15</v>
      </c>
      <c r="AN168">
        <f ca="1">IF(T_EMPLOYEES[[#This Row],[EMPLOYEE NUMBER]]="","",MATCH(T_EMPLOYEES[[#This Row],[MANAGER]],L_EMPLABELS,0))</f>
        <v>83</v>
      </c>
      <c r="AO168">
        <f ca="1">IF(T_EMPLOYEES[[#This Row],[EMPLOYEE NUMBER]]="","",IF(T_EMPLOYEES[[#This Row],[ERROR]]="",0,1))</f>
        <v>0</v>
      </c>
      <c r="AP16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9" spans="1:42">
      <c r="A169" t="s">
        <v>639</v>
      </c>
      <c r="B169" t="s">
        <v>702</v>
      </c>
      <c r="C169">
        <v>1029925</v>
      </c>
      <c r="D169" t="s">
        <v>703</v>
      </c>
      <c r="E169" s="26">
        <v>33022</v>
      </c>
      <c r="F169" s="26">
        <v>44792</v>
      </c>
      <c r="H169" t="s">
        <v>27</v>
      </c>
      <c r="I169" t="s">
        <v>54</v>
      </c>
      <c r="J169" t="s">
        <v>64</v>
      </c>
      <c r="K169" t="s">
        <v>30</v>
      </c>
      <c r="L169" s="27" t="s">
        <v>45</v>
      </c>
      <c r="M169" t="s">
        <v>46</v>
      </c>
      <c r="N169" t="s">
        <v>89</v>
      </c>
      <c r="O169" t="s">
        <v>60</v>
      </c>
      <c r="P169" t="s">
        <v>89</v>
      </c>
      <c r="Q169" t="s">
        <v>272</v>
      </c>
      <c r="R169">
        <v>3</v>
      </c>
      <c r="S169" s="1">
        <v>250000</v>
      </c>
      <c r="T169" s="1">
        <f ca="1">ROUND(T_EMPLOYEES[[#This Row],[EMP_CTC1]]/12, 0)</f>
        <v>20833</v>
      </c>
      <c r="U169" s="1">
        <v>150000</v>
      </c>
      <c r="V169" s="1" t="s">
        <v>207</v>
      </c>
      <c r="W169" s="1" t="s">
        <v>207</v>
      </c>
      <c r="X16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Shaik Mastan (1029925)</v>
      </c>
      <c r="Y169">
        <v>60000</v>
      </c>
      <c r="Z169" s="29">
        <f t="shared" ca="1" si="3"/>
        <v>40</v>
      </c>
      <c r="AA169">
        <f ca="1">IF(T_EMPLOYEES[[#This Row],[EMPLOYEE NUMBER]]="","",ROW(T_EMPLOYEES[[#This Row],[EMPLOYEE LABEL]])-ROW(T_EMPLOYEES[[#Headers],[EMPLOYEE LABEL]]))</f>
        <v>166</v>
      </c>
      <c r="AB169">
        <f ca="1">IF(T_EMPLOYEES[[#This Row],[EMPLOYEE NUMBER]]="","",IF(COUNTIF(T_EMPLOYEES[EMPLOYEE NUMBER],T_EMPLOYEES[[#This Row],[EMPLOYEE NUMBER]])&gt;1,1,0))</f>
        <v>0</v>
      </c>
      <c r="AC169">
        <f ca="1">IF(T_EMPLOYEES[[#This Row],[EMPLOYEE NUMBER]]="","",IF(AND(T_EMPLOYEES[[#This Row],[DATE OF BIRTH]]&gt;0,T_EMPLOYEES[[#This Row],[DATE OF BIRTH]]&lt;TODAY()),0,1))</f>
        <v>0</v>
      </c>
      <c r="AD169">
        <f ca="1">IF(T_EMPLOYEES[[#This Row],[EMPLOYEE NUMBER]]="","",IF(AND(T_EMPLOYEES[[#This Row],[START DATE]]&gt;0,T_EMPLOYEES[[#This Row],[START DATE]]&lt;TODAY()+60),0,1))</f>
        <v>0</v>
      </c>
      <c r="AE169">
        <f ca="1">IF(T_EMPLOYEES[[#This Row],[EMPLOYEE NUMBER]]="","",MATCH(T_EMPLOYEES[[#This Row],[GENDER]],L_GENDER,0))</f>
        <v>1</v>
      </c>
      <c r="AF169">
        <f ca="1">IF(T_EMPLOYEES[[#This Row],[EMPLOYEE NUMBER]]="","",MATCH(T_EMPLOYEES[[#This Row],[HIRE SOURCE]],L_HIRESOURCE,0))</f>
        <v>4</v>
      </c>
      <c r="AG169">
        <f ca="1">IF(T_EMPLOYEES[[#This Row],[EMPLOYEE NUMBER]]="","",MATCH(T_EMPLOYEES[[#This Row],[ETHNICITY]],L_ETHNICITY,0))</f>
        <v>3</v>
      </c>
      <c r="AH169">
        <f ca="1">IF(T_EMPLOYEES[[#This Row],[EMPLOYEE NUMBER]]="","",MATCH(T_EMPLOYEES[[#This Row],[LOCATION]],L_LOCATION,0))</f>
        <v>1</v>
      </c>
      <c r="AI169">
        <f ca="1">IF(T_EMPLOYEES[[#This Row],[EMPLOYEE NUMBER]]="","",MATCH(T_EMPLOYEES[[#This Row],[DEPARTMENT]],L_DEPARTMENT,0))</f>
        <v>2</v>
      </c>
      <c r="AJ169">
        <f ca="1">IF(T_EMPLOYEES[[#This Row],[EMPLOYEE NUMBER]]="","",MATCH(T_EMPLOYEES[[#This Row],[JOB TYPE]],L_JOBTYPE,0))</f>
        <v>2</v>
      </c>
      <c r="AK169">
        <f ca="1">IF(T_EMPLOYEES[[#This Row],[EMPLOYEE NUMBER]]="","",MATCH(T_EMPLOYEES[[#This Row],[JOB CATEGORY]],L_JOBCATEGORY,0))</f>
        <v>6</v>
      </c>
      <c r="AL169">
        <f ca="1">IF(T_EMPLOYEES[[#This Row],[EMPLOYEE NUMBER]]="","",MATCH(T_EMPLOYEES[[#This Row],[JOB LEVEL]],L_JOBLEVEL,0))</f>
        <v>3</v>
      </c>
      <c r="AM169">
        <f ca="1">IF(T_EMPLOYEES[[#This Row],[EMPLOYEE NUMBER]]="","",MATCH(T_EMPLOYEES[[#This Row],[JOB TITLE]],L_JOBTITLE,0))</f>
        <v>6</v>
      </c>
      <c r="AN169">
        <f ca="1">IF(T_EMPLOYEES[[#This Row],[EMPLOYEE NUMBER]]="","",MATCH(T_EMPLOYEES[[#This Row],[MANAGER]],L_EMPLABELS,0))</f>
        <v>62</v>
      </c>
      <c r="AO169">
        <f ca="1">IF(T_EMPLOYEES[[#This Row],[EMPLOYEE NUMBER]]="","",IF(T_EMPLOYEES[[#This Row],[ERROR]]="",0,1))</f>
        <v>0</v>
      </c>
      <c r="AP16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0" spans="1:42">
      <c r="A170" t="s">
        <v>704</v>
      </c>
      <c r="B170" t="s">
        <v>705</v>
      </c>
      <c r="C170">
        <v>1028007</v>
      </c>
      <c r="D170" t="s">
        <v>706</v>
      </c>
      <c r="E170" s="26">
        <v>34277</v>
      </c>
      <c r="F170" s="26">
        <v>44573</v>
      </c>
      <c r="H170" t="s">
        <v>27</v>
      </c>
      <c r="I170" t="s">
        <v>54</v>
      </c>
      <c r="J170" t="s">
        <v>64</v>
      </c>
      <c r="K170" t="s">
        <v>30</v>
      </c>
      <c r="L170" s="27" t="s">
        <v>121</v>
      </c>
      <c r="M170" t="s">
        <v>46</v>
      </c>
      <c r="N170" t="s">
        <v>111</v>
      </c>
      <c r="O170" t="s">
        <v>71</v>
      </c>
      <c r="P170" t="s">
        <v>111</v>
      </c>
      <c r="Q170" t="s">
        <v>468</v>
      </c>
      <c r="R170" s="27">
        <v>5</v>
      </c>
      <c r="S170" s="1">
        <v>250000</v>
      </c>
      <c r="T170" s="1">
        <f ca="1">ROUND(T_EMPLOYEES[[#This Row],[EMP_CTC1]]/12, 0)</f>
        <v>20833</v>
      </c>
      <c r="U170" s="1">
        <v>150000</v>
      </c>
      <c r="V170" s="1" t="s">
        <v>207</v>
      </c>
      <c r="W170" s="1" t="s">
        <v>207</v>
      </c>
      <c r="X17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Shashi Kumar D (1028007)</v>
      </c>
      <c r="Y170">
        <v>60000</v>
      </c>
      <c r="Z170" s="29">
        <f t="shared" ca="1" si="3"/>
        <v>40</v>
      </c>
      <c r="AA170">
        <f ca="1">IF(T_EMPLOYEES[[#This Row],[EMPLOYEE NUMBER]]="","",ROW(T_EMPLOYEES[[#This Row],[EMPLOYEE LABEL]])-ROW(T_EMPLOYEES[[#Headers],[EMPLOYEE LABEL]]))</f>
        <v>167</v>
      </c>
      <c r="AB170">
        <f ca="1">IF(T_EMPLOYEES[[#This Row],[EMPLOYEE NUMBER]]="","",IF(COUNTIF(T_EMPLOYEES[EMPLOYEE NUMBER],T_EMPLOYEES[[#This Row],[EMPLOYEE NUMBER]])&gt;1,1,0))</f>
        <v>0</v>
      </c>
      <c r="AC170">
        <f ca="1">IF(T_EMPLOYEES[[#This Row],[EMPLOYEE NUMBER]]="","",IF(AND(T_EMPLOYEES[[#This Row],[DATE OF BIRTH]]&gt;0,T_EMPLOYEES[[#This Row],[DATE OF BIRTH]]&lt;TODAY()),0,1))</f>
        <v>0</v>
      </c>
      <c r="AD170">
        <f ca="1">IF(T_EMPLOYEES[[#This Row],[EMPLOYEE NUMBER]]="","",IF(AND(T_EMPLOYEES[[#This Row],[START DATE]]&gt;0,T_EMPLOYEES[[#This Row],[START DATE]]&lt;TODAY()+60),0,1))</f>
        <v>0</v>
      </c>
      <c r="AE170">
        <f ca="1">IF(T_EMPLOYEES[[#This Row],[EMPLOYEE NUMBER]]="","",MATCH(T_EMPLOYEES[[#This Row],[GENDER]],L_GENDER,0))</f>
        <v>1</v>
      </c>
      <c r="AF170">
        <f ca="1">IF(T_EMPLOYEES[[#This Row],[EMPLOYEE NUMBER]]="","",MATCH(T_EMPLOYEES[[#This Row],[HIRE SOURCE]],L_HIRESOURCE,0))</f>
        <v>4</v>
      </c>
      <c r="AG170">
        <f ca="1">IF(T_EMPLOYEES[[#This Row],[EMPLOYEE NUMBER]]="","",MATCH(T_EMPLOYEES[[#This Row],[ETHNICITY]],L_ETHNICITY,0))</f>
        <v>3</v>
      </c>
      <c r="AH170">
        <f ca="1">IF(T_EMPLOYEES[[#This Row],[EMPLOYEE NUMBER]]="","",MATCH(T_EMPLOYEES[[#This Row],[LOCATION]],L_LOCATION,0))</f>
        <v>1</v>
      </c>
      <c r="AI170">
        <f ca="1">IF(T_EMPLOYEES[[#This Row],[EMPLOYEE NUMBER]]="","",MATCH(T_EMPLOYEES[[#This Row],[DEPARTMENT]],L_DEPARTMENT,0))</f>
        <v>13</v>
      </c>
      <c r="AJ170">
        <f ca="1">IF(T_EMPLOYEES[[#This Row],[EMPLOYEE NUMBER]]="","",MATCH(T_EMPLOYEES[[#This Row],[JOB TYPE]],L_JOBTYPE,0))</f>
        <v>2</v>
      </c>
      <c r="AK170">
        <f ca="1">IF(T_EMPLOYEES[[#This Row],[EMPLOYEE NUMBER]]="","",MATCH(T_EMPLOYEES[[#This Row],[JOB CATEGORY]],L_JOBCATEGORY,0))</f>
        <v>10</v>
      </c>
      <c r="AL170">
        <f ca="1">IF(T_EMPLOYEES[[#This Row],[EMPLOYEE NUMBER]]="","",MATCH(T_EMPLOYEES[[#This Row],[JOB LEVEL]],L_JOBLEVEL,0))</f>
        <v>4</v>
      </c>
      <c r="AM170">
        <f ca="1">IF(T_EMPLOYEES[[#This Row],[EMPLOYEE NUMBER]]="","",MATCH(T_EMPLOYEES[[#This Row],[JOB TITLE]],L_JOBTITLE,0))</f>
        <v>10</v>
      </c>
      <c r="AN170">
        <f ca="1">IF(T_EMPLOYEES[[#This Row],[EMPLOYEE NUMBER]]="","",MATCH(T_EMPLOYEES[[#This Row],[MANAGER]],L_EMPLABELS,0))</f>
        <v>56</v>
      </c>
      <c r="AO170">
        <f ca="1">IF(T_EMPLOYEES[[#This Row],[EMPLOYEE NUMBER]]="","",IF(T_EMPLOYEES[[#This Row],[ERROR]]="",0,1))</f>
        <v>0</v>
      </c>
      <c r="AP17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1" spans="1:42">
      <c r="A171" t="s">
        <v>707</v>
      </c>
      <c r="C171">
        <v>1029181</v>
      </c>
      <c r="D171" t="s">
        <v>708</v>
      </c>
      <c r="E171" s="26">
        <v>33032</v>
      </c>
      <c r="F171" s="26">
        <v>44713</v>
      </c>
      <c r="H171" t="s">
        <v>27</v>
      </c>
      <c r="I171" t="s">
        <v>54</v>
      </c>
      <c r="J171" t="s">
        <v>64</v>
      </c>
      <c r="K171" t="s">
        <v>43</v>
      </c>
      <c r="L171" s="27" t="s">
        <v>45</v>
      </c>
      <c r="M171" t="s">
        <v>46</v>
      </c>
      <c r="N171" t="s">
        <v>128</v>
      </c>
      <c r="O171" t="s">
        <v>60</v>
      </c>
      <c r="P171" t="s">
        <v>128</v>
      </c>
      <c r="Q171" t="s">
        <v>578</v>
      </c>
      <c r="R171">
        <v>3</v>
      </c>
      <c r="S171" s="1">
        <v>250000</v>
      </c>
      <c r="T171" s="1">
        <f ca="1">ROUND(T_EMPLOYEES[[#This Row],[EMP_CTC1]]/12, 0)</f>
        <v>20833</v>
      </c>
      <c r="U171" s="1">
        <v>150000</v>
      </c>
      <c r="V171" s="1" t="s">
        <v>207</v>
      </c>
      <c r="W171" s="1" t="s">
        <v>207</v>
      </c>
      <c r="X17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Parameshwar  (1029181)</v>
      </c>
      <c r="Y171">
        <v>60000</v>
      </c>
      <c r="Z171" s="29">
        <f t="shared" ca="1" si="3"/>
        <v>40</v>
      </c>
      <c r="AA171">
        <f ca="1">IF(T_EMPLOYEES[[#This Row],[EMPLOYEE NUMBER]]="","",ROW(T_EMPLOYEES[[#This Row],[EMPLOYEE LABEL]])-ROW(T_EMPLOYEES[[#Headers],[EMPLOYEE LABEL]]))</f>
        <v>168</v>
      </c>
      <c r="AB171">
        <f ca="1">IF(T_EMPLOYEES[[#This Row],[EMPLOYEE NUMBER]]="","",IF(COUNTIF(T_EMPLOYEES[EMPLOYEE NUMBER],T_EMPLOYEES[[#This Row],[EMPLOYEE NUMBER]])&gt;1,1,0))</f>
        <v>0</v>
      </c>
      <c r="AC171">
        <f ca="1">IF(T_EMPLOYEES[[#This Row],[EMPLOYEE NUMBER]]="","",IF(AND(T_EMPLOYEES[[#This Row],[DATE OF BIRTH]]&gt;0,T_EMPLOYEES[[#This Row],[DATE OF BIRTH]]&lt;TODAY()),0,1))</f>
        <v>0</v>
      </c>
      <c r="AD171">
        <f ca="1">IF(T_EMPLOYEES[[#This Row],[EMPLOYEE NUMBER]]="","",IF(AND(T_EMPLOYEES[[#This Row],[START DATE]]&gt;0,T_EMPLOYEES[[#This Row],[START DATE]]&lt;TODAY()+60),0,1))</f>
        <v>0</v>
      </c>
      <c r="AE171">
        <f ca="1">IF(T_EMPLOYEES[[#This Row],[EMPLOYEE NUMBER]]="","",MATCH(T_EMPLOYEES[[#This Row],[GENDER]],L_GENDER,0))</f>
        <v>1</v>
      </c>
      <c r="AF171">
        <f ca="1">IF(T_EMPLOYEES[[#This Row],[EMPLOYEE NUMBER]]="","",MATCH(T_EMPLOYEES[[#This Row],[HIRE SOURCE]],L_HIRESOURCE,0))</f>
        <v>4</v>
      </c>
      <c r="AG171">
        <f ca="1">IF(T_EMPLOYEES[[#This Row],[EMPLOYEE NUMBER]]="","",MATCH(T_EMPLOYEES[[#This Row],[ETHNICITY]],L_ETHNICITY,0))</f>
        <v>3</v>
      </c>
      <c r="AH171">
        <f ca="1">IF(T_EMPLOYEES[[#This Row],[EMPLOYEE NUMBER]]="","",MATCH(T_EMPLOYEES[[#This Row],[LOCATION]],L_LOCATION,0))</f>
        <v>2</v>
      </c>
      <c r="AI171">
        <f ca="1">IF(T_EMPLOYEES[[#This Row],[EMPLOYEE NUMBER]]="","",MATCH(T_EMPLOYEES[[#This Row],[DEPARTMENT]],L_DEPARTMENT,0))</f>
        <v>2</v>
      </c>
      <c r="AJ171">
        <f ca="1">IF(T_EMPLOYEES[[#This Row],[EMPLOYEE NUMBER]]="","",MATCH(T_EMPLOYEES[[#This Row],[JOB TYPE]],L_JOBTYPE,0))</f>
        <v>2</v>
      </c>
      <c r="AK171">
        <f ca="1">IF(T_EMPLOYEES[[#This Row],[EMPLOYEE NUMBER]]="","",MATCH(T_EMPLOYEES[[#This Row],[JOB CATEGORY]],L_JOBCATEGORY,0))</f>
        <v>15</v>
      </c>
      <c r="AL171">
        <f ca="1">IF(T_EMPLOYEES[[#This Row],[EMPLOYEE NUMBER]]="","",MATCH(T_EMPLOYEES[[#This Row],[JOB LEVEL]],L_JOBLEVEL,0))</f>
        <v>3</v>
      </c>
      <c r="AM171">
        <f ca="1">IF(T_EMPLOYEES[[#This Row],[EMPLOYEE NUMBER]]="","",MATCH(T_EMPLOYEES[[#This Row],[JOB TITLE]],L_JOBTITLE,0))</f>
        <v>15</v>
      </c>
      <c r="AN171">
        <f ca="1">IF(T_EMPLOYEES[[#This Row],[EMPLOYEE NUMBER]]="","",MATCH(T_EMPLOYEES[[#This Row],[MANAGER]],L_EMPLABELS,0))</f>
        <v>76</v>
      </c>
      <c r="AO171">
        <f ca="1">IF(T_EMPLOYEES[[#This Row],[EMPLOYEE NUMBER]]="","",IF(T_EMPLOYEES[[#This Row],[ERROR]]="",0,1))</f>
        <v>0</v>
      </c>
      <c r="AP17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2" spans="1:42">
      <c r="A172" t="s">
        <v>709</v>
      </c>
      <c r="B172" t="s">
        <v>710</v>
      </c>
      <c r="C172">
        <v>1028321</v>
      </c>
      <c r="D172" t="s">
        <v>711</v>
      </c>
      <c r="E172" s="26">
        <v>33033</v>
      </c>
      <c r="F172" s="26">
        <v>44603</v>
      </c>
      <c r="H172" t="s">
        <v>40</v>
      </c>
      <c r="I172" t="s">
        <v>54</v>
      </c>
      <c r="J172" t="s">
        <v>64</v>
      </c>
      <c r="K172" t="s">
        <v>30</v>
      </c>
      <c r="L172" s="27" t="s">
        <v>114</v>
      </c>
      <c r="M172" t="s">
        <v>46</v>
      </c>
      <c r="N172" t="s">
        <v>128</v>
      </c>
      <c r="O172" t="s">
        <v>60</v>
      </c>
      <c r="P172" t="s">
        <v>128</v>
      </c>
      <c r="Q172" t="s">
        <v>505</v>
      </c>
      <c r="R172" s="27">
        <v>3</v>
      </c>
      <c r="S172" s="1">
        <v>250000</v>
      </c>
      <c r="T172" s="1">
        <f ca="1">ROUND(T_EMPLOYEES[[#This Row],[EMP_CTC1]]/12, 0)</f>
        <v>20833</v>
      </c>
      <c r="U172" s="1">
        <v>150000</v>
      </c>
      <c r="V172" s="1" t="s">
        <v>207</v>
      </c>
      <c r="W172" s="1" t="s">
        <v>207</v>
      </c>
      <c r="X17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Balabadruni  Asrita (1028321)</v>
      </c>
      <c r="Y172">
        <v>60000</v>
      </c>
      <c r="Z172" s="29">
        <f t="shared" ca="1" si="3"/>
        <v>40</v>
      </c>
      <c r="AA172">
        <f ca="1">IF(T_EMPLOYEES[[#This Row],[EMPLOYEE NUMBER]]="","",ROW(T_EMPLOYEES[[#This Row],[EMPLOYEE LABEL]])-ROW(T_EMPLOYEES[[#Headers],[EMPLOYEE LABEL]]))</f>
        <v>169</v>
      </c>
      <c r="AB172">
        <f ca="1">IF(T_EMPLOYEES[[#This Row],[EMPLOYEE NUMBER]]="","",IF(COUNTIF(T_EMPLOYEES[EMPLOYEE NUMBER],T_EMPLOYEES[[#This Row],[EMPLOYEE NUMBER]])&gt;1,1,0))</f>
        <v>0</v>
      </c>
      <c r="AC172">
        <f ca="1">IF(T_EMPLOYEES[[#This Row],[EMPLOYEE NUMBER]]="","",IF(AND(T_EMPLOYEES[[#This Row],[DATE OF BIRTH]]&gt;0,T_EMPLOYEES[[#This Row],[DATE OF BIRTH]]&lt;TODAY()),0,1))</f>
        <v>0</v>
      </c>
      <c r="AD172">
        <f ca="1">IF(T_EMPLOYEES[[#This Row],[EMPLOYEE NUMBER]]="","",IF(AND(T_EMPLOYEES[[#This Row],[START DATE]]&gt;0,T_EMPLOYEES[[#This Row],[START DATE]]&lt;TODAY()+60),0,1))</f>
        <v>0</v>
      </c>
      <c r="AE172">
        <f ca="1">IF(T_EMPLOYEES[[#This Row],[EMPLOYEE NUMBER]]="","",MATCH(T_EMPLOYEES[[#This Row],[GENDER]],L_GENDER,0))</f>
        <v>2</v>
      </c>
      <c r="AF172">
        <f ca="1">IF(T_EMPLOYEES[[#This Row],[EMPLOYEE NUMBER]]="","",MATCH(T_EMPLOYEES[[#This Row],[HIRE SOURCE]],L_HIRESOURCE,0))</f>
        <v>4</v>
      </c>
      <c r="AG172">
        <f ca="1">IF(T_EMPLOYEES[[#This Row],[EMPLOYEE NUMBER]]="","",MATCH(T_EMPLOYEES[[#This Row],[ETHNICITY]],L_ETHNICITY,0))</f>
        <v>3</v>
      </c>
      <c r="AH172">
        <f ca="1">IF(T_EMPLOYEES[[#This Row],[EMPLOYEE NUMBER]]="","",MATCH(T_EMPLOYEES[[#This Row],[LOCATION]],L_LOCATION,0))</f>
        <v>1</v>
      </c>
      <c r="AI172">
        <f ca="1">IF(T_EMPLOYEES[[#This Row],[EMPLOYEE NUMBER]]="","",MATCH(T_EMPLOYEES[[#This Row],[DEPARTMENT]],L_DEPARTMENT,0))</f>
        <v>11</v>
      </c>
      <c r="AJ172">
        <f ca="1">IF(T_EMPLOYEES[[#This Row],[EMPLOYEE NUMBER]]="","",MATCH(T_EMPLOYEES[[#This Row],[JOB TYPE]],L_JOBTYPE,0))</f>
        <v>2</v>
      </c>
      <c r="AK172">
        <f ca="1">IF(T_EMPLOYEES[[#This Row],[EMPLOYEE NUMBER]]="","",MATCH(T_EMPLOYEES[[#This Row],[JOB CATEGORY]],L_JOBCATEGORY,0))</f>
        <v>15</v>
      </c>
      <c r="AL172">
        <f ca="1">IF(T_EMPLOYEES[[#This Row],[EMPLOYEE NUMBER]]="","",MATCH(T_EMPLOYEES[[#This Row],[JOB LEVEL]],L_JOBLEVEL,0))</f>
        <v>3</v>
      </c>
      <c r="AM172">
        <f ca="1">IF(T_EMPLOYEES[[#This Row],[EMPLOYEE NUMBER]]="","",MATCH(T_EMPLOYEES[[#This Row],[JOB TITLE]],L_JOBTITLE,0))</f>
        <v>15</v>
      </c>
      <c r="AN172">
        <f ca="1">IF(T_EMPLOYEES[[#This Row],[EMPLOYEE NUMBER]]="","",MATCH(T_EMPLOYEES[[#This Row],[MANAGER]],L_EMPLABELS,0))</f>
        <v>57</v>
      </c>
      <c r="AO172">
        <f ca="1">IF(T_EMPLOYEES[[#This Row],[EMPLOYEE NUMBER]]="","",IF(T_EMPLOYEES[[#This Row],[ERROR]]="",0,1))</f>
        <v>0</v>
      </c>
      <c r="AP17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3" spans="1:42">
      <c r="A173" t="s">
        <v>712</v>
      </c>
      <c r="B173" t="s">
        <v>713</v>
      </c>
      <c r="C173">
        <v>1033992</v>
      </c>
      <c r="D173" t="s">
        <v>714</v>
      </c>
      <c r="E173" s="26">
        <v>30657</v>
      </c>
      <c r="F173" s="26">
        <v>45264</v>
      </c>
      <c r="H173" t="s">
        <v>27</v>
      </c>
      <c r="I173" t="s">
        <v>54</v>
      </c>
      <c r="J173" t="s">
        <v>64</v>
      </c>
      <c r="K173" t="s">
        <v>30</v>
      </c>
      <c r="L173" s="27" t="s">
        <v>114</v>
      </c>
      <c r="M173" t="s">
        <v>46</v>
      </c>
      <c r="N173" t="s">
        <v>111</v>
      </c>
      <c r="O173" t="s">
        <v>71</v>
      </c>
      <c r="P173" t="s">
        <v>111</v>
      </c>
      <c r="Q173" t="s">
        <v>468</v>
      </c>
      <c r="R173">
        <v>5</v>
      </c>
      <c r="S173" s="1">
        <v>250000</v>
      </c>
      <c r="T173" s="1">
        <f ca="1">ROUND(T_EMPLOYEES[[#This Row],[EMP_CTC1]]/12, 0)</f>
        <v>20833</v>
      </c>
      <c r="U173" s="1">
        <v>150000</v>
      </c>
      <c r="V173" s="1" t="s">
        <v>207</v>
      </c>
      <c r="W173" s="1" t="s">
        <v>207</v>
      </c>
      <c r="X17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Samaleti  Srikanth (1033992)</v>
      </c>
      <c r="Y173">
        <v>60000</v>
      </c>
      <c r="Z173" s="29">
        <f t="shared" ca="1" si="3"/>
        <v>40</v>
      </c>
      <c r="AA173">
        <f ca="1">IF(T_EMPLOYEES[[#This Row],[EMPLOYEE NUMBER]]="","",ROW(T_EMPLOYEES[[#This Row],[EMPLOYEE LABEL]])-ROW(T_EMPLOYEES[[#Headers],[EMPLOYEE LABEL]]))</f>
        <v>170</v>
      </c>
      <c r="AB173">
        <f ca="1">IF(T_EMPLOYEES[[#This Row],[EMPLOYEE NUMBER]]="","",IF(COUNTIF(T_EMPLOYEES[EMPLOYEE NUMBER],T_EMPLOYEES[[#This Row],[EMPLOYEE NUMBER]])&gt;1,1,0))</f>
        <v>0</v>
      </c>
      <c r="AC173">
        <f ca="1">IF(T_EMPLOYEES[[#This Row],[EMPLOYEE NUMBER]]="","",IF(AND(T_EMPLOYEES[[#This Row],[DATE OF BIRTH]]&gt;0,T_EMPLOYEES[[#This Row],[DATE OF BIRTH]]&lt;TODAY()),0,1))</f>
        <v>0</v>
      </c>
      <c r="AD173">
        <f ca="1">IF(T_EMPLOYEES[[#This Row],[EMPLOYEE NUMBER]]="","",IF(AND(T_EMPLOYEES[[#This Row],[START DATE]]&gt;0,T_EMPLOYEES[[#This Row],[START DATE]]&lt;TODAY()+60),0,1))</f>
        <v>0</v>
      </c>
      <c r="AE173">
        <f ca="1">IF(T_EMPLOYEES[[#This Row],[EMPLOYEE NUMBER]]="","",MATCH(T_EMPLOYEES[[#This Row],[GENDER]],L_GENDER,0))</f>
        <v>1</v>
      </c>
      <c r="AF173">
        <f ca="1">IF(T_EMPLOYEES[[#This Row],[EMPLOYEE NUMBER]]="","",MATCH(T_EMPLOYEES[[#This Row],[HIRE SOURCE]],L_HIRESOURCE,0))</f>
        <v>4</v>
      </c>
      <c r="AG173">
        <f ca="1">IF(T_EMPLOYEES[[#This Row],[EMPLOYEE NUMBER]]="","",MATCH(T_EMPLOYEES[[#This Row],[ETHNICITY]],L_ETHNICITY,0))</f>
        <v>3</v>
      </c>
      <c r="AH173">
        <f ca="1">IF(T_EMPLOYEES[[#This Row],[EMPLOYEE NUMBER]]="","",MATCH(T_EMPLOYEES[[#This Row],[LOCATION]],L_LOCATION,0))</f>
        <v>1</v>
      </c>
      <c r="AI173">
        <f ca="1">IF(T_EMPLOYEES[[#This Row],[EMPLOYEE NUMBER]]="","",MATCH(T_EMPLOYEES[[#This Row],[DEPARTMENT]],L_DEPARTMENT,0))</f>
        <v>11</v>
      </c>
      <c r="AJ173">
        <f ca="1">IF(T_EMPLOYEES[[#This Row],[EMPLOYEE NUMBER]]="","",MATCH(T_EMPLOYEES[[#This Row],[JOB TYPE]],L_JOBTYPE,0))</f>
        <v>2</v>
      </c>
      <c r="AK173">
        <f ca="1">IF(T_EMPLOYEES[[#This Row],[EMPLOYEE NUMBER]]="","",MATCH(T_EMPLOYEES[[#This Row],[JOB CATEGORY]],L_JOBCATEGORY,0))</f>
        <v>10</v>
      </c>
      <c r="AL173">
        <f ca="1">IF(T_EMPLOYEES[[#This Row],[EMPLOYEE NUMBER]]="","",MATCH(T_EMPLOYEES[[#This Row],[JOB LEVEL]],L_JOBLEVEL,0))</f>
        <v>4</v>
      </c>
      <c r="AM173">
        <f ca="1">IF(T_EMPLOYEES[[#This Row],[EMPLOYEE NUMBER]]="","",MATCH(T_EMPLOYEES[[#This Row],[JOB TITLE]],L_JOBTITLE,0))</f>
        <v>10</v>
      </c>
      <c r="AN173">
        <f ca="1">IF(T_EMPLOYEES[[#This Row],[EMPLOYEE NUMBER]]="","",MATCH(T_EMPLOYEES[[#This Row],[MANAGER]],L_EMPLABELS,0))</f>
        <v>56</v>
      </c>
      <c r="AO173">
        <f ca="1">IF(T_EMPLOYEES[[#This Row],[EMPLOYEE NUMBER]]="","",IF(T_EMPLOYEES[[#This Row],[ERROR]]="",0,1))</f>
        <v>0</v>
      </c>
      <c r="AP17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4" spans="1:42">
      <c r="A174" t="s">
        <v>715</v>
      </c>
      <c r="B174" t="s">
        <v>716</v>
      </c>
      <c r="C174">
        <v>1016264</v>
      </c>
      <c r="D174" t="s">
        <v>717</v>
      </c>
      <c r="E174" s="26">
        <v>33053</v>
      </c>
      <c r="F174" s="26">
        <v>41970</v>
      </c>
      <c r="H174" t="s">
        <v>27</v>
      </c>
      <c r="I174" t="s">
        <v>54</v>
      </c>
      <c r="J174" t="s">
        <v>64</v>
      </c>
      <c r="K174" t="s">
        <v>30</v>
      </c>
      <c r="L174" s="27" t="s">
        <v>45</v>
      </c>
      <c r="M174" t="s">
        <v>46</v>
      </c>
      <c r="N174" t="s">
        <v>81</v>
      </c>
      <c r="O174" t="s">
        <v>82</v>
      </c>
      <c r="P174" t="s">
        <v>81</v>
      </c>
      <c r="Q174" t="s">
        <v>373</v>
      </c>
      <c r="R174" s="27">
        <v>7</v>
      </c>
      <c r="S174" s="1">
        <v>250000</v>
      </c>
      <c r="T174" s="1">
        <f ca="1">ROUND(T_EMPLOYEES[[#This Row],[EMP_CTC1]]/12, 0)</f>
        <v>20833</v>
      </c>
      <c r="U174" s="1">
        <v>150000</v>
      </c>
      <c r="V174" s="1" t="s">
        <v>207</v>
      </c>
      <c r="W174" s="1" t="s">
        <v>207</v>
      </c>
      <c r="X17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 Gopal Reddy (1016264)</v>
      </c>
      <c r="Y174">
        <v>60000</v>
      </c>
      <c r="Z174" s="29">
        <f t="shared" ca="1" si="3"/>
        <v>40</v>
      </c>
      <c r="AA174">
        <f ca="1">IF(T_EMPLOYEES[[#This Row],[EMPLOYEE NUMBER]]="","",ROW(T_EMPLOYEES[[#This Row],[EMPLOYEE LABEL]])-ROW(T_EMPLOYEES[[#Headers],[EMPLOYEE LABEL]]))</f>
        <v>171</v>
      </c>
      <c r="AB174">
        <f ca="1">IF(T_EMPLOYEES[[#This Row],[EMPLOYEE NUMBER]]="","",IF(COUNTIF(T_EMPLOYEES[EMPLOYEE NUMBER],T_EMPLOYEES[[#This Row],[EMPLOYEE NUMBER]])&gt;1,1,0))</f>
        <v>0</v>
      </c>
      <c r="AC174">
        <f ca="1">IF(T_EMPLOYEES[[#This Row],[EMPLOYEE NUMBER]]="","",IF(AND(T_EMPLOYEES[[#This Row],[DATE OF BIRTH]]&gt;0,T_EMPLOYEES[[#This Row],[DATE OF BIRTH]]&lt;TODAY()),0,1))</f>
        <v>0</v>
      </c>
      <c r="AD174">
        <f ca="1">IF(T_EMPLOYEES[[#This Row],[EMPLOYEE NUMBER]]="","",IF(AND(T_EMPLOYEES[[#This Row],[START DATE]]&gt;0,T_EMPLOYEES[[#This Row],[START DATE]]&lt;TODAY()+60),0,1))</f>
        <v>0</v>
      </c>
      <c r="AE174">
        <f ca="1">IF(T_EMPLOYEES[[#This Row],[EMPLOYEE NUMBER]]="","",MATCH(T_EMPLOYEES[[#This Row],[GENDER]],L_GENDER,0))</f>
        <v>1</v>
      </c>
      <c r="AF174">
        <f ca="1">IF(T_EMPLOYEES[[#This Row],[EMPLOYEE NUMBER]]="","",MATCH(T_EMPLOYEES[[#This Row],[HIRE SOURCE]],L_HIRESOURCE,0))</f>
        <v>4</v>
      </c>
      <c r="AG174">
        <f ca="1">IF(T_EMPLOYEES[[#This Row],[EMPLOYEE NUMBER]]="","",MATCH(T_EMPLOYEES[[#This Row],[ETHNICITY]],L_ETHNICITY,0))</f>
        <v>3</v>
      </c>
      <c r="AH174">
        <f ca="1">IF(T_EMPLOYEES[[#This Row],[EMPLOYEE NUMBER]]="","",MATCH(T_EMPLOYEES[[#This Row],[LOCATION]],L_LOCATION,0))</f>
        <v>1</v>
      </c>
      <c r="AI174">
        <f ca="1">IF(T_EMPLOYEES[[#This Row],[EMPLOYEE NUMBER]]="","",MATCH(T_EMPLOYEES[[#This Row],[DEPARTMENT]],L_DEPARTMENT,0))</f>
        <v>2</v>
      </c>
      <c r="AJ174">
        <f ca="1">IF(T_EMPLOYEES[[#This Row],[EMPLOYEE NUMBER]]="","",MATCH(T_EMPLOYEES[[#This Row],[JOB TYPE]],L_JOBTYPE,0))</f>
        <v>2</v>
      </c>
      <c r="AK174">
        <f ca="1">IF(T_EMPLOYEES[[#This Row],[EMPLOYEE NUMBER]]="","",MATCH(T_EMPLOYEES[[#This Row],[JOB CATEGORY]],L_JOBCATEGORY,0))</f>
        <v>5</v>
      </c>
      <c r="AL174">
        <f ca="1">IF(T_EMPLOYEES[[#This Row],[EMPLOYEE NUMBER]]="","",MATCH(T_EMPLOYEES[[#This Row],[JOB LEVEL]],L_JOBLEVEL,0))</f>
        <v>5</v>
      </c>
      <c r="AM174">
        <f ca="1">IF(T_EMPLOYEES[[#This Row],[EMPLOYEE NUMBER]]="","",MATCH(T_EMPLOYEES[[#This Row],[JOB TITLE]],L_JOBTITLE,0))</f>
        <v>5</v>
      </c>
      <c r="AN174">
        <f ca="1">IF(T_EMPLOYEES[[#This Row],[EMPLOYEE NUMBER]]="","",MATCH(T_EMPLOYEES[[#This Row],[MANAGER]],L_EMPLABELS,0))</f>
        <v>9</v>
      </c>
      <c r="AO174">
        <f ca="1">IF(T_EMPLOYEES[[#This Row],[EMPLOYEE NUMBER]]="","",IF(T_EMPLOYEES[[#This Row],[ERROR]]="",0,1))</f>
        <v>0</v>
      </c>
      <c r="AP17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5" spans="1:42">
      <c r="A175" t="s">
        <v>718</v>
      </c>
      <c r="B175" t="s">
        <v>719</v>
      </c>
      <c r="C175">
        <v>1028929</v>
      </c>
      <c r="D175" t="s">
        <v>720</v>
      </c>
      <c r="E175" s="26">
        <v>33055</v>
      </c>
      <c r="F175" s="26">
        <v>44676</v>
      </c>
      <c r="H175" t="s">
        <v>40</v>
      </c>
      <c r="I175" t="s">
        <v>54</v>
      </c>
      <c r="J175" t="s">
        <v>64</v>
      </c>
      <c r="K175" t="s">
        <v>43</v>
      </c>
      <c r="L175" s="27" t="s">
        <v>45</v>
      </c>
      <c r="M175" t="s">
        <v>46</v>
      </c>
      <c r="N175" t="s">
        <v>128</v>
      </c>
      <c r="O175" t="s">
        <v>60</v>
      </c>
      <c r="P175" t="s">
        <v>128</v>
      </c>
      <c r="Q175" t="s">
        <v>431</v>
      </c>
      <c r="R175">
        <v>3</v>
      </c>
      <c r="S175" s="1">
        <v>250000</v>
      </c>
      <c r="T175" s="1">
        <f ca="1">ROUND(T_EMPLOYEES[[#This Row],[EMP_CTC1]]/12, 0)</f>
        <v>20833</v>
      </c>
      <c r="U175" s="1">
        <v>150000</v>
      </c>
      <c r="V175" s="1" t="s">
        <v>207</v>
      </c>
      <c r="W175" s="1" t="s">
        <v>432</v>
      </c>
      <c r="X17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LakshmiVasavi Bezavada (1028929)</v>
      </c>
      <c r="Y175">
        <v>60000</v>
      </c>
      <c r="Z175" s="29">
        <f t="shared" ca="1" si="3"/>
        <v>40</v>
      </c>
      <c r="AA175">
        <f ca="1">IF(T_EMPLOYEES[[#This Row],[EMPLOYEE NUMBER]]="","",ROW(T_EMPLOYEES[[#This Row],[EMPLOYEE LABEL]])-ROW(T_EMPLOYEES[[#Headers],[EMPLOYEE LABEL]]))</f>
        <v>172</v>
      </c>
      <c r="AB175">
        <f ca="1">IF(T_EMPLOYEES[[#This Row],[EMPLOYEE NUMBER]]="","",IF(COUNTIF(T_EMPLOYEES[EMPLOYEE NUMBER],T_EMPLOYEES[[#This Row],[EMPLOYEE NUMBER]])&gt;1,1,0))</f>
        <v>0</v>
      </c>
      <c r="AC175">
        <f ca="1">IF(T_EMPLOYEES[[#This Row],[EMPLOYEE NUMBER]]="","",IF(AND(T_EMPLOYEES[[#This Row],[DATE OF BIRTH]]&gt;0,T_EMPLOYEES[[#This Row],[DATE OF BIRTH]]&lt;TODAY()),0,1))</f>
        <v>0</v>
      </c>
      <c r="AD175">
        <f ca="1">IF(T_EMPLOYEES[[#This Row],[EMPLOYEE NUMBER]]="","",IF(AND(T_EMPLOYEES[[#This Row],[START DATE]]&gt;0,T_EMPLOYEES[[#This Row],[START DATE]]&lt;TODAY()+60),0,1))</f>
        <v>0</v>
      </c>
      <c r="AE175">
        <f ca="1">IF(T_EMPLOYEES[[#This Row],[EMPLOYEE NUMBER]]="","",MATCH(T_EMPLOYEES[[#This Row],[GENDER]],L_GENDER,0))</f>
        <v>2</v>
      </c>
      <c r="AF175">
        <f ca="1">IF(T_EMPLOYEES[[#This Row],[EMPLOYEE NUMBER]]="","",MATCH(T_EMPLOYEES[[#This Row],[HIRE SOURCE]],L_HIRESOURCE,0))</f>
        <v>4</v>
      </c>
      <c r="AG175">
        <f ca="1">IF(T_EMPLOYEES[[#This Row],[EMPLOYEE NUMBER]]="","",MATCH(T_EMPLOYEES[[#This Row],[ETHNICITY]],L_ETHNICITY,0))</f>
        <v>3</v>
      </c>
      <c r="AH175">
        <f ca="1">IF(T_EMPLOYEES[[#This Row],[EMPLOYEE NUMBER]]="","",MATCH(T_EMPLOYEES[[#This Row],[LOCATION]],L_LOCATION,0))</f>
        <v>2</v>
      </c>
      <c r="AI175">
        <f ca="1">IF(T_EMPLOYEES[[#This Row],[EMPLOYEE NUMBER]]="","",MATCH(T_EMPLOYEES[[#This Row],[DEPARTMENT]],L_DEPARTMENT,0))</f>
        <v>2</v>
      </c>
      <c r="AJ175">
        <f ca="1">IF(T_EMPLOYEES[[#This Row],[EMPLOYEE NUMBER]]="","",MATCH(T_EMPLOYEES[[#This Row],[JOB TYPE]],L_JOBTYPE,0))</f>
        <v>2</v>
      </c>
      <c r="AK175">
        <f ca="1">IF(T_EMPLOYEES[[#This Row],[EMPLOYEE NUMBER]]="","",MATCH(T_EMPLOYEES[[#This Row],[JOB CATEGORY]],L_JOBCATEGORY,0))</f>
        <v>15</v>
      </c>
      <c r="AL175">
        <f ca="1">IF(T_EMPLOYEES[[#This Row],[EMPLOYEE NUMBER]]="","",MATCH(T_EMPLOYEES[[#This Row],[JOB LEVEL]],L_JOBLEVEL,0))</f>
        <v>3</v>
      </c>
      <c r="AM175">
        <f ca="1">IF(T_EMPLOYEES[[#This Row],[EMPLOYEE NUMBER]]="","",MATCH(T_EMPLOYEES[[#This Row],[JOB TITLE]],L_JOBTITLE,0))</f>
        <v>15</v>
      </c>
      <c r="AN175">
        <f ca="1">IF(T_EMPLOYEES[[#This Row],[EMPLOYEE NUMBER]]="","",MATCH(T_EMPLOYEES[[#This Row],[MANAGER]],L_EMPLABELS,0))</f>
        <v>87</v>
      </c>
      <c r="AO175">
        <f ca="1">IF(T_EMPLOYEES[[#This Row],[EMPLOYEE NUMBER]]="","",IF(T_EMPLOYEES[[#This Row],[ERROR]]="",0,1))</f>
        <v>0</v>
      </c>
      <c r="AP17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6" spans="1:42">
      <c r="A176" t="s">
        <v>721</v>
      </c>
      <c r="B176" t="s">
        <v>722</v>
      </c>
      <c r="C176">
        <v>1029820</v>
      </c>
      <c r="D176" t="s">
        <v>723</v>
      </c>
      <c r="E176" s="26">
        <v>33086</v>
      </c>
      <c r="F176" s="26">
        <v>44785</v>
      </c>
      <c r="H176" t="s">
        <v>27</v>
      </c>
      <c r="I176" t="s">
        <v>54</v>
      </c>
      <c r="J176" t="s">
        <v>64</v>
      </c>
      <c r="K176" t="s">
        <v>30</v>
      </c>
      <c r="L176" s="27" t="s">
        <v>45</v>
      </c>
      <c r="M176" t="s">
        <v>46</v>
      </c>
      <c r="N176" t="s">
        <v>148</v>
      </c>
      <c r="O176" t="s">
        <v>48</v>
      </c>
      <c r="P176" t="s">
        <v>148</v>
      </c>
      <c r="Q176" t="s">
        <v>418</v>
      </c>
      <c r="R176" s="27">
        <v>3</v>
      </c>
      <c r="S176" s="1">
        <v>250000</v>
      </c>
      <c r="T176" s="1">
        <f ca="1">ROUND(T_EMPLOYEES[[#This Row],[EMP_CTC1]]/12, 0)</f>
        <v>20833</v>
      </c>
      <c r="U176" s="1">
        <v>150000</v>
      </c>
      <c r="V176" s="1" t="s">
        <v>207</v>
      </c>
      <c r="W176" s="1" t="s">
        <v>207</v>
      </c>
      <c r="X17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Sachin S Joshi (1029820)</v>
      </c>
      <c r="Y176">
        <v>60000</v>
      </c>
      <c r="Z176" s="29">
        <f t="shared" ca="1" si="3"/>
        <v>40</v>
      </c>
      <c r="AA176">
        <f ca="1">IF(T_EMPLOYEES[[#This Row],[EMPLOYEE NUMBER]]="","",ROW(T_EMPLOYEES[[#This Row],[EMPLOYEE LABEL]])-ROW(T_EMPLOYEES[[#Headers],[EMPLOYEE LABEL]]))</f>
        <v>173</v>
      </c>
      <c r="AB176">
        <f ca="1">IF(T_EMPLOYEES[[#This Row],[EMPLOYEE NUMBER]]="","",IF(COUNTIF(T_EMPLOYEES[EMPLOYEE NUMBER],T_EMPLOYEES[[#This Row],[EMPLOYEE NUMBER]])&gt;1,1,0))</f>
        <v>0</v>
      </c>
      <c r="AC176">
        <f ca="1">IF(T_EMPLOYEES[[#This Row],[EMPLOYEE NUMBER]]="","",IF(AND(T_EMPLOYEES[[#This Row],[DATE OF BIRTH]]&gt;0,T_EMPLOYEES[[#This Row],[DATE OF BIRTH]]&lt;TODAY()),0,1))</f>
        <v>0</v>
      </c>
      <c r="AD176">
        <f ca="1">IF(T_EMPLOYEES[[#This Row],[EMPLOYEE NUMBER]]="","",IF(AND(T_EMPLOYEES[[#This Row],[START DATE]]&gt;0,T_EMPLOYEES[[#This Row],[START DATE]]&lt;TODAY()+60),0,1))</f>
        <v>0</v>
      </c>
      <c r="AE176">
        <f ca="1">IF(T_EMPLOYEES[[#This Row],[EMPLOYEE NUMBER]]="","",MATCH(T_EMPLOYEES[[#This Row],[GENDER]],L_GENDER,0))</f>
        <v>1</v>
      </c>
      <c r="AF176">
        <f ca="1">IF(T_EMPLOYEES[[#This Row],[EMPLOYEE NUMBER]]="","",MATCH(T_EMPLOYEES[[#This Row],[HIRE SOURCE]],L_HIRESOURCE,0))</f>
        <v>4</v>
      </c>
      <c r="AG176">
        <f ca="1">IF(T_EMPLOYEES[[#This Row],[EMPLOYEE NUMBER]]="","",MATCH(T_EMPLOYEES[[#This Row],[ETHNICITY]],L_ETHNICITY,0))</f>
        <v>3</v>
      </c>
      <c r="AH176">
        <f ca="1">IF(T_EMPLOYEES[[#This Row],[EMPLOYEE NUMBER]]="","",MATCH(T_EMPLOYEES[[#This Row],[LOCATION]],L_LOCATION,0))</f>
        <v>1</v>
      </c>
      <c r="AI176">
        <f ca="1">IF(T_EMPLOYEES[[#This Row],[EMPLOYEE NUMBER]]="","",MATCH(T_EMPLOYEES[[#This Row],[DEPARTMENT]],L_DEPARTMENT,0))</f>
        <v>2</v>
      </c>
      <c r="AJ176">
        <f ca="1">IF(T_EMPLOYEES[[#This Row],[EMPLOYEE NUMBER]]="","",MATCH(T_EMPLOYEES[[#This Row],[JOB TYPE]],L_JOBTYPE,0))</f>
        <v>2</v>
      </c>
      <c r="AK176">
        <f ca="1">IF(T_EMPLOYEES[[#This Row],[EMPLOYEE NUMBER]]="","",MATCH(T_EMPLOYEES[[#This Row],[JOB CATEGORY]],L_JOBCATEGORY,0))</f>
        <v>27</v>
      </c>
      <c r="AL176">
        <f ca="1">IF(T_EMPLOYEES[[#This Row],[EMPLOYEE NUMBER]]="","",MATCH(T_EMPLOYEES[[#This Row],[JOB LEVEL]],L_JOBLEVEL,0))</f>
        <v>2</v>
      </c>
      <c r="AM176">
        <f ca="1">IF(T_EMPLOYEES[[#This Row],[EMPLOYEE NUMBER]]="","",MATCH(T_EMPLOYEES[[#This Row],[JOB TITLE]],L_JOBTITLE,0))</f>
        <v>27</v>
      </c>
      <c r="AN176">
        <f ca="1">IF(T_EMPLOYEES[[#This Row],[EMPLOYEE NUMBER]]="","",MATCH(T_EMPLOYEES[[#This Row],[MANAGER]],L_EMPLABELS,0))</f>
        <v>120</v>
      </c>
      <c r="AO176">
        <f ca="1">IF(T_EMPLOYEES[[#This Row],[EMPLOYEE NUMBER]]="","",IF(T_EMPLOYEES[[#This Row],[ERROR]]="",0,1))</f>
        <v>0</v>
      </c>
      <c r="AP17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7" spans="1:42">
      <c r="A177" t="s">
        <v>361</v>
      </c>
      <c r="B177" t="s">
        <v>724</v>
      </c>
      <c r="C177">
        <v>1025177</v>
      </c>
      <c r="D177" t="s">
        <v>725</v>
      </c>
      <c r="E177" s="26">
        <v>33100</v>
      </c>
      <c r="F177" s="26">
        <v>44319</v>
      </c>
      <c r="H177" t="s">
        <v>40</v>
      </c>
      <c r="I177" t="s">
        <v>54</v>
      </c>
      <c r="J177" t="s">
        <v>64</v>
      </c>
      <c r="K177" t="s">
        <v>30</v>
      </c>
      <c r="L177" s="27" t="s">
        <v>45</v>
      </c>
      <c r="M177" t="s">
        <v>46</v>
      </c>
      <c r="N177" t="s">
        <v>125</v>
      </c>
      <c r="O177" t="s">
        <v>71</v>
      </c>
      <c r="P177" t="s">
        <v>125</v>
      </c>
      <c r="Q177" t="s">
        <v>726</v>
      </c>
      <c r="R177">
        <v>5</v>
      </c>
      <c r="S177" s="1">
        <v>250000</v>
      </c>
      <c r="T177" s="1">
        <f ca="1">ROUND(T_EMPLOYEES[[#This Row],[EMP_CTC1]]/12, 0)</f>
        <v>20833</v>
      </c>
      <c r="U177" s="1">
        <v>150000</v>
      </c>
      <c r="V177" s="1" t="s">
        <v>207</v>
      </c>
      <c r="W177" s="1" t="s">
        <v>207</v>
      </c>
      <c r="X17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  Swathi (1025177)</v>
      </c>
      <c r="Y177">
        <v>60000</v>
      </c>
      <c r="Z177" s="29">
        <f t="shared" ca="1" si="3"/>
        <v>40</v>
      </c>
      <c r="AA177">
        <f ca="1">IF(T_EMPLOYEES[[#This Row],[EMPLOYEE NUMBER]]="","",ROW(T_EMPLOYEES[[#This Row],[EMPLOYEE LABEL]])-ROW(T_EMPLOYEES[[#Headers],[EMPLOYEE LABEL]]))</f>
        <v>174</v>
      </c>
      <c r="AB177">
        <f ca="1">IF(T_EMPLOYEES[[#This Row],[EMPLOYEE NUMBER]]="","",IF(COUNTIF(T_EMPLOYEES[EMPLOYEE NUMBER],T_EMPLOYEES[[#This Row],[EMPLOYEE NUMBER]])&gt;1,1,0))</f>
        <v>0</v>
      </c>
      <c r="AC177">
        <f ca="1">IF(T_EMPLOYEES[[#This Row],[EMPLOYEE NUMBER]]="","",IF(AND(T_EMPLOYEES[[#This Row],[DATE OF BIRTH]]&gt;0,T_EMPLOYEES[[#This Row],[DATE OF BIRTH]]&lt;TODAY()),0,1))</f>
        <v>0</v>
      </c>
      <c r="AD177">
        <f ca="1">IF(T_EMPLOYEES[[#This Row],[EMPLOYEE NUMBER]]="","",IF(AND(T_EMPLOYEES[[#This Row],[START DATE]]&gt;0,T_EMPLOYEES[[#This Row],[START DATE]]&lt;TODAY()+60),0,1))</f>
        <v>0</v>
      </c>
      <c r="AE177">
        <f ca="1">IF(T_EMPLOYEES[[#This Row],[EMPLOYEE NUMBER]]="","",MATCH(T_EMPLOYEES[[#This Row],[GENDER]],L_GENDER,0))</f>
        <v>2</v>
      </c>
      <c r="AF177">
        <f ca="1">IF(T_EMPLOYEES[[#This Row],[EMPLOYEE NUMBER]]="","",MATCH(T_EMPLOYEES[[#This Row],[HIRE SOURCE]],L_HIRESOURCE,0))</f>
        <v>4</v>
      </c>
      <c r="AG177">
        <f ca="1">IF(T_EMPLOYEES[[#This Row],[EMPLOYEE NUMBER]]="","",MATCH(T_EMPLOYEES[[#This Row],[ETHNICITY]],L_ETHNICITY,0))</f>
        <v>3</v>
      </c>
      <c r="AH177">
        <f ca="1">IF(T_EMPLOYEES[[#This Row],[EMPLOYEE NUMBER]]="","",MATCH(T_EMPLOYEES[[#This Row],[LOCATION]],L_LOCATION,0))</f>
        <v>1</v>
      </c>
      <c r="AI177">
        <f ca="1">IF(T_EMPLOYEES[[#This Row],[EMPLOYEE NUMBER]]="","",MATCH(T_EMPLOYEES[[#This Row],[DEPARTMENT]],L_DEPARTMENT,0))</f>
        <v>2</v>
      </c>
      <c r="AJ177">
        <f ca="1">IF(T_EMPLOYEES[[#This Row],[EMPLOYEE NUMBER]]="","",MATCH(T_EMPLOYEES[[#This Row],[JOB TYPE]],L_JOBTYPE,0))</f>
        <v>2</v>
      </c>
      <c r="AK177">
        <f ca="1">IF(T_EMPLOYEES[[#This Row],[EMPLOYEE NUMBER]]="","",MATCH(T_EMPLOYEES[[#This Row],[JOB CATEGORY]],L_JOBCATEGORY,0))</f>
        <v>14</v>
      </c>
      <c r="AL177">
        <f ca="1">IF(T_EMPLOYEES[[#This Row],[EMPLOYEE NUMBER]]="","",MATCH(T_EMPLOYEES[[#This Row],[JOB LEVEL]],L_JOBLEVEL,0))</f>
        <v>4</v>
      </c>
      <c r="AM177">
        <f ca="1">IF(T_EMPLOYEES[[#This Row],[EMPLOYEE NUMBER]]="","",MATCH(T_EMPLOYEES[[#This Row],[JOB TITLE]],L_JOBTITLE,0))</f>
        <v>14</v>
      </c>
      <c r="AN177">
        <f ca="1">IF(T_EMPLOYEES[[#This Row],[EMPLOYEE NUMBER]]="","",MATCH(T_EMPLOYEES[[#This Row],[MANAGER]],L_EMPLABELS,0))</f>
        <v>59</v>
      </c>
      <c r="AO177">
        <f ca="1">IF(T_EMPLOYEES[[#This Row],[EMPLOYEE NUMBER]]="","",IF(T_EMPLOYEES[[#This Row],[ERROR]]="",0,1))</f>
        <v>0</v>
      </c>
      <c r="AP17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8" spans="1:42">
      <c r="A178" t="s">
        <v>727</v>
      </c>
      <c r="B178" t="s">
        <v>728</v>
      </c>
      <c r="C178">
        <v>1025043</v>
      </c>
      <c r="D178" t="s">
        <v>729</v>
      </c>
      <c r="E178" s="26">
        <v>31213</v>
      </c>
      <c r="F178" s="26">
        <v>44300</v>
      </c>
      <c r="H178" t="s">
        <v>27</v>
      </c>
      <c r="I178" t="s">
        <v>54</v>
      </c>
      <c r="J178" t="s">
        <v>64</v>
      </c>
      <c r="K178" t="s">
        <v>30</v>
      </c>
      <c r="L178" s="27" t="s">
        <v>114</v>
      </c>
      <c r="M178" t="s">
        <v>46</v>
      </c>
      <c r="N178" t="s">
        <v>81</v>
      </c>
      <c r="O178" t="s">
        <v>82</v>
      </c>
      <c r="P178" t="s">
        <v>81</v>
      </c>
      <c r="Q178" t="s">
        <v>468</v>
      </c>
      <c r="R178" s="27">
        <v>7</v>
      </c>
      <c r="S178" s="1">
        <v>250000</v>
      </c>
      <c r="T178" s="1">
        <f ca="1">ROUND(T_EMPLOYEES[[#This Row],[EMP_CTC1]]/12, 0)</f>
        <v>20833</v>
      </c>
      <c r="U178" s="1">
        <v>150000</v>
      </c>
      <c r="V178" s="1" t="s">
        <v>207</v>
      </c>
      <c r="W178" s="1" t="s">
        <v>207</v>
      </c>
      <c r="X17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Vempuluru  Chandrasekhar (1025043)</v>
      </c>
      <c r="Y178">
        <v>100000</v>
      </c>
      <c r="Z178" s="29">
        <f t="shared" ca="1" si="3"/>
        <v>40</v>
      </c>
      <c r="AA178">
        <f ca="1">IF(T_EMPLOYEES[[#This Row],[EMPLOYEE NUMBER]]="","",ROW(T_EMPLOYEES[[#This Row],[EMPLOYEE LABEL]])-ROW(T_EMPLOYEES[[#Headers],[EMPLOYEE LABEL]]))</f>
        <v>175</v>
      </c>
      <c r="AB178">
        <f ca="1">IF(T_EMPLOYEES[[#This Row],[EMPLOYEE NUMBER]]="","",IF(COUNTIF(T_EMPLOYEES[EMPLOYEE NUMBER],T_EMPLOYEES[[#This Row],[EMPLOYEE NUMBER]])&gt;1,1,0))</f>
        <v>0</v>
      </c>
      <c r="AC178">
        <f ca="1">IF(T_EMPLOYEES[[#This Row],[EMPLOYEE NUMBER]]="","",IF(AND(T_EMPLOYEES[[#This Row],[DATE OF BIRTH]]&gt;0,T_EMPLOYEES[[#This Row],[DATE OF BIRTH]]&lt;TODAY()),0,1))</f>
        <v>0</v>
      </c>
      <c r="AD178">
        <f ca="1">IF(T_EMPLOYEES[[#This Row],[EMPLOYEE NUMBER]]="","",IF(AND(T_EMPLOYEES[[#This Row],[START DATE]]&gt;0,T_EMPLOYEES[[#This Row],[START DATE]]&lt;TODAY()+60),0,1))</f>
        <v>0</v>
      </c>
      <c r="AE178">
        <f ca="1">IF(T_EMPLOYEES[[#This Row],[EMPLOYEE NUMBER]]="","",MATCH(T_EMPLOYEES[[#This Row],[GENDER]],L_GENDER,0))</f>
        <v>1</v>
      </c>
      <c r="AF178">
        <f ca="1">IF(T_EMPLOYEES[[#This Row],[EMPLOYEE NUMBER]]="","",MATCH(T_EMPLOYEES[[#This Row],[HIRE SOURCE]],L_HIRESOURCE,0))</f>
        <v>4</v>
      </c>
      <c r="AG178">
        <f ca="1">IF(T_EMPLOYEES[[#This Row],[EMPLOYEE NUMBER]]="","",MATCH(T_EMPLOYEES[[#This Row],[ETHNICITY]],L_ETHNICITY,0))</f>
        <v>3</v>
      </c>
      <c r="AH178">
        <f ca="1">IF(T_EMPLOYEES[[#This Row],[EMPLOYEE NUMBER]]="","",MATCH(T_EMPLOYEES[[#This Row],[LOCATION]],L_LOCATION,0))</f>
        <v>1</v>
      </c>
      <c r="AI178">
        <f ca="1">IF(T_EMPLOYEES[[#This Row],[EMPLOYEE NUMBER]]="","",MATCH(T_EMPLOYEES[[#This Row],[DEPARTMENT]],L_DEPARTMENT,0))</f>
        <v>11</v>
      </c>
      <c r="AJ178">
        <f ca="1">IF(T_EMPLOYEES[[#This Row],[EMPLOYEE NUMBER]]="","",MATCH(T_EMPLOYEES[[#This Row],[JOB TYPE]],L_JOBTYPE,0))</f>
        <v>2</v>
      </c>
      <c r="AK178">
        <f ca="1">IF(T_EMPLOYEES[[#This Row],[EMPLOYEE NUMBER]]="","",MATCH(T_EMPLOYEES[[#This Row],[JOB CATEGORY]],L_JOBCATEGORY,0))</f>
        <v>5</v>
      </c>
      <c r="AL178">
        <f ca="1">IF(T_EMPLOYEES[[#This Row],[EMPLOYEE NUMBER]]="","",MATCH(T_EMPLOYEES[[#This Row],[JOB LEVEL]],L_JOBLEVEL,0))</f>
        <v>5</v>
      </c>
      <c r="AM178">
        <f ca="1">IF(T_EMPLOYEES[[#This Row],[EMPLOYEE NUMBER]]="","",MATCH(T_EMPLOYEES[[#This Row],[JOB TITLE]],L_JOBTITLE,0))</f>
        <v>5</v>
      </c>
      <c r="AN178">
        <f ca="1">IF(T_EMPLOYEES[[#This Row],[EMPLOYEE NUMBER]]="","",MATCH(T_EMPLOYEES[[#This Row],[MANAGER]],L_EMPLABELS,0))</f>
        <v>56</v>
      </c>
      <c r="AO178">
        <f ca="1">IF(T_EMPLOYEES[[#This Row],[EMPLOYEE NUMBER]]="","",IF(T_EMPLOYEES[[#This Row],[ERROR]]="",0,1))</f>
        <v>0</v>
      </c>
      <c r="AP17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9" spans="1:42">
      <c r="A179" t="s">
        <v>730</v>
      </c>
      <c r="B179" t="s">
        <v>731</v>
      </c>
      <c r="C179">
        <v>1026054</v>
      </c>
      <c r="D179" t="s">
        <v>732</v>
      </c>
      <c r="E179" s="26">
        <v>33111</v>
      </c>
      <c r="F179" s="26">
        <v>44417</v>
      </c>
      <c r="H179" t="s">
        <v>27</v>
      </c>
      <c r="I179" t="s">
        <v>54</v>
      </c>
      <c r="J179" t="s">
        <v>64</v>
      </c>
      <c r="K179" t="s">
        <v>43</v>
      </c>
      <c r="L179" s="27" t="s">
        <v>45</v>
      </c>
      <c r="M179" t="s">
        <v>46</v>
      </c>
      <c r="N179" t="s">
        <v>128</v>
      </c>
      <c r="O179" t="s">
        <v>60</v>
      </c>
      <c r="P179" t="s">
        <v>128</v>
      </c>
      <c r="Q179" t="s">
        <v>284</v>
      </c>
      <c r="R179">
        <v>3</v>
      </c>
      <c r="S179" s="1">
        <v>250000</v>
      </c>
      <c r="T179" s="1">
        <f ca="1">ROUND(T_EMPLOYEES[[#This Row],[EMP_CTC1]]/12, 0)</f>
        <v>20833</v>
      </c>
      <c r="U179" s="1">
        <v>150000</v>
      </c>
      <c r="V179" s="1" t="s">
        <v>207</v>
      </c>
      <c r="W179" s="1" t="s">
        <v>207</v>
      </c>
      <c r="X17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Appalla Sasanka (1026054)</v>
      </c>
      <c r="Y179">
        <v>100000</v>
      </c>
      <c r="Z179" s="29">
        <f t="shared" ca="1" si="3"/>
        <v>40</v>
      </c>
      <c r="AA179">
        <f ca="1">IF(T_EMPLOYEES[[#This Row],[EMPLOYEE NUMBER]]="","",ROW(T_EMPLOYEES[[#This Row],[EMPLOYEE LABEL]])-ROW(T_EMPLOYEES[[#Headers],[EMPLOYEE LABEL]]))</f>
        <v>176</v>
      </c>
      <c r="AB179">
        <f ca="1">IF(T_EMPLOYEES[[#This Row],[EMPLOYEE NUMBER]]="","",IF(COUNTIF(T_EMPLOYEES[EMPLOYEE NUMBER],T_EMPLOYEES[[#This Row],[EMPLOYEE NUMBER]])&gt;1,1,0))</f>
        <v>0</v>
      </c>
      <c r="AC179">
        <f ca="1">IF(T_EMPLOYEES[[#This Row],[EMPLOYEE NUMBER]]="","",IF(AND(T_EMPLOYEES[[#This Row],[DATE OF BIRTH]]&gt;0,T_EMPLOYEES[[#This Row],[DATE OF BIRTH]]&lt;TODAY()),0,1))</f>
        <v>0</v>
      </c>
      <c r="AD179">
        <f ca="1">IF(T_EMPLOYEES[[#This Row],[EMPLOYEE NUMBER]]="","",IF(AND(T_EMPLOYEES[[#This Row],[START DATE]]&gt;0,T_EMPLOYEES[[#This Row],[START DATE]]&lt;TODAY()+60),0,1))</f>
        <v>0</v>
      </c>
      <c r="AE179">
        <f ca="1">IF(T_EMPLOYEES[[#This Row],[EMPLOYEE NUMBER]]="","",MATCH(T_EMPLOYEES[[#This Row],[GENDER]],L_GENDER,0))</f>
        <v>1</v>
      </c>
      <c r="AF179">
        <f ca="1">IF(T_EMPLOYEES[[#This Row],[EMPLOYEE NUMBER]]="","",MATCH(T_EMPLOYEES[[#This Row],[HIRE SOURCE]],L_HIRESOURCE,0))</f>
        <v>4</v>
      </c>
      <c r="AG179">
        <f ca="1">IF(T_EMPLOYEES[[#This Row],[EMPLOYEE NUMBER]]="","",MATCH(T_EMPLOYEES[[#This Row],[ETHNICITY]],L_ETHNICITY,0))</f>
        <v>3</v>
      </c>
      <c r="AH179">
        <f ca="1">IF(T_EMPLOYEES[[#This Row],[EMPLOYEE NUMBER]]="","",MATCH(T_EMPLOYEES[[#This Row],[LOCATION]],L_LOCATION,0))</f>
        <v>2</v>
      </c>
      <c r="AI179">
        <f ca="1">IF(T_EMPLOYEES[[#This Row],[EMPLOYEE NUMBER]]="","",MATCH(T_EMPLOYEES[[#This Row],[DEPARTMENT]],L_DEPARTMENT,0))</f>
        <v>2</v>
      </c>
      <c r="AJ179">
        <f ca="1">IF(T_EMPLOYEES[[#This Row],[EMPLOYEE NUMBER]]="","",MATCH(T_EMPLOYEES[[#This Row],[JOB TYPE]],L_JOBTYPE,0))</f>
        <v>2</v>
      </c>
      <c r="AK179">
        <f ca="1">IF(T_EMPLOYEES[[#This Row],[EMPLOYEE NUMBER]]="","",MATCH(T_EMPLOYEES[[#This Row],[JOB CATEGORY]],L_JOBCATEGORY,0))</f>
        <v>15</v>
      </c>
      <c r="AL179">
        <f ca="1">IF(T_EMPLOYEES[[#This Row],[EMPLOYEE NUMBER]]="","",MATCH(T_EMPLOYEES[[#This Row],[JOB LEVEL]],L_JOBLEVEL,0))</f>
        <v>3</v>
      </c>
      <c r="AM179">
        <f ca="1">IF(T_EMPLOYEES[[#This Row],[EMPLOYEE NUMBER]]="","",MATCH(T_EMPLOYEES[[#This Row],[JOB TITLE]],L_JOBTITLE,0))</f>
        <v>15</v>
      </c>
      <c r="AN179">
        <f ca="1">IF(T_EMPLOYEES[[#This Row],[EMPLOYEE NUMBER]]="","",MATCH(T_EMPLOYEES[[#This Row],[MANAGER]],L_EMPLABELS,0))</f>
        <v>96</v>
      </c>
      <c r="AO179">
        <f ca="1">IF(T_EMPLOYEES[[#This Row],[EMPLOYEE NUMBER]]="","",IF(T_EMPLOYEES[[#This Row],[ERROR]]="",0,1))</f>
        <v>0</v>
      </c>
      <c r="AP17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0" spans="1:42">
      <c r="A180" t="s">
        <v>733</v>
      </c>
      <c r="B180" t="s">
        <v>734</v>
      </c>
      <c r="C180">
        <v>1031873</v>
      </c>
      <c r="D180" t="s">
        <v>735</v>
      </c>
      <c r="E180" s="26">
        <v>33117</v>
      </c>
      <c r="F180" s="26">
        <v>44914</v>
      </c>
      <c r="H180" t="s">
        <v>27</v>
      </c>
      <c r="I180" t="s">
        <v>54</v>
      </c>
      <c r="J180" t="s">
        <v>64</v>
      </c>
      <c r="K180" t="s">
        <v>43</v>
      </c>
      <c r="L180" s="27" t="s">
        <v>45</v>
      </c>
      <c r="M180" t="s">
        <v>46</v>
      </c>
      <c r="N180" t="s">
        <v>153</v>
      </c>
      <c r="O180" t="s">
        <v>82</v>
      </c>
      <c r="P180" t="s">
        <v>153</v>
      </c>
      <c r="Q180" t="s">
        <v>448</v>
      </c>
      <c r="R180" s="27">
        <v>7</v>
      </c>
      <c r="S180" s="1">
        <v>250000</v>
      </c>
      <c r="T180" s="1">
        <f ca="1">ROUND(T_EMPLOYEES[[#This Row],[EMP_CTC1]]/12, 0)</f>
        <v>20833</v>
      </c>
      <c r="U180" s="1">
        <v>150000</v>
      </c>
      <c r="V180" s="1" t="s">
        <v>207</v>
      </c>
      <c r="W180" s="1" t="s">
        <v>207</v>
      </c>
      <c r="X18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Vikas Kokanay (1031873)</v>
      </c>
      <c r="Y180">
        <v>100000</v>
      </c>
      <c r="Z180" s="29">
        <f t="shared" ca="1" si="3"/>
        <v>40</v>
      </c>
      <c r="AA180">
        <f ca="1">IF(T_EMPLOYEES[[#This Row],[EMPLOYEE NUMBER]]="","",ROW(T_EMPLOYEES[[#This Row],[EMPLOYEE LABEL]])-ROW(T_EMPLOYEES[[#Headers],[EMPLOYEE LABEL]]))</f>
        <v>177</v>
      </c>
      <c r="AB180">
        <f ca="1">IF(T_EMPLOYEES[[#This Row],[EMPLOYEE NUMBER]]="","",IF(COUNTIF(T_EMPLOYEES[EMPLOYEE NUMBER],T_EMPLOYEES[[#This Row],[EMPLOYEE NUMBER]])&gt;1,1,0))</f>
        <v>0</v>
      </c>
      <c r="AC180">
        <f ca="1">IF(T_EMPLOYEES[[#This Row],[EMPLOYEE NUMBER]]="","",IF(AND(T_EMPLOYEES[[#This Row],[DATE OF BIRTH]]&gt;0,T_EMPLOYEES[[#This Row],[DATE OF BIRTH]]&lt;TODAY()),0,1))</f>
        <v>0</v>
      </c>
      <c r="AD180">
        <f ca="1">IF(T_EMPLOYEES[[#This Row],[EMPLOYEE NUMBER]]="","",IF(AND(T_EMPLOYEES[[#This Row],[START DATE]]&gt;0,T_EMPLOYEES[[#This Row],[START DATE]]&lt;TODAY()+60),0,1))</f>
        <v>0</v>
      </c>
      <c r="AE180">
        <f ca="1">IF(T_EMPLOYEES[[#This Row],[EMPLOYEE NUMBER]]="","",MATCH(T_EMPLOYEES[[#This Row],[GENDER]],L_GENDER,0))</f>
        <v>1</v>
      </c>
      <c r="AF180">
        <f ca="1">IF(T_EMPLOYEES[[#This Row],[EMPLOYEE NUMBER]]="","",MATCH(T_EMPLOYEES[[#This Row],[HIRE SOURCE]],L_HIRESOURCE,0))</f>
        <v>4</v>
      </c>
      <c r="AG180">
        <f ca="1">IF(T_EMPLOYEES[[#This Row],[EMPLOYEE NUMBER]]="","",MATCH(T_EMPLOYEES[[#This Row],[ETHNICITY]],L_ETHNICITY,0))</f>
        <v>3</v>
      </c>
      <c r="AH180">
        <f ca="1">IF(T_EMPLOYEES[[#This Row],[EMPLOYEE NUMBER]]="","",MATCH(T_EMPLOYEES[[#This Row],[LOCATION]],L_LOCATION,0))</f>
        <v>2</v>
      </c>
      <c r="AI180">
        <f ca="1">IF(T_EMPLOYEES[[#This Row],[EMPLOYEE NUMBER]]="","",MATCH(T_EMPLOYEES[[#This Row],[DEPARTMENT]],L_DEPARTMENT,0))</f>
        <v>2</v>
      </c>
      <c r="AJ180">
        <f ca="1">IF(T_EMPLOYEES[[#This Row],[EMPLOYEE NUMBER]]="","",MATCH(T_EMPLOYEES[[#This Row],[JOB TYPE]],L_JOBTYPE,0))</f>
        <v>2</v>
      </c>
      <c r="AK180">
        <f ca="1">IF(T_EMPLOYEES[[#This Row],[EMPLOYEE NUMBER]]="","",MATCH(T_EMPLOYEES[[#This Row],[JOB CATEGORY]],L_JOBCATEGORY,0))</f>
        <v>32</v>
      </c>
      <c r="AL180">
        <f ca="1">IF(T_EMPLOYEES[[#This Row],[EMPLOYEE NUMBER]]="","",MATCH(T_EMPLOYEES[[#This Row],[JOB LEVEL]],L_JOBLEVEL,0))</f>
        <v>5</v>
      </c>
      <c r="AM180">
        <f ca="1">IF(T_EMPLOYEES[[#This Row],[EMPLOYEE NUMBER]]="","",MATCH(T_EMPLOYEES[[#This Row],[JOB TITLE]],L_JOBTITLE,0))</f>
        <v>32</v>
      </c>
      <c r="AN180">
        <f ca="1">IF(T_EMPLOYEES[[#This Row],[EMPLOYEE NUMBER]]="","",MATCH(T_EMPLOYEES[[#This Row],[MANAGER]],L_EMPLABELS,0))</f>
        <v>83</v>
      </c>
      <c r="AO180">
        <f ca="1">IF(T_EMPLOYEES[[#This Row],[EMPLOYEE NUMBER]]="","",IF(T_EMPLOYEES[[#This Row],[ERROR]]="",0,1))</f>
        <v>0</v>
      </c>
      <c r="AP18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1" spans="1:42">
      <c r="A181" t="s">
        <v>736</v>
      </c>
      <c r="B181" t="s">
        <v>737</v>
      </c>
      <c r="C181">
        <v>1020016</v>
      </c>
      <c r="D181" t="s">
        <v>738</v>
      </c>
      <c r="E181" s="26">
        <v>33125</v>
      </c>
      <c r="F181" s="26">
        <v>43068</v>
      </c>
      <c r="H181" t="s">
        <v>27</v>
      </c>
      <c r="I181" t="s">
        <v>54</v>
      </c>
      <c r="J181" t="s">
        <v>64</v>
      </c>
      <c r="K181" t="s">
        <v>43</v>
      </c>
      <c r="L181" s="27" t="s">
        <v>45</v>
      </c>
      <c r="M181" t="s">
        <v>46</v>
      </c>
      <c r="N181" t="s">
        <v>89</v>
      </c>
      <c r="O181" t="s">
        <v>60</v>
      </c>
      <c r="P181" t="s">
        <v>89</v>
      </c>
      <c r="Q181" t="s">
        <v>315</v>
      </c>
      <c r="R181">
        <v>3</v>
      </c>
      <c r="S181" s="1">
        <v>250000</v>
      </c>
      <c r="T181" s="1">
        <f ca="1">ROUND(T_EMPLOYEES[[#This Row],[EMP_CTC1]]/12, 0)</f>
        <v>20833</v>
      </c>
      <c r="U181" s="1">
        <v>150000</v>
      </c>
      <c r="V181" s="1" t="s">
        <v>207</v>
      </c>
      <c r="W181" s="1" t="s">
        <v>207</v>
      </c>
      <c r="X18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SK Nasim (1020016)</v>
      </c>
      <c r="Y181">
        <v>100000</v>
      </c>
      <c r="Z181" s="29">
        <f t="shared" ca="1" si="3"/>
        <v>40</v>
      </c>
      <c r="AA181">
        <f ca="1">IF(T_EMPLOYEES[[#This Row],[EMPLOYEE NUMBER]]="","",ROW(T_EMPLOYEES[[#This Row],[EMPLOYEE LABEL]])-ROW(T_EMPLOYEES[[#Headers],[EMPLOYEE LABEL]]))</f>
        <v>178</v>
      </c>
      <c r="AB181">
        <f ca="1">IF(T_EMPLOYEES[[#This Row],[EMPLOYEE NUMBER]]="","",IF(COUNTIF(T_EMPLOYEES[EMPLOYEE NUMBER],T_EMPLOYEES[[#This Row],[EMPLOYEE NUMBER]])&gt;1,1,0))</f>
        <v>0</v>
      </c>
      <c r="AC181">
        <f ca="1">IF(T_EMPLOYEES[[#This Row],[EMPLOYEE NUMBER]]="","",IF(AND(T_EMPLOYEES[[#This Row],[DATE OF BIRTH]]&gt;0,T_EMPLOYEES[[#This Row],[DATE OF BIRTH]]&lt;TODAY()),0,1))</f>
        <v>0</v>
      </c>
      <c r="AD181">
        <f ca="1">IF(T_EMPLOYEES[[#This Row],[EMPLOYEE NUMBER]]="","",IF(AND(T_EMPLOYEES[[#This Row],[START DATE]]&gt;0,T_EMPLOYEES[[#This Row],[START DATE]]&lt;TODAY()+60),0,1))</f>
        <v>0</v>
      </c>
      <c r="AE181">
        <f ca="1">IF(T_EMPLOYEES[[#This Row],[EMPLOYEE NUMBER]]="","",MATCH(T_EMPLOYEES[[#This Row],[GENDER]],L_GENDER,0))</f>
        <v>1</v>
      </c>
      <c r="AF181">
        <f ca="1">IF(T_EMPLOYEES[[#This Row],[EMPLOYEE NUMBER]]="","",MATCH(T_EMPLOYEES[[#This Row],[HIRE SOURCE]],L_HIRESOURCE,0))</f>
        <v>4</v>
      </c>
      <c r="AG181">
        <f ca="1">IF(T_EMPLOYEES[[#This Row],[EMPLOYEE NUMBER]]="","",MATCH(T_EMPLOYEES[[#This Row],[ETHNICITY]],L_ETHNICITY,0))</f>
        <v>3</v>
      </c>
      <c r="AH181">
        <f ca="1">IF(T_EMPLOYEES[[#This Row],[EMPLOYEE NUMBER]]="","",MATCH(T_EMPLOYEES[[#This Row],[LOCATION]],L_LOCATION,0))</f>
        <v>2</v>
      </c>
      <c r="AI181">
        <f ca="1">IF(T_EMPLOYEES[[#This Row],[EMPLOYEE NUMBER]]="","",MATCH(T_EMPLOYEES[[#This Row],[DEPARTMENT]],L_DEPARTMENT,0))</f>
        <v>2</v>
      </c>
      <c r="AJ181">
        <f ca="1">IF(T_EMPLOYEES[[#This Row],[EMPLOYEE NUMBER]]="","",MATCH(T_EMPLOYEES[[#This Row],[JOB TYPE]],L_JOBTYPE,0))</f>
        <v>2</v>
      </c>
      <c r="AK181">
        <f ca="1">IF(T_EMPLOYEES[[#This Row],[EMPLOYEE NUMBER]]="","",MATCH(T_EMPLOYEES[[#This Row],[JOB CATEGORY]],L_JOBCATEGORY,0))</f>
        <v>6</v>
      </c>
      <c r="AL181">
        <f ca="1">IF(T_EMPLOYEES[[#This Row],[EMPLOYEE NUMBER]]="","",MATCH(T_EMPLOYEES[[#This Row],[JOB LEVEL]],L_JOBLEVEL,0))</f>
        <v>3</v>
      </c>
      <c r="AM181">
        <f ca="1">IF(T_EMPLOYEES[[#This Row],[EMPLOYEE NUMBER]]="","",MATCH(T_EMPLOYEES[[#This Row],[JOB TITLE]],L_JOBTITLE,0))</f>
        <v>6</v>
      </c>
      <c r="AN181">
        <f ca="1">IF(T_EMPLOYEES[[#This Row],[EMPLOYEE NUMBER]]="","",MATCH(T_EMPLOYEES[[#This Row],[MANAGER]],L_EMPLABELS,0))</f>
        <v>179</v>
      </c>
      <c r="AO181">
        <f ca="1">IF(T_EMPLOYEES[[#This Row],[EMPLOYEE NUMBER]]="","",IF(T_EMPLOYEES[[#This Row],[ERROR]]="",0,1))</f>
        <v>0</v>
      </c>
      <c r="AP18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2" spans="1:42">
      <c r="A182" t="s">
        <v>739</v>
      </c>
      <c r="B182" t="s">
        <v>594</v>
      </c>
      <c r="C182">
        <v>1031870</v>
      </c>
      <c r="D182" t="s">
        <v>740</v>
      </c>
      <c r="E182" s="26">
        <v>33138</v>
      </c>
      <c r="F182" s="26">
        <v>44914</v>
      </c>
      <c r="H182" t="s">
        <v>40</v>
      </c>
      <c r="I182" t="s">
        <v>54</v>
      </c>
      <c r="J182" t="s">
        <v>64</v>
      </c>
      <c r="K182" t="s">
        <v>30</v>
      </c>
      <c r="L182" s="27" t="s">
        <v>45</v>
      </c>
      <c r="M182" t="s">
        <v>46</v>
      </c>
      <c r="N182" t="s">
        <v>47</v>
      </c>
      <c r="O182" t="s">
        <v>90</v>
      </c>
      <c r="P182" t="s">
        <v>47</v>
      </c>
      <c r="Q182" t="s">
        <v>377</v>
      </c>
      <c r="R182" s="27">
        <v>7</v>
      </c>
      <c r="S182" s="1">
        <v>250000</v>
      </c>
      <c r="T182" s="1">
        <f ca="1">ROUND(T_EMPLOYEES[[#This Row],[EMP_CTC1]]/12, 0)</f>
        <v>20833</v>
      </c>
      <c r="U182" s="1">
        <v>150000</v>
      </c>
      <c r="V182" s="1" t="s">
        <v>207</v>
      </c>
      <c r="W182" s="1" t="s">
        <v>207</v>
      </c>
      <c r="X18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Richa Sharma (1031870)</v>
      </c>
      <c r="Y182">
        <v>100000</v>
      </c>
      <c r="Z182" s="29">
        <f t="shared" ca="1" si="3"/>
        <v>40</v>
      </c>
      <c r="AA182">
        <f ca="1">IF(T_EMPLOYEES[[#This Row],[EMPLOYEE NUMBER]]="","",ROW(T_EMPLOYEES[[#This Row],[EMPLOYEE LABEL]])-ROW(T_EMPLOYEES[[#Headers],[EMPLOYEE LABEL]]))</f>
        <v>179</v>
      </c>
      <c r="AB182">
        <f ca="1">IF(T_EMPLOYEES[[#This Row],[EMPLOYEE NUMBER]]="","",IF(COUNTIF(T_EMPLOYEES[EMPLOYEE NUMBER],T_EMPLOYEES[[#This Row],[EMPLOYEE NUMBER]])&gt;1,1,0))</f>
        <v>0</v>
      </c>
      <c r="AC182">
        <f ca="1">IF(T_EMPLOYEES[[#This Row],[EMPLOYEE NUMBER]]="","",IF(AND(T_EMPLOYEES[[#This Row],[DATE OF BIRTH]]&gt;0,T_EMPLOYEES[[#This Row],[DATE OF BIRTH]]&lt;TODAY()),0,1))</f>
        <v>0</v>
      </c>
      <c r="AD182">
        <f ca="1">IF(T_EMPLOYEES[[#This Row],[EMPLOYEE NUMBER]]="","",IF(AND(T_EMPLOYEES[[#This Row],[START DATE]]&gt;0,T_EMPLOYEES[[#This Row],[START DATE]]&lt;TODAY()+60),0,1))</f>
        <v>0</v>
      </c>
      <c r="AE182">
        <f ca="1">IF(T_EMPLOYEES[[#This Row],[EMPLOYEE NUMBER]]="","",MATCH(T_EMPLOYEES[[#This Row],[GENDER]],L_GENDER,0))</f>
        <v>2</v>
      </c>
      <c r="AF182">
        <f ca="1">IF(T_EMPLOYEES[[#This Row],[EMPLOYEE NUMBER]]="","",MATCH(T_EMPLOYEES[[#This Row],[HIRE SOURCE]],L_HIRESOURCE,0))</f>
        <v>4</v>
      </c>
      <c r="AG182">
        <f ca="1">IF(T_EMPLOYEES[[#This Row],[EMPLOYEE NUMBER]]="","",MATCH(T_EMPLOYEES[[#This Row],[ETHNICITY]],L_ETHNICITY,0))</f>
        <v>3</v>
      </c>
      <c r="AH182">
        <f ca="1">IF(T_EMPLOYEES[[#This Row],[EMPLOYEE NUMBER]]="","",MATCH(T_EMPLOYEES[[#This Row],[LOCATION]],L_LOCATION,0))</f>
        <v>1</v>
      </c>
      <c r="AI182">
        <f ca="1">IF(T_EMPLOYEES[[#This Row],[EMPLOYEE NUMBER]]="","",MATCH(T_EMPLOYEES[[#This Row],[DEPARTMENT]],L_DEPARTMENT,0))</f>
        <v>2</v>
      </c>
      <c r="AJ182">
        <f ca="1">IF(T_EMPLOYEES[[#This Row],[EMPLOYEE NUMBER]]="","",MATCH(T_EMPLOYEES[[#This Row],[JOB TYPE]],L_JOBTYPE,0))</f>
        <v>2</v>
      </c>
      <c r="AK182">
        <f ca="1">IF(T_EMPLOYEES[[#This Row],[EMPLOYEE NUMBER]]="","",MATCH(T_EMPLOYEES[[#This Row],[JOB CATEGORY]],L_JOBCATEGORY,0))</f>
        <v>2</v>
      </c>
      <c r="AL182">
        <f ca="1">IF(T_EMPLOYEES[[#This Row],[EMPLOYEE NUMBER]]="","",MATCH(T_EMPLOYEES[[#This Row],[JOB LEVEL]],L_JOBLEVEL,0))</f>
        <v>6</v>
      </c>
      <c r="AM182">
        <f ca="1">IF(T_EMPLOYEES[[#This Row],[EMPLOYEE NUMBER]]="","",MATCH(T_EMPLOYEES[[#This Row],[JOB TITLE]],L_JOBTITLE,0))</f>
        <v>2</v>
      </c>
      <c r="AN182">
        <f ca="1">IF(T_EMPLOYEES[[#This Row],[EMPLOYEE NUMBER]]="","",MATCH(T_EMPLOYEES[[#This Row],[MANAGER]],L_EMPLABELS,0))</f>
        <v>64</v>
      </c>
      <c r="AO182">
        <f ca="1">IF(T_EMPLOYEES[[#This Row],[EMPLOYEE NUMBER]]="","",IF(T_EMPLOYEES[[#This Row],[ERROR]]="",0,1))</f>
        <v>0</v>
      </c>
      <c r="AP18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3" spans="1:42">
      <c r="A183" t="s">
        <v>741</v>
      </c>
      <c r="B183" t="s">
        <v>742</v>
      </c>
      <c r="C183">
        <v>1029944</v>
      </c>
      <c r="D183" t="s">
        <v>743</v>
      </c>
      <c r="E183" s="26">
        <v>33144</v>
      </c>
      <c r="F183" s="26">
        <v>44795</v>
      </c>
      <c r="H183" t="s">
        <v>27</v>
      </c>
      <c r="I183" t="s">
        <v>54</v>
      </c>
      <c r="J183" t="s">
        <v>64</v>
      </c>
      <c r="K183" t="s">
        <v>30</v>
      </c>
      <c r="L183" s="27" t="s">
        <v>114</v>
      </c>
      <c r="M183" t="s">
        <v>46</v>
      </c>
      <c r="N183" t="s">
        <v>128</v>
      </c>
      <c r="O183" t="s">
        <v>60</v>
      </c>
      <c r="P183" t="s">
        <v>128</v>
      </c>
      <c r="Q183" t="s">
        <v>206</v>
      </c>
      <c r="R183">
        <v>3</v>
      </c>
      <c r="S183" s="1">
        <v>250000</v>
      </c>
      <c r="T183" s="1">
        <f ca="1">ROUND(T_EMPLOYEES[[#This Row],[EMP_CTC1]]/12, 0)</f>
        <v>20833</v>
      </c>
      <c r="U183" s="1">
        <v>150000</v>
      </c>
      <c r="V183" s="1" t="s">
        <v>207</v>
      </c>
      <c r="W183" s="1" t="s">
        <v>207</v>
      </c>
      <c r="X18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Vattam Saikrishna  (1029944)</v>
      </c>
      <c r="Y183">
        <v>100000</v>
      </c>
      <c r="Z183" s="29">
        <f t="shared" ca="1" si="3"/>
        <v>40</v>
      </c>
      <c r="AA183">
        <f ca="1">IF(T_EMPLOYEES[[#This Row],[EMPLOYEE NUMBER]]="","",ROW(T_EMPLOYEES[[#This Row],[EMPLOYEE LABEL]])-ROW(T_EMPLOYEES[[#Headers],[EMPLOYEE LABEL]]))</f>
        <v>180</v>
      </c>
      <c r="AB183">
        <f ca="1">IF(T_EMPLOYEES[[#This Row],[EMPLOYEE NUMBER]]="","",IF(COUNTIF(T_EMPLOYEES[EMPLOYEE NUMBER],T_EMPLOYEES[[#This Row],[EMPLOYEE NUMBER]])&gt;1,1,0))</f>
        <v>0</v>
      </c>
      <c r="AC183">
        <f ca="1">IF(T_EMPLOYEES[[#This Row],[EMPLOYEE NUMBER]]="","",IF(AND(T_EMPLOYEES[[#This Row],[DATE OF BIRTH]]&gt;0,T_EMPLOYEES[[#This Row],[DATE OF BIRTH]]&lt;TODAY()),0,1))</f>
        <v>0</v>
      </c>
      <c r="AD183">
        <f ca="1">IF(T_EMPLOYEES[[#This Row],[EMPLOYEE NUMBER]]="","",IF(AND(T_EMPLOYEES[[#This Row],[START DATE]]&gt;0,T_EMPLOYEES[[#This Row],[START DATE]]&lt;TODAY()+60),0,1))</f>
        <v>0</v>
      </c>
      <c r="AE183">
        <f ca="1">IF(T_EMPLOYEES[[#This Row],[EMPLOYEE NUMBER]]="","",MATCH(T_EMPLOYEES[[#This Row],[GENDER]],L_GENDER,0))</f>
        <v>1</v>
      </c>
      <c r="AF183">
        <f ca="1">IF(T_EMPLOYEES[[#This Row],[EMPLOYEE NUMBER]]="","",MATCH(T_EMPLOYEES[[#This Row],[HIRE SOURCE]],L_HIRESOURCE,0))</f>
        <v>4</v>
      </c>
      <c r="AG183">
        <f ca="1">IF(T_EMPLOYEES[[#This Row],[EMPLOYEE NUMBER]]="","",MATCH(T_EMPLOYEES[[#This Row],[ETHNICITY]],L_ETHNICITY,0))</f>
        <v>3</v>
      </c>
      <c r="AH183">
        <f ca="1">IF(T_EMPLOYEES[[#This Row],[EMPLOYEE NUMBER]]="","",MATCH(T_EMPLOYEES[[#This Row],[LOCATION]],L_LOCATION,0))</f>
        <v>1</v>
      </c>
      <c r="AI183">
        <f ca="1">IF(T_EMPLOYEES[[#This Row],[EMPLOYEE NUMBER]]="","",MATCH(T_EMPLOYEES[[#This Row],[DEPARTMENT]],L_DEPARTMENT,0))</f>
        <v>11</v>
      </c>
      <c r="AJ183">
        <f ca="1">IF(T_EMPLOYEES[[#This Row],[EMPLOYEE NUMBER]]="","",MATCH(T_EMPLOYEES[[#This Row],[JOB TYPE]],L_JOBTYPE,0))</f>
        <v>2</v>
      </c>
      <c r="AK183">
        <f ca="1">IF(T_EMPLOYEES[[#This Row],[EMPLOYEE NUMBER]]="","",MATCH(T_EMPLOYEES[[#This Row],[JOB CATEGORY]],L_JOBCATEGORY,0))</f>
        <v>15</v>
      </c>
      <c r="AL183">
        <f ca="1">IF(T_EMPLOYEES[[#This Row],[EMPLOYEE NUMBER]]="","",MATCH(T_EMPLOYEES[[#This Row],[JOB LEVEL]],L_JOBLEVEL,0))</f>
        <v>3</v>
      </c>
      <c r="AM183">
        <f ca="1">IF(T_EMPLOYEES[[#This Row],[EMPLOYEE NUMBER]]="","",MATCH(T_EMPLOYEES[[#This Row],[JOB TITLE]],L_JOBTITLE,0))</f>
        <v>15</v>
      </c>
      <c r="AN183">
        <f ca="1">IF(T_EMPLOYEES[[#This Row],[EMPLOYEE NUMBER]]="","",MATCH(T_EMPLOYEES[[#This Row],[MANAGER]],L_EMPLABELS,0))</f>
        <v>6</v>
      </c>
      <c r="AO183">
        <f ca="1">IF(T_EMPLOYEES[[#This Row],[EMPLOYEE NUMBER]]="","",IF(T_EMPLOYEES[[#This Row],[ERROR]]="",0,1))</f>
        <v>0</v>
      </c>
      <c r="AP18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4" spans="1:42">
      <c r="A184" t="s">
        <v>744</v>
      </c>
      <c r="B184" t="s">
        <v>594</v>
      </c>
      <c r="C184">
        <v>1031869</v>
      </c>
      <c r="D184" t="s">
        <v>745</v>
      </c>
      <c r="E184" s="26">
        <v>33150</v>
      </c>
      <c r="F184" s="26">
        <v>44914</v>
      </c>
      <c r="H184" t="s">
        <v>40</v>
      </c>
      <c r="I184" t="s">
        <v>54</v>
      </c>
      <c r="J184" t="s">
        <v>64</v>
      </c>
      <c r="K184" t="s">
        <v>30</v>
      </c>
      <c r="L184" s="27" t="s">
        <v>45</v>
      </c>
      <c r="M184" t="s">
        <v>46</v>
      </c>
      <c r="N184" t="s">
        <v>111</v>
      </c>
      <c r="O184" t="s">
        <v>71</v>
      </c>
      <c r="P184" t="s">
        <v>111</v>
      </c>
      <c r="Q184" t="s">
        <v>377</v>
      </c>
      <c r="R184" s="27">
        <v>5</v>
      </c>
      <c r="S184" s="1">
        <v>250000</v>
      </c>
      <c r="T184" s="1">
        <f ca="1">ROUND(T_EMPLOYEES[[#This Row],[EMP_CTC1]]/12, 0)</f>
        <v>20833</v>
      </c>
      <c r="U184" s="1">
        <v>150000</v>
      </c>
      <c r="V184" s="1" t="s">
        <v>207</v>
      </c>
      <c r="W184" s="1" t="s">
        <v>207</v>
      </c>
      <c r="X18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Swati Sharma (1031869)</v>
      </c>
      <c r="Y184">
        <v>100000</v>
      </c>
      <c r="Z184" s="29">
        <f t="shared" ca="1" si="3"/>
        <v>40</v>
      </c>
      <c r="AA184">
        <f ca="1">IF(T_EMPLOYEES[[#This Row],[EMPLOYEE NUMBER]]="","",ROW(T_EMPLOYEES[[#This Row],[EMPLOYEE LABEL]])-ROW(T_EMPLOYEES[[#Headers],[EMPLOYEE LABEL]]))</f>
        <v>181</v>
      </c>
      <c r="AB184">
        <f ca="1">IF(T_EMPLOYEES[[#This Row],[EMPLOYEE NUMBER]]="","",IF(COUNTIF(T_EMPLOYEES[EMPLOYEE NUMBER],T_EMPLOYEES[[#This Row],[EMPLOYEE NUMBER]])&gt;1,1,0))</f>
        <v>0</v>
      </c>
      <c r="AC184">
        <f ca="1">IF(T_EMPLOYEES[[#This Row],[EMPLOYEE NUMBER]]="","",IF(AND(T_EMPLOYEES[[#This Row],[DATE OF BIRTH]]&gt;0,T_EMPLOYEES[[#This Row],[DATE OF BIRTH]]&lt;TODAY()),0,1))</f>
        <v>0</v>
      </c>
      <c r="AD184">
        <f ca="1">IF(T_EMPLOYEES[[#This Row],[EMPLOYEE NUMBER]]="","",IF(AND(T_EMPLOYEES[[#This Row],[START DATE]]&gt;0,T_EMPLOYEES[[#This Row],[START DATE]]&lt;TODAY()+60),0,1))</f>
        <v>0</v>
      </c>
      <c r="AE184">
        <f ca="1">IF(T_EMPLOYEES[[#This Row],[EMPLOYEE NUMBER]]="","",MATCH(T_EMPLOYEES[[#This Row],[GENDER]],L_GENDER,0))</f>
        <v>2</v>
      </c>
      <c r="AF184">
        <f ca="1">IF(T_EMPLOYEES[[#This Row],[EMPLOYEE NUMBER]]="","",MATCH(T_EMPLOYEES[[#This Row],[HIRE SOURCE]],L_HIRESOURCE,0))</f>
        <v>4</v>
      </c>
      <c r="AG184">
        <f ca="1">IF(T_EMPLOYEES[[#This Row],[EMPLOYEE NUMBER]]="","",MATCH(T_EMPLOYEES[[#This Row],[ETHNICITY]],L_ETHNICITY,0))</f>
        <v>3</v>
      </c>
      <c r="AH184">
        <f ca="1">IF(T_EMPLOYEES[[#This Row],[EMPLOYEE NUMBER]]="","",MATCH(T_EMPLOYEES[[#This Row],[LOCATION]],L_LOCATION,0))</f>
        <v>1</v>
      </c>
      <c r="AI184">
        <f ca="1">IF(T_EMPLOYEES[[#This Row],[EMPLOYEE NUMBER]]="","",MATCH(T_EMPLOYEES[[#This Row],[DEPARTMENT]],L_DEPARTMENT,0))</f>
        <v>2</v>
      </c>
      <c r="AJ184">
        <f ca="1">IF(T_EMPLOYEES[[#This Row],[EMPLOYEE NUMBER]]="","",MATCH(T_EMPLOYEES[[#This Row],[JOB TYPE]],L_JOBTYPE,0))</f>
        <v>2</v>
      </c>
      <c r="AK184">
        <f ca="1">IF(T_EMPLOYEES[[#This Row],[EMPLOYEE NUMBER]]="","",MATCH(T_EMPLOYEES[[#This Row],[JOB CATEGORY]],L_JOBCATEGORY,0))</f>
        <v>10</v>
      </c>
      <c r="AL184">
        <f ca="1">IF(T_EMPLOYEES[[#This Row],[EMPLOYEE NUMBER]]="","",MATCH(T_EMPLOYEES[[#This Row],[JOB LEVEL]],L_JOBLEVEL,0))</f>
        <v>4</v>
      </c>
      <c r="AM184">
        <f ca="1">IF(T_EMPLOYEES[[#This Row],[EMPLOYEE NUMBER]]="","",MATCH(T_EMPLOYEES[[#This Row],[JOB TITLE]],L_JOBTITLE,0))</f>
        <v>10</v>
      </c>
      <c r="AN184">
        <f ca="1">IF(T_EMPLOYEES[[#This Row],[EMPLOYEE NUMBER]]="","",MATCH(T_EMPLOYEES[[#This Row],[MANAGER]],L_EMPLABELS,0))</f>
        <v>64</v>
      </c>
      <c r="AO184">
        <f ca="1">IF(T_EMPLOYEES[[#This Row],[EMPLOYEE NUMBER]]="","",IF(T_EMPLOYEES[[#This Row],[ERROR]]="",0,1))</f>
        <v>0</v>
      </c>
      <c r="AP18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5" spans="1:42">
      <c r="A185" t="s">
        <v>226</v>
      </c>
      <c r="B185" t="s">
        <v>746</v>
      </c>
      <c r="C185">
        <v>1029329</v>
      </c>
      <c r="D185" t="s">
        <v>747</v>
      </c>
      <c r="E185" s="26">
        <v>33165</v>
      </c>
      <c r="F185" s="26">
        <v>44732</v>
      </c>
      <c r="H185" t="s">
        <v>27</v>
      </c>
      <c r="I185" t="s">
        <v>54</v>
      </c>
      <c r="J185" t="s">
        <v>64</v>
      </c>
      <c r="K185" t="s">
        <v>30</v>
      </c>
      <c r="L185" s="27" t="s">
        <v>45</v>
      </c>
      <c r="M185" t="s">
        <v>46</v>
      </c>
      <c r="N185" t="s">
        <v>128</v>
      </c>
      <c r="O185" t="s">
        <v>60</v>
      </c>
      <c r="P185" t="s">
        <v>128</v>
      </c>
      <c r="Q185" t="s">
        <v>418</v>
      </c>
      <c r="R185">
        <v>3</v>
      </c>
      <c r="S185" s="1">
        <v>250000</v>
      </c>
      <c r="T185" s="1">
        <f ca="1">ROUND(T_EMPLOYEES[[#This Row],[EMP_CTC1]]/12, 0)</f>
        <v>20833</v>
      </c>
      <c r="U185" s="1">
        <v>150000</v>
      </c>
      <c r="V185" s="1" t="s">
        <v>207</v>
      </c>
      <c r="W185" s="1" t="s">
        <v>207</v>
      </c>
      <c r="X18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 Rengaraj (1029329)</v>
      </c>
      <c r="Y185">
        <v>100000</v>
      </c>
      <c r="Z185" s="29">
        <f t="shared" ca="1" si="3"/>
        <v>40</v>
      </c>
      <c r="AA185">
        <f ca="1">IF(T_EMPLOYEES[[#This Row],[EMPLOYEE NUMBER]]="","",ROW(T_EMPLOYEES[[#This Row],[EMPLOYEE LABEL]])-ROW(T_EMPLOYEES[[#Headers],[EMPLOYEE LABEL]]))</f>
        <v>182</v>
      </c>
      <c r="AB185">
        <f ca="1">IF(T_EMPLOYEES[[#This Row],[EMPLOYEE NUMBER]]="","",IF(COUNTIF(T_EMPLOYEES[EMPLOYEE NUMBER],T_EMPLOYEES[[#This Row],[EMPLOYEE NUMBER]])&gt;1,1,0))</f>
        <v>0</v>
      </c>
      <c r="AC185">
        <f ca="1">IF(T_EMPLOYEES[[#This Row],[EMPLOYEE NUMBER]]="","",IF(AND(T_EMPLOYEES[[#This Row],[DATE OF BIRTH]]&gt;0,T_EMPLOYEES[[#This Row],[DATE OF BIRTH]]&lt;TODAY()),0,1))</f>
        <v>0</v>
      </c>
      <c r="AD185">
        <f ca="1">IF(T_EMPLOYEES[[#This Row],[EMPLOYEE NUMBER]]="","",IF(AND(T_EMPLOYEES[[#This Row],[START DATE]]&gt;0,T_EMPLOYEES[[#This Row],[START DATE]]&lt;TODAY()+60),0,1))</f>
        <v>0</v>
      </c>
      <c r="AE185">
        <f ca="1">IF(T_EMPLOYEES[[#This Row],[EMPLOYEE NUMBER]]="","",MATCH(T_EMPLOYEES[[#This Row],[GENDER]],L_GENDER,0))</f>
        <v>1</v>
      </c>
      <c r="AF185">
        <f ca="1">IF(T_EMPLOYEES[[#This Row],[EMPLOYEE NUMBER]]="","",MATCH(T_EMPLOYEES[[#This Row],[HIRE SOURCE]],L_HIRESOURCE,0))</f>
        <v>4</v>
      </c>
      <c r="AG185">
        <f ca="1">IF(T_EMPLOYEES[[#This Row],[EMPLOYEE NUMBER]]="","",MATCH(T_EMPLOYEES[[#This Row],[ETHNICITY]],L_ETHNICITY,0))</f>
        <v>3</v>
      </c>
      <c r="AH185">
        <f ca="1">IF(T_EMPLOYEES[[#This Row],[EMPLOYEE NUMBER]]="","",MATCH(T_EMPLOYEES[[#This Row],[LOCATION]],L_LOCATION,0))</f>
        <v>1</v>
      </c>
      <c r="AI185">
        <f ca="1">IF(T_EMPLOYEES[[#This Row],[EMPLOYEE NUMBER]]="","",MATCH(T_EMPLOYEES[[#This Row],[DEPARTMENT]],L_DEPARTMENT,0))</f>
        <v>2</v>
      </c>
      <c r="AJ185">
        <f ca="1">IF(T_EMPLOYEES[[#This Row],[EMPLOYEE NUMBER]]="","",MATCH(T_EMPLOYEES[[#This Row],[JOB TYPE]],L_JOBTYPE,0))</f>
        <v>2</v>
      </c>
      <c r="AK185">
        <f ca="1">IF(T_EMPLOYEES[[#This Row],[EMPLOYEE NUMBER]]="","",MATCH(T_EMPLOYEES[[#This Row],[JOB CATEGORY]],L_JOBCATEGORY,0))</f>
        <v>15</v>
      </c>
      <c r="AL185">
        <f ca="1">IF(T_EMPLOYEES[[#This Row],[EMPLOYEE NUMBER]]="","",MATCH(T_EMPLOYEES[[#This Row],[JOB LEVEL]],L_JOBLEVEL,0))</f>
        <v>3</v>
      </c>
      <c r="AM185">
        <f ca="1">IF(T_EMPLOYEES[[#This Row],[EMPLOYEE NUMBER]]="","",MATCH(T_EMPLOYEES[[#This Row],[JOB TITLE]],L_JOBTITLE,0))</f>
        <v>15</v>
      </c>
      <c r="AN185">
        <f ca="1">IF(T_EMPLOYEES[[#This Row],[EMPLOYEE NUMBER]]="","",MATCH(T_EMPLOYEES[[#This Row],[MANAGER]],L_EMPLABELS,0))</f>
        <v>120</v>
      </c>
      <c r="AO185">
        <f ca="1">IF(T_EMPLOYEES[[#This Row],[EMPLOYEE NUMBER]]="","",IF(T_EMPLOYEES[[#This Row],[ERROR]]="",0,1))</f>
        <v>0</v>
      </c>
      <c r="AP18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6" spans="1:42">
      <c r="A186" t="s">
        <v>748</v>
      </c>
      <c r="B186" t="s">
        <v>749</v>
      </c>
      <c r="C186">
        <v>1027289</v>
      </c>
      <c r="D186" t="s">
        <v>750</v>
      </c>
      <c r="E186" s="26">
        <v>33181</v>
      </c>
      <c r="F186" s="26">
        <v>44522</v>
      </c>
      <c r="H186" t="s">
        <v>27</v>
      </c>
      <c r="I186" t="s">
        <v>54</v>
      </c>
      <c r="J186" t="s">
        <v>64</v>
      </c>
      <c r="K186" t="s">
        <v>30</v>
      </c>
      <c r="L186" s="27" t="s">
        <v>110</v>
      </c>
      <c r="M186" t="s">
        <v>46</v>
      </c>
      <c r="N186" t="s">
        <v>89</v>
      </c>
      <c r="O186" t="s">
        <v>60</v>
      </c>
      <c r="P186" t="s">
        <v>89</v>
      </c>
      <c r="Q186" t="s">
        <v>344</v>
      </c>
      <c r="R186" s="27">
        <v>3</v>
      </c>
      <c r="S186" s="1">
        <v>250000</v>
      </c>
      <c r="T186" s="1">
        <f ca="1">ROUND(T_EMPLOYEES[[#This Row],[EMP_CTC1]]/12, 0)</f>
        <v>20833</v>
      </c>
      <c r="U186" s="1">
        <v>150000</v>
      </c>
      <c r="V186" s="1" t="s">
        <v>207</v>
      </c>
      <c r="W186" s="1" t="s">
        <v>207</v>
      </c>
      <c r="X18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Chilakala  Srikanth Reddy (1027289)</v>
      </c>
      <c r="Y186">
        <v>100000</v>
      </c>
      <c r="Z186" s="29">
        <f t="shared" ca="1" si="3"/>
        <v>40</v>
      </c>
      <c r="AA186">
        <f ca="1">IF(T_EMPLOYEES[[#This Row],[EMPLOYEE NUMBER]]="","",ROW(T_EMPLOYEES[[#This Row],[EMPLOYEE LABEL]])-ROW(T_EMPLOYEES[[#Headers],[EMPLOYEE LABEL]]))</f>
        <v>183</v>
      </c>
      <c r="AB186">
        <f ca="1">IF(T_EMPLOYEES[[#This Row],[EMPLOYEE NUMBER]]="","",IF(COUNTIF(T_EMPLOYEES[EMPLOYEE NUMBER],T_EMPLOYEES[[#This Row],[EMPLOYEE NUMBER]])&gt;1,1,0))</f>
        <v>0</v>
      </c>
      <c r="AC186">
        <f ca="1">IF(T_EMPLOYEES[[#This Row],[EMPLOYEE NUMBER]]="","",IF(AND(T_EMPLOYEES[[#This Row],[DATE OF BIRTH]]&gt;0,T_EMPLOYEES[[#This Row],[DATE OF BIRTH]]&lt;TODAY()),0,1))</f>
        <v>0</v>
      </c>
      <c r="AD186">
        <f ca="1">IF(T_EMPLOYEES[[#This Row],[EMPLOYEE NUMBER]]="","",IF(AND(T_EMPLOYEES[[#This Row],[START DATE]]&gt;0,T_EMPLOYEES[[#This Row],[START DATE]]&lt;TODAY()+60),0,1))</f>
        <v>0</v>
      </c>
      <c r="AE186">
        <f ca="1">IF(T_EMPLOYEES[[#This Row],[EMPLOYEE NUMBER]]="","",MATCH(T_EMPLOYEES[[#This Row],[GENDER]],L_GENDER,0))</f>
        <v>1</v>
      </c>
      <c r="AF186">
        <f ca="1">IF(T_EMPLOYEES[[#This Row],[EMPLOYEE NUMBER]]="","",MATCH(T_EMPLOYEES[[#This Row],[HIRE SOURCE]],L_HIRESOURCE,0))</f>
        <v>4</v>
      </c>
      <c r="AG186">
        <f ca="1">IF(T_EMPLOYEES[[#This Row],[EMPLOYEE NUMBER]]="","",MATCH(T_EMPLOYEES[[#This Row],[ETHNICITY]],L_ETHNICITY,0))</f>
        <v>3</v>
      </c>
      <c r="AH186">
        <f ca="1">IF(T_EMPLOYEES[[#This Row],[EMPLOYEE NUMBER]]="","",MATCH(T_EMPLOYEES[[#This Row],[LOCATION]],L_LOCATION,0))</f>
        <v>1</v>
      </c>
      <c r="AI186">
        <f ca="1">IF(T_EMPLOYEES[[#This Row],[EMPLOYEE NUMBER]]="","",MATCH(T_EMPLOYEES[[#This Row],[DEPARTMENT]],L_DEPARTMENT,0))</f>
        <v>10</v>
      </c>
      <c r="AJ186">
        <f ca="1">IF(T_EMPLOYEES[[#This Row],[EMPLOYEE NUMBER]]="","",MATCH(T_EMPLOYEES[[#This Row],[JOB TYPE]],L_JOBTYPE,0))</f>
        <v>2</v>
      </c>
      <c r="AK186">
        <f ca="1">IF(T_EMPLOYEES[[#This Row],[EMPLOYEE NUMBER]]="","",MATCH(T_EMPLOYEES[[#This Row],[JOB CATEGORY]],L_JOBCATEGORY,0))</f>
        <v>6</v>
      </c>
      <c r="AL186">
        <f ca="1">IF(T_EMPLOYEES[[#This Row],[EMPLOYEE NUMBER]]="","",MATCH(T_EMPLOYEES[[#This Row],[JOB LEVEL]],L_JOBLEVEL,0))</f>
        <v>3</v>
      </c>
      <c r="AM186">
        <f ca="1">IF(T_EMPLOYEES[[#This Row],[EMPLOYEE NUMBER]]="","",MATCH(T_EMPLOYEES[[#This Row],[JOB TITLE]],L_JOBTITLE,0))</f>
        <v>6</v>
      </c>
      <c r="AN186">
        <f ca="1">IF(T_EMPLOYEES[[#This Row],[EMPLOYEE NUMBER]]="","",MATCH(T_EMPLOYEES[[#This Row],[MANAGER]],L_EMPLABELS,0))</f>
        <v>12</v>
      </c>
      <c r="AO186">
        <f ca="1">IF(T_EMPLOYEES[[#This Row],[EMPLOYEE NUMBER]]="","",IF(T_EMPLOYEES[[#This Row],[ERROR]]="",0,1))</f>
        <v>0</v>
      </c>
      <c r="AP18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7" spans="1:42">
      <c r="A187" t="s">
        <v>751</v>
      </c>
      <c r="B187" t="s">
        <v>752</v>
      </c>
      <c r="C187">
        <v>1030027</v>
      </c>
      <c r="D187" t="s">
        <v>753</v>
      </c>
      <c r="E187" s="26">
        <v>33184</v>
      </c>
      <c r="F187" s="26">
        <v>44802</v>
      </c>
      <c r="H187" t="s">
        <v>27</v>
      </c>
      <c r="I187" t="s">
        <v>54</v>
      </c>
      <c r="J187" t="s">
        <v>64</v>
      </c>
      <c r="K187" t="s">
        <v>30</v>
      </c>
      <c r="L187" s="27" t="s">
        <v>45</v>
      </c>
      <c r="M187" t="s">
        <v>46</v>
      </c>
      <c r="N187" t="s">
        <v>154</v>
      </c>
      <c r="O187" t="s">
        <v>71</v>
      </c>
      <c r="P187" t="s">
        <v>154</v>
      </c>
      <c r="Q187" t="s">
        <v>304</v>
      </c>
      <c r="R187">
        <v>5</v>
      </c>
      <c r="S187" s="1">
        <v>250000</v>
      </c>
      <c r="T187" s="1">
        <f ca="1">ROUND(T_EMPLOYEES[[#This Row],[EMP_CTC1]]/12, 0)</f>
        <v>20833</v>
      </c>
      <c r="U187" s="1">
        <v>150000</v>
      </c>
      <c r="V187" s="1" t="s">
        <v>207</v>
      </c>
      <c r="W187" s="1" t="s">
        <v>207</v>
      </c>
      <c r="X18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Sirikonda Venkata Rupesh Siddartha (1030027)</v>
      </c>
      <c r="Y187">
        <v>100000</v>
      </c>
      <c r="Z187" s="29">
        <f t="shared" ca="1" si="3"/>
        <v>40</v>
      </c>
      <c r="AA187">
        <f ca="1">IF(T_EMPLOYEES[[#This Row],[EMPLOYEE NUMBER]]="","",ROW(T_EMPLOYEES[[#This Row],[EMPLOYEE LABEL]])-ROW(T_EMPLOYEES[[#Headers],[EMPLOYEE LABEL]]))</f>
        <v>184</v>
      </c>
      <c r="AB187">
        <f ca="1">IF(T_EMPLOYEES[[#This Row],[EMPLOYEE NUMBER]]="","",IF(COUNTIF(T_EMPLOYEES[EMPLOYEE NUMBER],T_EMPLOYEES[[#This Row],[EMPLOYEE NUMBER]])&gt;1,1,0))</f>
        <v>0</v>
      </c>
      <c r="AC187">
        <f ca="1">IF(T_EMPLOYEES[[#This Row],[EMPLOYEE NUMBER]]="","",IF(AND(T_EMPLOYEES[[#This Row],[DATE OF BIRTH]]&gt;0,T_EMPLOYEES[[#This Row],[DATE OF BIRTH]]&lt;TODAY()),0,1))</f>
        <v>0</v>
      </c>
      <c r="AD187">
        <f ca="1">IF(T_EMPLOYEES[[#This Row],[EMPLOYEE NUMBER]]="","",IF(AND(T_EMPLOYEES[[#This Row],[START DATE]]&gt;0,T_EMPLOYEES[[#This Row],[START DATE]]&lt;TODAY()+60),0,1))</f>
        <v>0</v>
      </c>
      <c r="AE187">
        <f ca="1">IF(T_EMPLOYEES[[#This Row],[EMPLOYEE NUMBER]]="","",MATCH(T_EMPLOYEES[[#This Row],[GENDER]],L_GENDER,0))</f>
        <v>1</v>
      </c>
      <c r="AF187">
        <f ca="1">IF(T_EMPLOYEES[[#This Row],[EMPLOYEE NUMBER]]="","",MATCH(T_EMPLOYEES[[#This Row],[HIRE SOURCE]],L_HIRESOURCE,0))</f>
        <v>4</v>
      </c>
      <c r="AG187">
        <f ca="1">IF(T_EMPLOYEES[[#This Row],[EMPLOYEE NUMBER]]="","",MATCH(T_EMPLOYEES[[#This Row],[ETHNICITY]],L_ETHNICITY,0))</f>
        <v>3</v>
      </c>
      <c r="AH187">
        <f ca="1">IF(T_EMPLOYEES[[#This Row],[EMPLOYEE NUMBER]]="","",MATCH(T_EMPLOYEES[[#This Row],[LOCATION]],L_LOCATION,0))</f>
        <v>1</v>
      </c>
      <c r="AI187">
        <f ca="1">IF(T_EMPLOYEES[[#This Row],[EMPLOYEE NUMBER]]="","",MATCH(T_EMPLOYEES[[#This Row],[DEPARTMENT]],L_DEPARTMENT,0))</f>
        <v>2</v>
      </c>
      <c r="AJ187">
        <f ca="1">IF(T_EMPLOYEES[[#This Row],[EMPLOYEE NUMBER]]="","",MATCH(T_EMPLOYEES[[#This Row],[JOB TYPE]],L_JOBTYPE,0))</f>
        <v>2</v>
      </c>
      <c r="AK187">
        <f ca="1">IF(T_EMPLOYEES[[#This Row],[EMPLOYEE NUMBER]]="","",MATCH(T_EMPLOYEES[[#This Row],[JOB CATEGORY]],L_JOBCATEGORY,0))</f>
        <v>33</v>
      </c>
      <c r="AL187">
        <f ca="1">IF(T_EMPLOYEES[[#This Row],[EMPLOYEE NUMBER]]="","",MATCH(T_EMPLOYEES[[#This Row],[JOB LEVEL]],L_JOBLEVEL,0))</f>
        <v>4</v>
      </c>
      <c r="AM187">
        <f ca="1">IF(T_EMPLOYEES[[#This Row],[EMPLOYEE NUMBER]]="","",MATCH(T_EMPLOYEES[[#This Row],[JOB TITLE]],L_JOBTITLE,0))</f>
        <v>33</v>
      </c>
      <c r="AN187">
        <f ca="1">IF(T_EMPLOYEES[[#This Row],[EMPLOYEE NUMBER]]="","",MATCH(T_EMPLOYEES[[#This Row],[MANAGER]],L_EMPLABELS,0))</f>
        <v>27</v>
      </c>
      <c r="AO187">
        <f ca="1">IF(T_EMPLOYEES[[#This Row],[EMPLOYEE NUMBER]]="","",IF(T_EMPLOYEES[[#This Row],[ERROR]]="",0,1))</f>
        <v>0</v>
      </c>
      <c r="AP18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8" spans="1:42">
      <c r="A188" t="s">
        <v>754</v>
      </c>
      <c r="B188" t="s">
        <v>755</v>
      </c>
      <c r="C188">
        <v>1031850</v>
      </c>
      <c r="D188" t="s">
        <v>756</v>
      </c>
      <c r="E188" s="26">
        <v>33184</v>
      </c>
      <c r="F188" s="26">
        <v>44914</v>
      </c>
      <c r="H188" t="s">
        <v>40</v>
      </c>
      <c r="I188" t="s">
        <v>54</v>
      </c>
      <c r="J188" t="s">
        <v>64</v>
      </c>
      <c r="K188" t="s">
        <v>30</v>
      </c>
      <c r="L188" s="27" t="s">
        <v>45</v>
      </c>
      <c r="M188" t="s">
        <v>46</v>
      </c>
      <c r="N188" t="s">
        <v>128</v>
      </c>
      <c r="O188" t="s">
        <v>60</v>
      </c>
      <c r="P188" t="s">
        <v>128</v>
      </c>
      <c r="Q188" t="s">
        <v>578</v>
      </c>
      <c r="R188" s="27">
        <v>3</v>
      </c>
      <c r="S188" s="1">
        <v>250000</v>
      </c>
      <c r="T188" s="1">
        <f ca="1">ROUND(T_EMPLOYEES[[#This Row],[EMP_CTC1]]/12, 0)</f>
        <v>20833</v>
      </c>
      <c r="U188" s="1">
        <v>150000</v>
      </c>
      <c r="V188" s="1" t="s">
        <v>207</v>
      </c>
      <c r="W188" s="1" t="s">
        <v>207</v>
      </c>
      <c r="X18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Sayli Susmit Pisal (1031850)</v>
      </c>
      <c r="Y188">
        <v>100000</v>
      </c>
      <c r="Z188" s="29">
        <f t="shared" ca="1" si="3"/>
        <v>40</v>
      </c>
      <c r="AA188">
        <f ca="1">IF(T_EMPLOYEES[[#This Row],[EMPLOYEE NUMBER]]="","",ROW(T_EMPLOYEES[[#This Row],[EMPLOYEE LABEL]])-ROW(T_EMPLOYEES[[#Headers],[EMPLOYEE LABEL]]))</f>
        <v>185</v>
      </c>
      <c r="AB188">
        <f ca="1">IF(T_EMPLOYEES[[#This Row],[EMPLOYEE NUMBER]]="","",IF(COUNTIF(T_EMPLOYEES[EMPLOYEE NUMBER],T_EMPLOYEES[[#This Row],[EMPLOYEE NUMBER]])&gt;1,1,0))</f>
        <v>0</v>
      </c>
      <c r="AC188">
        <f ca="1">IF(T_EMPLOYEES[[#This Row],[EMPLOYEE NUMBER]]="","",IF(AND(T_EMPLOYEES[[#This Row],[DATE OF BIRTH]]&gt;0,T_EMPLOYEES[[#This Row],[DATE OF BIRTH]]&lt;TODAY()),0,1))</f>
        <v>0</v>
      </c>
      <c r="AD188">
        <f ca="1">IF(T_EMPLOYEES[[#This Row],[EMPLOYEE NUMBER]]="","",IF(AND(T_EMPLOYEES[[#This Row],[START DATE]]&gt;0,T_EMPLOYEES[[#This Row],[START DATE]]&lt;TODAY()+60),0,1))</f>
        <v>0</v>
      </c>
      <c r="AE188">
        <f ca="1">IF(T_EMPLOYEES[[#This Row],[EMPLOYEE NUMBER]]="","",MATCH(T_EMPLOYEES[[#This Row],[GENDER]],L_GENDER,0))</f>
        <v>2</v>
      </c>
      <c r="AF188">
        <f ca="1">IF(T_EMPLOYEES[[#This Row],[EMPLOYEE NUMBER]]="","",MATCH(T_EMPLOYEES[[#This Row],[HIRE SOURCE]],L_HIRESOURCE,0))</f>
        <v>4</v>
      </c>
      <c r="AG188">
        <f ca="1">IF(T_EMPLOYEES[[#This Row],[EMPLOYEE NUMBER]]="","",MATCH(T_EMPLOYEES[[#This Row],[ETHNICITY]],L_ETHNICITY,0))</f>
        <v>3</v>
      </c>
      <c r="AH188">
        <f ca="1">IF(T_EMPLOYEES[[#This Row],[EMPLOYEE NUMBER]]="","",MATCH(T_EMPLOYEES[[#This Row],[LOCATION]],L_LOCATION,0))</f>
        <v>1</v>
      </c>
      <c r="AI188">
        <f ca="1">IF(T_EMPLOYEES[[#This Row],[EMPLOYEE NUMBER]]="","",MATCH(T_EMPLOYEES[[#This Row],[DEPARTMENT]],L_DEPARTMENT,0))</f>
        <v>2</v>
      </c>
      <c r="AJ188">
        <f ca="1">IF(T_EMPLOYEES[[#This Row],[EMPLOYEE NUMBER]]="","",MATCH(T_EMPLOYEES[[#This Row],[JOB TYPE]],L_JOBTYPE,0))</f>
        <v>2</v>
      </c>
      <c r="AK188">
        <f ca="1">IF(T_EMPLOYEES[[#This Row],[EMPLOYEE NUMBER]]="","",MATCH(T_EMPLOYEES[[#This Row],[JOB CATEGORY]],L_JOBCATEGORY,0))</f>
        <v>15</v>
      </c>
      <c r="AL188">
        <f ca="1">IF(T_EMPLOYEES[[#This Row],[EMPLOYEE NUMBER]]="","",MATCH(T_EMPLOYEES[[#This Row],[JOB LEVEL]],L_JOBLEVEL,0))</f>
        <v>3</v>
      </c>
      <c r="AM188">
        <f ca="1">IF(T_EMPLOYEES[[#This Row],[EMPLOYEE NUMBER]]="","",MATCH(T_EMPLOYEES[[#This Row],[JOB TITLE]],L_JOBTITLE,0))</f>
        <v>15</v>
      </c>
      <c r="AN188">
        <f ca="1">IF(T_EMPLOYEES[[#This Row],[EMPLOYEE NUMBER]]="","",MATCH(T_EMPLOYEES[[#This Row],[MANAGER]],L_EMPLABELS,0))</f>
        <v>76</v>
      </c>
      <c r="AO188">
        <f ca="1">IF(T_EMPLOYEES[[#This Row],[EMPLOYEE NUMBER]]="","",IF(T_EMPLOYEES[[#This Row],[ERROR]]="",0,1))</f>
        <v>0</v>
      </c>
      <c r="AP18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9" spans="1:42">
      <c r="A189" t="s">
        <v>757</v>
      </c>
      <c r="B189" t="s">
        <v>758</v>
      </c>
      <c r="C189">
        <v>1034093</v>
      </c>
      <c r="D189" t="s">
        <v>759</v>
      </c>
      <c r="E189" s="26">
        <v>33188</v>
      </c>
      <c r="F189" s="26">
        <v>45295</v>
      </c>
      <c r="H189" t="s">
        <v>27</v>
      </c>
      <c r="I189" t="s">
        <v>54</v>
      </c>
      <c r="J189" t="s">
        <v>64</v>
      </c>
      <c r="K189" t="s">
        <v>43</v>
      </c>
      <c r="L189" s="27" t="s">
        <v>45</v>
      </c>
      <c r="M189" t="s">
        <v>46</v>
      </c>
      <c r="N189" t="s">
        <v>81</v>
      </c>
      <c r="O189" t="s">
        <v>82</v>
      </c>
      <c r="P189" t="s">
        <v>81</v>
      </c>
      <c r="Q189" t="s">
        <v>211</v>
      </c>
      <c r="R189">
        <v>7</v>
      </c>
      <c r="S189" s="1">
        <v>250000</v>
      </c>
      <c r="T189" s="1">
        <f ca="1">ROUND(T_EMPLOYEES[[#This Row],[EMP_CTC1]]/12, 0)</f>
        <v>20833</v>
      </c>
      <c r="U189" s="1">
        <v>150000</v>
      </c>
      <c r="V189" s="1" t="s">
        <v>207</v>
      </c>
      <c r="W189" s="1" t="s">
        <v>207</v>
      </c>
      <c r="X18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Avnendra  Bhadauria (1034093)</v>
      </c>
      <c r="Y189">
        <v>100000</v>
      </c>
      <c r="Z189" s="29">
        <f t="shared" ca="1" si="3"/>
        <v>40</v>
      </c>
      <c r="AA189">
        <f ca="1">IF(T_EMPLOYEES[[#This Row],[EMPLOYEE NUMBER]]="","",ROW(T_EMPLOYEES[[#This Row],[EMPLOYEE LABEL]])-ROW(T_EMPLOYEES[[#Headers],[EMPLOYEE LABEL]]))</f>
        <v>186</v>
      </c>
      <c r="AB189">
        <f ca="1">IF(T_EMPLOYEES[[#This Row],[EMPLOYEE NUMBER]]="","",IF(COUNTIF(T_EMPLOYEES[EMPLOYEE NUMBER],T_EMPLOYEES[[#This Row],[EMPLOYEE NUMBER]])&gt;1,1,0))</f>
        <v>0</v>
      </c>
      <c r="AC189">
        <f ca="1">IF(T_EMPLOYEES[[#This Row],[EMPLOYEE NUMBER]]="","",IF(AND(T_EMPLOYEES[[#This Row],[DATE OF BIRTH]]&gt;0,T_EMPLOYEES[[#This Row],[DATE OF BIRTH]]&lt;TODAY()),0,1))</f>
        <v>0</v>
      </c>
      <c r="AD189">
        <f ca="1">IF(T_EMPLOYEES[[#This Row],[EMPLOYEE NUMBER]]="","",IF(AND(T_EMPLOYEES[[#This Row],[START DATE]]&gt;0,T_EMPLOYEES[[#This Row],[START DATE]]&lt;TODAY()+60),0,1))</f>
        <v>0</v>
      </c>
      <c r="AE189">
        <f ca="1">IF(T_EMPLOYEES[[#This Row],[EMPLOYEE NUMBER]]="","",MATCH(T_EMPLOYEES[[#This Row],[GENDER]],L_GENDER,0))</f>
        <v>1</v>
      </c>
      <c r="AF189">
        <f ca="1">IF(T_EMPLOYEES[[#This Row],[EMPLOYEE NUMBER]]="","",MATCH(T_EMPLOYEES[[#This Row],[HIRE SOURCE]],L_HIRESOURCE,0))</f>
        <v>4</v>
      </c>
      <c r="AG189">
        <f ca="1">IF(T_EMPLOYEES[[#This Row],[EMPLOYEE NUMBER]]="","",MATCH(T_EMPLOYEES[[#This Row],[ETHNICITY]],L_ETHNICITY,0))</f>
        <v>3</v>
      </c>
      <c r="AH189">
        <f ca="1">IF(T_EMPLOYEES[[#This Row],[EMPLOYEE NUMBER]]="","",MATCH(T_EMPLOYEES[[#This Row],[LOCATION]],L_LOCATION,0))</f>
        <v>2</v>
      </c>
      <c r="AI189">
        <f ca="1">IF(T_EMPLOYEES[[#This Row],[EMPLOYEE NUMBER]]="","",MATCH(T_EMPLOYEES[[#This Row],[DEPARTMENT]],L_DEPARTMENT,0))</f>
        <v>2</v>
      </c>
      <c r="AJ189">
        <f ca="1">IF(T_EMPLOYEES[[#This Row],[EMPLOYEE NUMBER]]="","",MATCH(T_EMPLOYEES[[#This Row],[JOB TYPE]],L_JOBTYPE,0))</f>
        <v>2</v>
      </c>
      <c r="AK189">
        <f ca="1">IF(T_EMPLOYEES[[#This Row],[EMPLOYEE NUMBER]]="","",MATCH(T_EMPLOYEES[[#This Row],[JOB CATEGORY]],L_JOBCATEGORY,0))</f>
        <v>5</v>
      </c>
      <c r="AL189">
        <f ca="1">IF(T_EMPLOYEES[[#This Row],[EMPLOYEE NUMBER]]="","",MATCH(T_EMPLOYEES[[#This Row],[JOB LEVEL]],L_JOBLEVEL,0))</f>
        <v>5</v>
      </c>
      <c r="AM189">
        <f ca="1">IF(T_EMPLOYEES[[#This Row],[EMPLOYEE NUMBER]]="","",MATCH(T_EMPLOYEES[[#This Row],[JOB TITLE]],L_JOBTITLE,0))</f>
        <v>5</v>
      </c>
      <c r="AN189">
        <f ca="1">IF(T_EMPLOYEES[[#This Row],[EMPLOYEE NUMBER]]="","",MATCH(T_EMPLOYEES[[#This Row],[MANAGER]],L_EMPLABELS,0))</f>
        <v>49</v>
      </c>
      <c r="AO189">
        <f ca="1">IF(T_EMPLOYEES[[#This Row],[EMPLOYEE NUMBER]]="","",IF(T_EMPLOYEES[[#This Row],[ERROR]]="",0,1))</f>
        <v>0</v>
      </c>
      <c r="AP18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0" spans="1:42">
      <c r="A190" t="s">
        <v>760</v>
      </c>
      <c r="B190" t="s">
        <v>761</v>
      </c>
      <c r="C190">
        <v>1029158</v>
      </c>
      <c r="D190" t="s">
        <v>762</v>
      </c>
      <c r="E190" s="26">
        <v>33200</v>
      </c>
      <c r="F190" s="26">
        <v>44711</v>
      </c>
      <c r="H190" t="s">
        <v>27</v>
      </c>
      <c r="I190" t="s">
        <v>54</v>
      </c>
      <c r="J190" t="s">
        <v>64</v>
      </c>
      <c r="K190" t="s">
        <v>30</v>
      </c>
      <c r="L190" s="27" t="s">
        <v>45</v>
      </c>
      <c r="M190" t="s">
        <v>46</v>
      </c>
      <c r="N190" t="s">
        <v>128</v>
      </c>
      <c r="O190" t="s">
        <v>60</v>
      </c>
      <c r="P190" t="s">
        <v>128</v>
      </c>
      <c r="Q190" t="s">
        <v>218</v>
      </c>
      <c r="R190" s="27">
        <v>3</v>
      </c>
      <c r="S190" s="1">
        <v>250000</v>
      </c>
      <c r="T190" s="1">
        <f ca="1">ROUND(T_EMPLOYEES[[#This Row],[EMP_CTC1]]/12, 0)</f>
        <v>20833</v>
      </c>
      <c r="U190" s="1">
        <v>150000</v>
      </c>
      <c r="V190" s="1" t="s">
        <v>207</v>
      </c>
      <c r="W190" s="1" t="s">
        <v>207</v>
      </c>
      <c r="X19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YEDLAPALLI RAJASEKHAR (1029158)</v>
      </c>
      <c r="Y190">
        <v>100000</v>
      </c>
      <c r="Z190" s="29">
        <f t="shared" ca="1" si="3"/>
        <v>40</v>
      </c>
      <c r="AA190">
        <f ca="1">IF(T_EMPLOYEES[[#This Row],[EMPLOYEE NUMBER]]="","",ROW(T_EMPLOYEES[[#This Row],[EMPLOYEE LABEL]])-ROW(T_EMPLOYEES[[#Headers],[EMPLOYEE LABEL]]))</f>
        <v>187</v>
      </c>
      <c r="AB190">
        <f ca="1">IF(T_EMPLOYEES[[#This Row],[EMPLOYEE NUMBER]]="","",IF(COUNTIF(T_EMPLOYEES[EMPLOYEE NUMBER],T_EMPLOYEES[[#This Row],[EMPLOYEE NUMBER]])&gt;1,1,0))</f>
        <v>0</v>
      </c>
      <c r="AC190">
        <f ca="1">IF(T_EMPLOYEES[[#This Row],[EMPLOYEE NUMBER]]="","",IF(AND(T_EMPLOYEES[[#This Row],[DATE OF BIRTH]]&gt;0,T_EMPLOYEES[[#This Row],[DATE OF BIRTH]]&lt;TODAY()),0,1))</f>
        <v>0</v>
      </c>
      <c r="AD190">
        <f ca="1">IF(T_EMPLOYEES[[#This Row],[EMPLOYEE NUMBER]]="","",IF(AND(T_EMPLOYEES[[#This Row],[START DATE]]&gt;0,T_EMPLOYEES[[#This Row],[START DATE]]&lt;TODAY()+60),0,1))</f>
        <v>0</v>
      </c>
      <c r="AE190">
        <f ca="1">IF(T_EMPLOYEES[[#This Row],[EMPLOYEE NUMBER]]="","",MATCH(T_EMPLOYEES[[#This Row],[GENDER]],L_GENDER,0))</f>
        <v>1</v>
      </c>
      <c r="AF190">
        <f ca="1">IF(T_EMPLOYEES[[#This Row],[EMPLOYEE NUMBER]]="","",MATCH(T_EMPLOYEES[[#This Row],[HIRE SOURCE]],L_HIRESOURCE,0))</f>
        <v>4</v>
      </c>
      <c r="AG190">
        <f ca="1">IF(T_EMPLOYEES[[#This Row],[EMPLOYEE NUMBER]]="","",MATCH(T_EMPLOYEES[[#This Row],[ETHNICITY]],L_ETHNICITY,0))</f>
        <v>3</v>
      </c>
      <c r="AH190">
        <f ca="1">IF(T_EMPLOYEES[[#This Row],[EMPLOYEE NUMBER]]="","",MATCH(T_EMPLOYEES[[#This Row],[LOCATION]],L_LOCATION,0))</f>
        <v>1</v>
      </c>
      <c r="AI190">
        <f ca="1">IF(T_EMPLOYEES[[#This Row],[EMPLOYEE NUMBER]]="","",MATCH(T_EMPLOYEES[[#This Row],[DEPARTMENT]],L_DEPARTMENT,0))</f>
        <v>2</v>
      </c>
      <c r="AJ190">
        <f ca="1">IF(T_EMPLOYEES[[#This Row],[EMPLOYEE NUMBER]]="","",MATCH(T_EMPLOYEES[[#This Row],[JOB TYPE]],L_JOBTYPE,0))</f>
        <v>2</v>
      </c>
      <c r="AK190">
        <f ca="1">IF(T_EMPLOYEES[[#This Row],[EMPLOYEE NUMBER]]="","",MATCH(T_EMPLOYEES[[#This Row],[JOB CATEGORY]],L_JOBCATEGORY,0))</f>
        <v>15</v>
      </c>
      <c r="AL190">
        <f ca="1">IF(T_EMPLOYEES[[#This Row],[EMPLOYEE NUMBER]]="","",MATCH(T_EMPLOYEES[[#This Row],[JOB LEVEL]],L_JOBLEVEL,0))</f>
        <v>3</v>
      </c>
      <c r="AM190">
        <f ca="1">IF(T_EMPLOYEES[[#This Row],[EMPLOYEE NUMBER]]="","",MATCH(T_EMPLOYEES[[#This Row],[JOB TITLE]],L_JOBTITLE,0))</f>
        <v>15</v>
      </c>
      <c r="AN190">
        <f ca="1">IF(T_EMPLOYEES[[#This Row],[EMPLOYEE NUMBER]]="","",MATCH(T_EMPLOYEES[[#This Row],[MANAGER]],L_EMPLABELS,0))</f>
        <v>43</v>
      </c>
      <c r="AO190">
        <f ca="1">IF(T_EMPLOYEES[[#This Row],[EMPLOYEE NUMBER]]="","",IF(T_EMPLOYEES[[#This Row],[ERROR]]="",0,1))</f>
        <v>0</v>
      </c>
      <c r="AP19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1" spans="1:42">
      <c r="A191" t="s">
        <v>550</v>
      </c>
      <c r="B191" t="s">
        <v>763</v>
      </c>
      <c r="C191">
        <v>1024012</v>
      </c>
      <c r="D191" t="s">
        <v>764</v>
      </c>
      <c r="E191" s="26">
        <v>33234</v>
      </c>
      <c r="F191" s="26">
        <v>44132</v>
      </c>
      <c r="H191" t="s">
        <v>27</v>
      </c>
      <c r="I191" t="s">
        <v>54</v>
      </c>
      <c r="J191" t="s">
        <v>64</v>
      </c>
      <c r="K191" t="s">
        <v>30</v>
      </c>
      <c r="L191" s="27" t="s">
        <v>45</v>
      </c>
      <c r="M191" t="s">
        <v>46</v>
      </c>
      <c r="N191" t="s">
        <v>89</v>
      </c>
      <c r="O191" t="s">
        <v>60</v>
      </c>
      <c r="P191" t="s">
        <v>89</v>
      </c>
      <c r="Q191" t="s">
        <v>549</v>
      </c>
      <c r="R191">
        <v>3</v>
      </c>
      <c r="S191" s="1">
        <v>250000</v>
      </c>
      <c r="T191" s="1">
        <f ca="1">ROUND(T_EMPLOYEES[[#This Row],[EMP_CTC1]]/12, 0)</f>
        <v>20833</v>
      </c>
      <c r="U191" s="1">
        <v>150000</v>
      </c>
      <c r="V191" s="1" t="s">
        <v>207</v>
      </c>
      <c r="W191" s="1" t="s">
        <v>207</v>
      </c>
      <c r="X19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Abhishek  Kumar (1024012)</v>
      </c>
      <c r="Y191">
        <v>100000</v>
      </c>
      <c r="Z191" s="29">
        <f t="shared" ca="1" si="3"/>
        <v>40</v>
      </c>
      <c r="AA191">
        <f ca="1">IF(T_EMPLOYEES[[#This Row],[EMPLOYEE NUMBER]]="","",ROW(T_EMPLOYEES[[#This Row],[EMPLOYEE LABEL]])-ROW(T_EMPLOYEES[[#Headers],[EMPLOYEE LABEL]]))</f>
        <v>188</v>
      </c>
      <c r="AB191">
        <f ca="1">IF(T_EMPLOYEES[[#This Row],[EMPLOYEE NUMBER]]="","",IF(COUNTIF(T_EMPLOYEES[EMPLOYEE NUMBER],T_EMPLOYEES[[#This Row],[EMPLOYEE NUMBER]])&gt;1,1,0))</f>
        <v>0</v>
      </c>
      <c r="AC191">
        <f ca="1">IF(T_EMPLOYEES[[#This Row],[EMPLOYEE NUMBER]]="","",IF(AND(T_EMPLOYEES[[#This Row],[DATE OF BIRTH]]&gt;0,T_EMPLOYEES[[#This Row],[DATE OF BIRTH]]&lt;TODAY()),0,1))</f>
        <v>0</v>
      </c>
      <c r="AD191">
        <f ca="1">IF(T_EMPLOYEES[[#This Row],[EMPLOYEE NUMBER]]="","",IF(AND(T_EMPLOYEES[[#This Row],[START DATE]]&gt;0,T_EMPLOYEES[[#This Row],[START DATE]]&lt;TODAY()+60),0,1))</f>
        <v>0</v>
      </c>
      <c r="AE191">
        <f ca="1">IF(T_EMPLOYEES[[#This Row],[EMPLOYEE NUMBER]]="","",MATCH(T_EMPLOYEES[[#This Row],[GENDER]],L_GENDER,0))</f>
        <v>1</v>
      </c>
      <c r="AF191">
        <f ca="1">IF(T_EMPLOYEES[[#This Row],[EMPLOYEE NUMBER]]="","",MATCH(T_EMPLOYEES[[#This Row],[HIRE SOURCE]],L_HIRESOURCE,0))</f>
        <v>4</v>
      </c>
      <c r="AG191">
        <f ca="1">IF(T_EMPLOYEES[[#This Row],[EMPLOYEE NUMBER]]="","",MATCH(T_EMPLOYEES[[#This Row],[ETHNICITY]],L_ETHNICITY,0))</f>
        <v>3</v>
      </c>
      <c r="AH191">
        <f ca="1">IF(T_EMPLOYEES[[#This Row],[EMPLOYEE NUMBER]]="","",MATCH(T_EMPLOYEES[[#This Row],[LOCATION]],L_LOCATION,0))</f>
        <v>1</v>
      </c>
      <c r="AI191">
        <f ca="1">IF(T_EMPLOYEES[[#This Row],[EMPLOYEE NUMBER]]="","",MATCH(T_EMPLOYEES[[#This Row],[DEPARTMENT]],L_DEPARTMENT,0))</f>
        <v>2</v>
      </c>
      <c r="AJ191">
        <f ca="1">IF(T_EMPLOYEES[[#This Row],[EMPLOYEE NUMBER]]="","",MATCH(T_EMPLOYEES[[#This Row],[JOB TYPE]],L_JOBTYPE,0))</f>
        <v>2</v>
      </c>
      <c r="AK191">
        <f ca="1">IF(T_EMPLOYEES[[#This Row],[EMPLOYEE NUMBER]]="","",MATCH(T_EMPLOYEES[[#This Row],[JOB CATEGORY]],L_JOBCATEGORY,0))</f>
        <v>6</v>
      </c>
      <c r="AL191">
        <f ca="1">IF(T_EMPLOYEES[[#This Row],[EMPLOYEE NUMBER]]="","",MATCH(T_EMPLOYEES[[#This Row],[JOB LEVEL]],L_JOBLEVEL,0))</f>
        <v>3</v>
      </c>
      <c r="AM191">
        <f ca="1">IF(T_EMPLOYEES[[#This Row],[EMPLOYEE NUMBER]]="","",MATCH(T_EMPLOYEES[[#This Row],[JOB TITLE]],L_JOBTITLE,0))</f>
        <v>6</v>
      </c>
      <c r="AN191">
        <f ca="1">IF(T_EMPLOYEES[[#This Row],[EMPLOYEE NUMBER]]="","",MATCH(T_EMPLOYEES[[#This Row],[MANAGER]],L_EMPLABELS,0))</f>
        <v>50</v>
      </c>
      <c r="AO191">
        <f ca="1">IF(T_EMPLOYEES[[#This Row],[EMPLOYEE NUMBER]]="","",IF(T_EMPLOYEES[[#This Row],[ERROR]]="",0,1))</f>
        <v>0</v>
      </c>
      <c r="AP19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2" spans="1:42">
      <c r="A192" t="s">
        <v>765</v>
      </c>
      <c r="C192">
        <v>1031878</v>
      </c>
      <c r="D192" t="s">
        <v>766</v>
      </c>
      <c r="E192" s="26">
        <v>33237</v>
      </c>
      <c r="F192" s="26">
        <v>44914</v>
      </c>
      <c r="H192" t="s">
        <v>27</v>
      </c>
      <c r="I192" t="s">
        <v>54</v>
      </c>
      <c r="J192" t="s">
        <v>64</v>
      </c>
      <c r="K192" t="s">
        <v>30</v>
      </c>
      <c r="L192" s="27" t="s">
        <v>45</v>
      </c>
      <c r="M192" t="s">
        <v>46</v>
      </c>
      <c r="N192" t="s">
        <v>81</v>
      </c>
      <c r="O192" t="s">
        <v>82</v>
      </c>
      <c r="P192" t="s">
        <v>81</v>
      </c>
      <c r="Q192" t="s">
        <v>288</v>
      </c>
      <c r="R192" s="27">
        <v>7</v>
      </c>
      <c r="S192" s="1">
        <v>250000</v>
      </c>
      <c r="T192" s="1">
        <f ca="1">ROUND(T_EMPLOYEES[[#This Row],[EMP_CTC1]]/12, 0)</f>
        <v>20833</v>
      </c>
      <c r="U192" s="1">
        <v>150000</v>
      </c>
      <c r="V192" s="1" t="s">
        <v>207</v>
      </c>
      <c r="W192" s="1" t="s">
        <v>207</v>
      </c>
      <c r="X19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Manikandan  (1031878)</v>
      </c>
      <c r="Y192">
        <v>100000</v>
      </c>
      <c r="Z192" s="29">
        <f t="shared" ca="1" si="3"/>
        <v>40</v>
      </c>
      <c r="AA192">
        <f ca="1">IF(T_EMPLOYEES[[#This Row],[EMPLOYEE NUMBER]]="","",ROW(T_EMPLOYEES[[#This Row],[EMPLOYEE LABEL]])-ROW(T_EMPLOYEES[[#Headers],[EMPLOYEE LABEL]]))</f>
        <v>189</v>
      </c>
      <c r="AB192">
        <f ca="1">IF(T_EMPLOYEES[[#This Row],[EMPLOYEE NUMBER]]="","",IF(COUNTIF(T_EMPLOYEES[EMPLOYEE NUMBER],T_EMPLOYEES[[#This Row],[EMPLOYEE NUMBER]])&gt;1,1,0))</f>
        <v>0</v>
      </c>
      <c r="AC192">
        <f ca="1">IF(T_EMPLOYEES[[#This Row],[EMPLOYEE NUMBER]]="","",IF(AND(T_EMPLOYEES[[#This Row],[DATE OF BIRTH]]&gt;0,T_EMPLOYEES[[#This Row],[DATE OF BIRTH]]&lt;TODAY()),0,1))</f>
        <v>0</v>
      </c>
      <c r="AD192">
        <f ca="1">IF(T_EMPLOYEES[[#This Row],[EMPLOYEE NUMBER]]="","",IF(AND(T_EMPLOYEES[[#This Row],[START DATE]]&gt;0,T_EMPLOYEES[[#This Row],[START DATE]]&lt;TODAY()+60),0,1))</f>
        <v>0</v>
      </c>
      <c r="AE192">
        <f ca="1">IF(T_EMPLOYEES[[#This Row],[EMPLOYEE NUMBER]]="","",MATCH(T_EMPLOYEES[[#This Row],[GENDER]],L_GENDER,0))</f>
        <v>1</v>
      </c>
      <c r="AF192">
        <f ca="1">IF(T_EMPLOYEES[[#This Row],[EMPLOYEE NUMBER]]="","",MATCH(T_EMPLOYEES[[#This Row],[HIRE SOURCE]],L_HIRESOURCE,0))</f>
        <v>4</v>
      </c>
      <c r="AG192">
        <f ca="1">IF(T_EMPLOYEES[[#This Row],[EMPLOYEE NUMBER]]="","",MATCH(T_EMPLOYEES[[#This Row],[ETHNICITY]],L_ETHNICITY,0))</f>
        <v>3</v>
      </c>
      <c r="AH192">
        <f ca="1">IF(T_EMPLOYEES[[#This Row],[EMPLOYEE NUMBER]]="","",MATCH(T_EMPLOYEES[[#This Row],[LOCATION]],L_LOCATION,0))</f>
        <v>1</v>
      </c>
      <c r="AI192">
        <f ca="1">IF(T_EMPLOYEES[[#This Row],[EMPLOYEE NUMBER]]="","",MATCH(T_EMPLOYEES[[#This Row],[DEPARTMENT]],L_DEPARTMENT,0))</f>
        <v>2</v>
      </c>
      <c r="AJ192">
        <f ca="1">IF(T_EMPLOYEES[[#This Row],[EMPLOYEE NUMBER]]="","",MATCH(T_EMPLOYEES[[#This Row],[JOB TYPE]],L_JOBTYPE,0))</f>
        <v>2</v>
      </c>
      <c r="AK192">
        <f ca="1">IF(T_EMPLOYEES[[#This Row],[EMPLOYEE NUMBER]]="","",MATCH(T_EMPLOYEES[[#This Row],[JOB CATEGORY]],L_JOBCATEGORY,0))</f>
        <v>5</v>
      </c>
      <c r="AL192">
        <f ca="1">IF(T_EMPLOYEES[[#This Row],[EMPLOYEE NUMBER]]="","",MATCH(T_EMPLOYEES[[#This Row],[JOB LEVEL]],L_JOBLEVEL,0))</f>
        <v>5</v>
      </c>
      <c r="AM192">
        <f ca="1">IF(T_EMPLOYEES[[#This Row],[EMPLOYEE NUMBER]]="","",MATCH(T_EMPLOYEES[[#This Row],[JOB TITLE]],L_JOBTITLE,0))</f>
        <v>5</v>
      </c>
      <c r="AN192">
        <f ca="1">IF(T_EMPLOYEES[[#This Row],[EMPLOYEE NUMBER]]="","",MATCH(T_EMPLOYEES[[#This Row],[MANAGER]],L_EMPLABELS,0))</f>
        <v>52</v>
      </c>
      <c r="AO192">
        <f ca="1">IF(T_EMPLOYEES[[#This Row],[EMPLOYEE NUMBER]]="","",IF(T_EMPLOYEES[[#This Row],[ERROR]]="",0,1))</f>
        <v>0</v>
      </c>
      <c r="AP19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3" spans="1:42">
      <c r="A193" t="s">
        <v>767</v>
      </c>
      <c r="B193" t="s">
        <v>405</v>
      </c>
      <c r="C193">
        <v>1025016</v>
      </c>
      <c r="D193" t="s">
        <v>768</v>
      </c>
      <c r="E193" s="26">
        <v>33241</v>
      </c>
      <c r="F193" s="26">
        <v>44295</v>
      </c>
      <c r="H193" t="s">
        <v>27</v>
      </c>
      <c r="I193" t="s">
        <v>54</v>
      </c>
      <c r="J193" t="s">
        <v>64</v>
      </c>
      <c r="K193" t="s">
        <v>43</v>
      </c>
      <c r="L193" s="27" t="s">
        <v>45</v>
      </c>
      <c r="M193" t="s">
        <v>46</v>
      </c>
      <c r="N193" t="s">
        <v>89</v>
      </c>
      <c r="O193" t="s">
        <v>60</v>
      </c>
      <c r="P193" t="s">
        <v>89</v>
      </c>
      <c r="Q193" t="s">
        <v>769</v>
      </c>
      <c r="R193">
        <v>3</v>
      </c>
      <c r="S193" s="1">
        <v>250000</v>
      </c>
      <c r="T193" s="1">
        <f ca="1">ROUND(T_EMPLOYEES[[#This Row],[EMP_CTC1]]/12, 0)</f>
        <v>20833</v>
      </c>
      <c r="U193" s="1">
        <v>150000</v>
      </c>
      <c r="V193" s="1" t="s">
        <v>207</v>
      </c>
      <c r="W193" s="1" t="s">
        <v>207</v>
      </c>
      <c r="X19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Sreenidhi B K (1025016)</v>
      </c>
      <c r="Y193">
        <v>100000</v>
      </c>
      <c r="Z193" s="29">
        <f t="shared" ca="1" si="3"/>
        <v>40</v>
      </c>
      <c r="AA193">
        <f ca="1">IF(T_EMPLOYEES[[#This Row],[EMPLOYEE NUMBER]]="","",ROW(T_EMPLOYEES[[#This Row],[EMPLOYEE LABEL]])-ROW(T_EMPLOYEES[[#Headers],[EMPLOYEE LABEL]]))</f>
        <v>190</v>
      </c>
      <c r="AB193">
        <f ca="1">IF(T_EMPLOYEES[[#This Row],[EMPLOYEE NUMBER]]="","",IF(COUNTIF(T_EMPLOYEES[EMPLOYEE NUMBER],T_EMPLOYEES[[#This Row],[EMPLOYEE NUMBER]])&gt;1,1,0))</f>
        <v>0</v>
      </c>
      <c r="AC193">
        <f ca="1">IF(T_EMPLOYEES[[#This Row],[EMPLOYEE NUMBER]]="","",IF(AND(T_EMPLOYEES[[#This Row],[DATE OF BIRTH]]&gt;0,T_EMPLOYEES[[#This Row],[DATE OF BIRTH]]&lt;TODAY()),0,1))</f>
        <v>0</v>
      </c>
      <c r="AD193">
        <f ca="1">IF(T_EMPLOYEES[[#This Row],[EMPLOYEE NUMBER]]="","",IF(AND(T_EMPLOYEES[[#This Row],[START DATE]]&gt;0,T_EMPLOYEES[[#This Row],[START DATE]]&lt;TODAY()+60),0,1))</f>
        <v>0</v>
      </c>
      <c r="AE193">
        <f ca="1">IF(T_EMPLOYEES[[#This Row],[EMPLOYEE NUMBER]]="","",MATCH(T_EMPLOYEES[[#This Row],[GENDER]],L_GENDER,0))</f>
        <v>1</v>
      </c>
      <c r="AF193">
        <f ca="1">IF(T_EMPLOYEES[[#This Row],[EMPLOYEE NUMBER]]="","",MATCH(T_EMPLOYEES[[#This Row],[HIRE SOURCE]],L_HIRESOURCE,0))</f>
        <v>4</v>
      </c>
      <c r="AG193">
        <f ca="1">IF(T_EMPLOYEES[[#This Row],[EMPLOYEE NUMBER]]="","",MATCH(T_EMPLOYEES[[#This Row],[ETHNICITY]],L_ETHNICITY,0))</f>
        <v>3</v>
      </c>
      <c r="AH193">
        <f ca="1">IF(T_EMPLOYEES[[#This Row],[EMPLOYEE NUMBER]]="","",MATCH(T_EMPLOYEES[[#This Row],[LOCATION]],L_LOCATION,0))</f>
        <v>2</v>
      </c>
      <c r="AI193">
        <f ca="1">IF(T_EMPLOYEES[[#This Row],[EMPLOYEE NUMBER]]="","",MATCH(T_EMPLOYEES[[#This Row],[DEPARTMENT]],L_DEPARTMENT,0))</f>
        <v>2</v>
      </c>
      <c r="AJ193">
        <f ca="1">IF(T_EMPLOYEES[[#This Row],[EMPLOYEE NUMBER]]="","",MATCH(T_EMPLOYEES[[#This Row],[JOB TYPE]],L_JOBTYPE,0))</f>
        <v>2</v>
      </c>
      <c r="AK193">
        <f ca="1">IF(T_EMPLOYEES[[#This Row],[EMPLOYEE NUMBER]]="","",MATCH(T_EMPLOYEES[[#This Row],[JOB CATEGORY]],L_JOBCATEGORY,0))</f>
        <v>6</v>
      </c>
      <c r="AL193">
        <f ca="1">IF(T_EMPLOYEES[[#This Row],[EMPLOYEE NUMBER]]="","",MATCH(T_EMPLOYEES[[#This Row],[JOB LEVEL]],L_JOBLEVEL,0))</f>
        <v>3</v>
      </c>
      <c r="AM193">
        <f ca="1">IF(T_EMPLOYEES[[#This Row],[EMPLOYEE NUMBER]]="","",MATCH(T_EMPLOYEES[[#This Row],[JOB TITLE]],L_JOBTITLE,0))</f>
        <v>6</v>
      </c>
      <c r="AN193">
        <f ca="1">IF(T_EMPLOYEES[[#This Row],[EMPLOYEE NUMBER]]="","",MATCH(T_EMPLOYEES[[#This Row],[MANAGER]],L_EMPLABELS,0))</f>
        <v>226</v>
      </c>
      <c r="AO193">
        <f ca="1">IF(T_EMPLOYEES[[#This Row],[EMPLOYEE NUMBER]]="","",IF(T_EMPLOYEES[[#This Row],[ERROR]]="",0,1))</f>
        <v>0</v>
      </c>
      <c r="AP19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4" spans="1:42">
      <c r="A194" t="s">
        <v>770</v>
      </c>
      <c r="B194" t="s">
        <v>771</v>
      </c>
      <c r="C194">
        <v>1020749</v>
      </c>
      <c r="D194" t="s">
        <v>772</v>
      </c>
      <c r="E194" s="26">
        <v>33297</v>
      </c>
      <c r="F194" s="26">
        <v>43311</v>
      </c>
      <c r="H194" t="s">
        <v>40</v>
      </c>
      <c r="I194" t="s">
        <v>54</v>
      </c>
      <c r="J194" t="s">
        <v>64</v>
      </c>
      <c r="K194" t="s">
        <v>30</v>
      </c>
      <c r="L194" s="27" t="s">
        <v>45</v>
      </c>
      <c r="M194" t="s">
        <v>46</v>
      </c>
      <c r="N194" t="s">
        <v>111</v>
      </c>
      <c r="O194" t="s">
        <v>71</v>
      </c>
      <c r="P194" t="s">
        <v>111</v>
      </c>
      <c r="Q194" t="s">
        <v>431</v>
      </c>
      <c r="R194" s="27">
        <v>5</v>
      </c>
      <c r="S194" s="1">
        <v>250000</v>
      </c>
      <c r="T194" s="1">
        <f ca="1">ROUND(T_EMPLOYEES[[#This Row],[EMP_CTC1]]/12, 0)</f>
        <v>20833</v>
      </c>
      <c r="U194" s="1">
        <v>150000</v>
      </c>
      <c r="V194" s="1" t="s">
        <v>207</v>
      </c>
      <c r="W194" s="1" t="s">
        <v>432</v>
      </c>
      <c r="X19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Mudigolam  Silpa (1020749)</v>
      </c>
      <c r="Y194">
        <v>100000</v>
      </c>
      <c r="Z194" s="29">
        <f t="shared" ca="1" si="3"/>
        <v>40</v>
      </c>
      <c r="AA194">
        <f ca="1">IF(T_EMPLOYEES[[#This Row],[EMPLOYEE NUMBER]]="","",ROW(T_EMPLOYEES[[#This Row],[EMPLOYEE LABEL]])-ROW(T_EMPLOYEES[[#Headers],[EMPLOYEE LABEL]]))</f>
        <v>191</v>
      </c>
      <c r="AB194">
        <f ca="1">IF(T_EMPLOYEES[[#This Row],[EMPLOYEE NUMBER]]="","",IF(COUNTIF(T_EMPLOYEES[EMPLOYEE NUMBER],T_EMPLOYEES[[#This Row],[EMPLOYEE NUMBER]])&gt;1,1,0))</f>
        <v>0</v>
      </c>
      <c r="AC194">
        <f ca="1">IF(T_EMPLOYEES[[#This Row],[EMPLOYEE NUMBER]]="","",IF(AND(T_EMPLOYEES[[#This Row],[DATE OF BIRTH]]&gt;0,T_EMPLOYEES[[#This Row],[DATE OF BIRTH]]&lt;TODAY()),0,1))</f>
        <v>0</v>
      </c>
      <c r="AD194">
        <f ca="1">IF(T_EMPLOYEES[[#This Row],[EMPLOYEE NUMBER]]="","",IF(AND(T_EMPLOYEES[[#This Row],[START DATE]]&gt;0,T_EMPLOYEES[[#This Row],[START DATE]]&lt;TODAY()+60),0,1))</f>
        <v>0</v>
      </c>
      <c r="AE194">
        <f ca="1">IF(T_EMPLOYEES[[#This Row],[EMPLOYEE NUMBER]]="","",MATCH(T_EMPLOYEES[[#This Row],[GENDER]],L_GENDER,0))</f>
        <v>2</v>
      </c>
      <c r="AF194">
        <f ca="1">IF(T_EMPLOYEES[[#This Row],[EMPLOYEE NUMBER]]="","",MATCH(T_EMPLOYEES[[#This Row],[HIRE SOURCE]],L_HIRESOURCE,0))</f>
        <v>4</v>
      </c>
      <c r="AG194">
        <f ca="1">IF(T_EMPLOYEES[[#This Row],[EMPLOYEE NUMBER]]="","",MATCH(T_EMPLOYEES[[#This Row],[ETHNICITY]],L_ETHNICITY,0))</f>
        <v>3</v>
      </c>
      <c r="AH194">
        <f ca="1">IF(T_EMPLOYEES[[#This Row],[EMPLOYEE NUMBER]]="","",MATCH(T_EMPLOYEES[[#This Row],[LOCATION]],L_LOCATION,0))</f>
        <v>1</v>
      </c>
      <c r="AI194">
        <f ca="1">IF(T_EMPLOYEES[[#This Row],[EMPLOYEE NUMBER]]="","",MATCH(T_EMPLOYEES[[#This Row],[DEPARTMENT]],L_DEPARTMENT,0))</f>
        <v>2</v>
      </c>
      <c r="AJ194">
        <f ca="1">IF(T_EMPLOYEES[[#This Row],[EMPLOYEE NUMBER]]="","",MATCH(T_EMPLOYEES[[#This Row],[JOB TYPE]],L_JOBTYPE,0))</f>
        <v>2</v>
      </c>
      <c r="AK194">
        <f ca="1">IF(T_EMPLOYEES[[#This Row],[EMPLOYEE NUMBER]]="","",MATCH(T_EMPLOYEES[[#This Row],[JOB CATEGORY]],L_JOBCATEGORY,0))</f>
        <v>10</v>
      </c>
      <c r="AL194">
        <f ca="1">IF(T_EMPLOYEES[[#This Row],[EMPLOYEE NUMBER]]="","",MATCH(T_EMPLOYEES[[#This Row],[JOB LEVEL]],L_JOBLEVEL,0))</f>
        <v>4</v>
      </c>
      <c r="AM194">
        <f ca="1">IF(T_EMPLOYEES[[#This Row],[EMPLOYEE NUMBER]]="","",MATCH(T_EMPLOYEES[[#This Row],[JOB TITLE]],L_JOBTITLE,0))</f>
        <v>10</v>
      </c>
      <c r="AN194">
        <f ca="1">IF(T_EMPLOYEES[[#This Row],[EMPLOYEE NUMBER]]="","",MATCH(T_EMPLOYEES[[#This Row],[MANAGER]],L_EMPLABELS,0))</f>
        <v>87</v>
      </c>
      <c r="AO194">
        <f ca="1">IF(T_EMPLOYEES[[#This Row],[EMPLOYEE NUMBER]]="","",IF(T_EMPLOYEES[[#This Row],[ERROR]]="",0,1))</f>
        <v>0</v>
      </c>
      <c r="AP19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5" spans="1:42">
      <c r="A195" t="s">
        <v>773</v>
      </c>
      <c r="B195" t="s">
        <v>763</v>
      </c>
      <c r="C195">
        <v>1028711</v>
      </c>
      <c r="D195" t="s">
        <v>774</v>
      </c>
      <c r="E195" s="26">
        <v>33297</v>
      </c>
      <c r="F195" s="26">
        <v>44650</v>
      </c>
      <c r="H195" t="s">
        <v>27</v>
      </c>
      <c r="I195" t="s">
        <v>54</v>
      </c>
      <c r="J195" t="s">
        <v>64</v>
      </c>
      <c r="K195" t="s">
        <v>30</v>
      </c>
      <c r="L195" s="27" t="s">
        <v>45</v>
      </c>
      <c r="M195" t="s">
        <v>46</v>
      </c>
      <c r="N195" t="s">
        <v>131</v>
      </c>
      <c r="O195" t="s">
        <v>60</v>
      </c>
      <c r="P195" t="s">
        <v>131</v>
      </c>
      <c r="Q195" t="s">
        <v>304</v>
      </c>
      <c r="R195">
        <v>3</v>
      </c>
      <c r="S195" s="1">
        <v>250000</v>
      </c>
      <c r="T195" s="1">
        <f ca="1">ROUND(T_EMPLOYEES[[#This Row],[EMP_CTC1]]/12, 0)</f>
        <v>20833</v>
      </c>
      <c r="U195" s="1">
        <v>150000</v>
      </c>
      <c r="V195" s="1" t="s">
        <v>207</v>
      </c>
      <c r="W195" s="1" t="s">
        <v>207</v>
      </c>
      <c r="X19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Vikash  Kumar (1028711)</v>
      </c>
      <c r="Y195">
        <v>100000</v>
      </c>
      <c r="Z195" s="29">
        <f t="shared" ca="1" si="3"/>
        <v>40</v>
      </c>
      <c r="AA195">
        <f ca="1">IF(T_EMPLOYEES[[#This Row],[EMPLOYEE NUMBER]]="","",ROW(T_EMPLOYEES[[#This Row],[EMPLOYEE LABEL]])-ROW(T_EMPLOYEES[[#Headers],[EMPLOYEE LABEL]]))</f>
        <v>192</v>
      </c>
      <c r="AB195">
        <f ca="1">IF(T_EMPLOYEES[[#This Row],[EMPLOYEE NUMBER]]="","",IF(COUNTIF(T_EMPLOYEES[EMPLOYEE NUMBER],T_EMPLOYEES[[#This Row],[EMPLOYEE NUMBER]])&gt;1,1,0))</f>
        <v>0</v>
      </c>
      <c r="AC195">
        <f ca="1">IF(T_EMPLOYEES[[#This Row],[EMPLOYEE NUMBER]]="","",IF(AND(T_EMPLOYEES[[#This Row],[DATE OF BIRTH]]&gt;0,T_EMPLOYEES[[#This Row],[DATE OF BIRTH]]&lt;TODAY()),0,1))</f>
        <v>0</v>
      </c>
      <c r="AD195">
        <f ca="1">IF(T_EMPLOYEES[[#This Row],[EMPLOYEE NUMBER]]="","",IF(AND(T_EMPLOYEES[[#This Row],[START DATE]]&gt;0,T_EMPLOYEES[[#This Row],[START DATE]]&lt;TODAY()+60),0,1))</f>
        <v>0</v>
      </c>
      <c r="AE195">
        <f ca="1">IF(T_EMPLOYEES[[#This Row],[EMPLOYEE NUMBER]]="","",MATCH(T_EMPLOYEES[[#This Row],[GENDER]],L_GENDER,0))</f>
        <v>1</v>
      </c>
      <c r="AF195">
        <f ca="1">IF(T_EMPLOYEES[[#This Row],[EMPLOYEE NUMBER]]="","",MATCH(T_EMPLOYEES[[#This Row],[HIRE SOURCE]],L_HIRESOURCE,0))</f>
        <v>4</v>
      </c>
      <c r="AG195">
        <f ca="1">IF(T_EMPLOYEES[[#This Row],[EMPLOYEE NUMBER]]="","",MATCH(T_EMPLOYEES[[#This Row],[ETHNICITY]],L_ETHNICITY,0))</f>
        <v>3</v>
      </c>
      <c r="AH195">
        <f ca="1">IF(T_EMPLOYEES[[#This Row],[EMPLOYEE NUMBER]]="","",MATCH(T_EMPLOYEES[[#This Row],[LOCATION]],L_LOCATION,0))</f>
        <v>1</v>
      </c>
      <c r="AI195">
        <f ca="1">IF(T_EMPLOYEES[[#This Row],[EMPLOYEE NUMBER]]="","",MATCH(T_EMPLOYEES[[#This Row],[DEPARTMENT]],L_DEPARTMENT,0))</f>
        <v>2</v>
      </c>
      <c r="AJ195">
        <f ca="1">IF(T_EMPLOYEES[[#This Row],[EMPLOYEE NUMBER]]="","",MATCH(T_EMPLOYEES[[#This Row],[JOB TYPE]],L_JOBTYPE,0))</f>
        <v>2</v>
      </c>
      <c r="AK195">
        <f ca="1">IF(T_EMPLOYEES[[#This Row],[EMPLOYEE NUMBER]]="","",MATCH(T_EMPLOYEES[[#This Row],[JOB CATEGORY]],L_JOBCATEGORY,0))</f>
        <v>16</v>
      </c>
      <c r="AL195">
        <f ca="1">IF(T_EMPLOYEES[[#This Row],[EMPLOYEE NUMBER]]="","",MATCH(T_EMPLOYEES[[#This Row],[JOB LEVEL]],L_JOBLEVEL,0))</f>
        <v>3</v>
      </c>
      <c r="AM195">
        <f ca="1">IF(T_EMPLOYEES[[#This Row],[EMPLOYEE NUMBER]]="","",MATCH(T_EMPLOYEES[[#This Row],[JOB TITLE]],L_JOBTITLE,0))</f>
        <v>16</v>
      </c>
      <c r="AN195">
        <f ca="1">IF(T_EMPLOYEES[[#This Row],[EMPLOYEE NUMBER]]="","",MATCH(T_EMPLOYEES[[#This Row],[MANAGER]],L_EMPLABELS,0))</f>
        <v>27</v>
      </c>
      <c r="AO195">
        <f ca="1">IF(T_EMPLOYEES[[#This Row],[EMPLOYEE NUMBER]]="","",IF(T_EMPLOYEES[[#This Row],[ERROR]]="",0,1))</f>
        <v>0</v>
      </c>
      <c r="AP19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6" spans="1:42">
      <c r="A196" t="s">
        <v>775</v>
      </c>
      <c r="B196" t="s">
        <v>776</v>
      </c>
      <c r="C196">
        <v>1024823</v>
      </c>
      <c r="D196" t="s">
        <v>777</v>
      </c>
      <c r="E196" s="26">
        <v>33334</v>
      </c>
      <c r="F196" s="26">
        <v>44273</v>
      </c>
      <c r="H196" t="s">
        <v>27</v>
      </c>
      <c r="I196" t="s">
        <v>54</v>
      </c>
      <c r="J196" t="s">
        <v>64</v>
      </c>
      <c r="K196" t="s">
        <v>30</v>
      </c>
      <c r="L196" s="27" t="s">
        <v>45</v>
      </c>
      <c r="M196" t="s">
        <v>46</v>
      </c>
      <c r="N196" t="s">
        <v>89</v>
      </c>
      <c r="O196" t="s">
        <v>60</v>
      </c>
      <c r="P196" t="s">
        <v>89</v>
      </c>
      <c r="Q196" t="s">
        <v>778</v>
      </c>
      <c r="R196" s="27">
        <v>3</v>
      </c>
      <c r="S196" s="1">
        <v>250000</v>
      </c>
      <c r="T196" s="1">
        <f ca="1">ROUND(T_EMPLOYEES[[#This Row],[EMP_CTC1]]/12, 0)</f>
        <v>20833</v>
      </c>
      <c r="U196" s="1">
        <v>150000</v>
      </c>
      <c r="V196" s="1" t="s">
        <v>207</v>
      </c>
      <c r="W196" s="1" t="s">
        <v>207</v>
      </c>
      <c r="X19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Pasunoori  Vijaykumar (1024823)</v>
      </c>
      <c r="Y196">
        <v>100000</v>
      </c>
      <c r="Z196" s="29">
        <f t="shared" ca="1" si="3"/>
        <v>40</v>
      </c>
      <c r="AA196">
        <f ca="1">IF(T_EMPLOYEES[[#This Row],[EMPLOYEE NUMBER]]="","",ROW(T_EMPLOYEES[[#This Row],[EMPLOYEE LABEL]])-ROW(T_EMPLOYEES[[#Headers],[EMPLOYEE LABEL]]))</f>
        <v>193</v>
      </c>
      <c r="AB196">
        <f ca="1">IF(T_EMPLOYEES[[#This Row],[EMPLOYEE NUMBER]]="","",IF(COUNTIF(T_EMPLOYEES[EMPLOYEE NUMBER],T_EMPLOYEES[[#This Row],[EMPLOYEE NUMBER]])&gt;1,1,0))</f>
        <v>0</v>
      </c>
      <c r="AC196">
        <f ca="1">IF(T_EMPLOYEES[[#This Row],[EMPLOYEE NUMBER]]="","",IF(AND(T_EMPLOYEES[[#This Row],[DATE OF BIRTH]]&gt;0,T_EMPLOYEES[[#This Row],[DATE OF BIRTH]]&lt;TODAY()),0,1))</f>
        <v>0</v>
      </c>
      <c r="AD196">
        <f ca="1">IF(T_EMPLOYEES[[#This Row],[EMPLOYEE NUMBER]]="","",IF(AND(T_EMPLOYEES[[#This Row],[START DATE]]&gt;0,T_EMPLOYEES[[#This Row],[START DATE]]&lt;TODAY()+60),0,1))</f>
        <v>0</v>
      </c>
      <c r="AE196">
        <f ca="1">IF(T_EMPLOYEES[[#This Row],[EMPLOYEE NUMBER]]="","",MATCH(T_EMPLOYEES[[#This Row],[GENDER]],L_GENDER,0))</f>
        <v>1</v>
      </c>
      <c r="AF196">
        <f ca="1">IF(T_EMPLOYEES[[#This Row],[EMPLOYEE NUMBER]]="","",MATCH(T_EMPLOYEES[[#This Row],[HIRE SOURCE]],L_HIRESOURCE,0))</f>
        <v>4</v>
      </c>
      <c r="AG196">
        <f ca="1">IF(T_EMPLOYEES[[#This Row],[EMPLOYEE NUMBER]]="","",MATCH(T_EMPLOYEES[[#This Row],[ETHNICITY]],L_ETHNICITY,0))</f>
        <v>3</v>
      </c>
      <c r="AH196">
        <f ca="1">IF(T_EMPLOYEES[[#This Row],[EMPLOYEE NUMBER]]="","",MATCH(T_EMPLOYEES[[#This Row],[LOCATION]],L_LOCATION,0))</f>
        <v>1</v>
      </c>
      <c r="AI196">
        <f ca="1">IF(T_EMPLOYEES[[#This Row],[EMPLOYEE NUMBER]]="","",MATCH(T_EMPLOYEES[[#This Row],[DEPARTMENT]],L_DEPARTMENT,0))</f>
        <v>2</v>
      </c>
      <c r="AJ196">
        <f ca="1">IF(T_EMPLOYEES[[#This Row],[EMPLOYEE NUMBER]]="","",MATCH(T_EMPLOYEES[[#This Row],[JOB TYPE]],L_JOBTYPE,0))</f>
        <v>2</v>
      </c>
      <c r="AK196">
        <f ca="1">IF(T_EMPLOYEES[[#This Row],[EMPLOYEE NUMBER]]="","",MATCH(T_EMPLOYEES[[#This Row],[JOB CATEGORY]],L_JOBCATEGORY,0))</f>
        <v>6</v>
      </c>
      <c r="AL196">
        <f ca="1">IF(T_EMPLOYEES[[#This Row],[EMPLOYEE NUMBER]]="","",MATCH(T_EMPLOYEES[[#This Row],[JOB LEVEL]],L_JOBLEVEL,0))</f>
        <v>3</v>
      </c>
      <c r="AM196">
        <f ca="1">IF(T_EMPLOYEES[[#This Row],[EMPLOYEE NUMBER]]="","",MATCH(T_EMPLOYEES[[#This Row],[JOB TITLE]],L_JOBTITLE,0))</f>
        <v>6</v>
      </c>
      <c r="AN196">
        <f ca="1">IF(T_EMPLOYEES[[#This Row],[EMPLOYEE NUMBER]]="","",MATCH(T_EMPLOYEES[[#This Row],[MANAGER]],L_EMPLABELS,0))</f>
        <v>198</v>
      </c>
      <c r="AO196">
        <f ca="1">IF(T_EMPLOYEES[[#This Row],[EMPLOYEE NUMBER]]="","",IF(T_EMPLOYEES[[#This Row],[ERROR]]="",0,1))</f>
        <v>0</v>
      </c>
      <c r="AP19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7" spans="1:42">
      <c r="A197" t="s">
        <v>779</v>
      </c>
      <c r="B197" t="s">
        <v>780</v>
      </c>
      <c r="C197">
        <v>1022330</v>
      </c>
      <c r="D197" t="s">
        <v>781</v>
      </c>
      <c r="E197" s="26">
        <v>33342</v>
      </c>
      <c r="F197" s="26">
        <v>43649</v>
      </c>
      <c r="H197" t="s">
        <v>27</v>
      </c>
      <c r="I197" t="s">
        <v>54</v>
      </c>
      <c r="J197" t="s">
        <v>64</v>
      </c>
      <c r="K197" t="s">
        <v>30</v>
      </c>
      <c r="L197" s="27" t="s">
        <v>45</v>
      </c>
      <c r="M197" t="s">
        <v>46</v>
      </c>
      <c r="N197" t="s">
        <v>111</v>
      </c>
      <c r="O197" t="s">
        <v>71</v>
      </c>
      <c r="P197" t="s">
        <v>111</v>
      </c>
      <c r="Q197" t="s">
        <v>574</v>
      </c>
      <c r="R197">
        <v>5</v>
      </c>
      <c r="S197" s="1">
        <v>250000</v>
      </c>
      <c r="T197" s="1">
        <f ca="1">ROUND(T_EMPLOYEES[[#This Row],[EMP_CTC1]]/12, 0)</f>
        <v>20833</v>
      </c>
      <c r="U197" s="1">
        <v>150000</v>
      </c>
      <c r="V197" s="1" t="s">
        <v>207</v>
      </c>
      <c r="W197" s="1" t="s">
        <v>207</v>
      </c>
      <c r="X19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Koppala Bayapu Reddy (1022330)</v>
      </c>
      <c r="Y197">
        <v>100000</v>
      </c>
      <c r="Z197" s="29">
        <f t="shared" ca="1" si="3"/>
        <v>40</v>
      </c>
      <c r="AA197">
        <f ca="1">IF(T_EMPLOYEES[[#This Row],[EMPLOYEE NUMBER]]="","",ROW(T_EMPLOYEES[[#This Row],[EMPLOYEE LABEL]])-ROW(T_EMPLOYEES[[#Headers],[EMPLOYEE LABEL]]))</f>
        <v>194</v>
      </c>
      <c r="AB197">
        <f ca="1">IF(T_EMPLOYEES[[#This Row],[EMPLOYEE NUMBER]]="","",IF(COUNTIF(T_EMPLOYEES[EMPLOYEE NUMBER],T_EMPLOYEES[[#This Row],[EMPLOYEE NUMBER]])&gt;1,1,0))</f>
        <v>0</v>
      </c>
      <c r="AC197">
        <f ca="1">IF(T_EMPLOYEES[[#This Row],[EMPLOYEE NUMBER]]="","",IF(AND(T_EMPLOYEES[[#This Row],[DATE OF BIRTH]]&gt;0,T_EMPLOYEES[[#This Row],[DATE OF BIRTH]]&lt;TODAY()),0,1))</f>
        <v>0</v>
      </c>
      <c r="AD197">
        <f ca="1">IF(T_EMPLOYEES[[#This Row],[EMPLOYEE NUMBER]]="","",IF(AND(T_EMPLOYEES[[#This Row],[START DATE]]&gt;0,T_EMPLOYEES[[#This Row],[START DATE]]&lt;TODAY()+60),0,1))</f>
        <v>0</v>
      </c>
      <c r="AE197">
        <f ca="1">IF(T_EMPLOYEES[[#This Row],[EMPLOYEE NUMBER]]="","",MATCH(T_EMPLOYEES[[#This Row],[GENDER]],L_GENDER,0))</f>
        <v>1</v>
      </c>
      <c r="AF197">
        <f ca="1">IF(T_EMPLOYEES[[#This Row],[EMPLOYEE NUMBER]]="","",MATCH(T_EMPLOYEES[[#This Row],[HIRE SOURCE]],L_HIRESOURCE,0))</f>
        <v>4</v>
      </c>
      <c r="AG197">
        <f ca="1">IF(T_EMPLOYEES[[#This Row],[EMPLOYEE NUMBER]]="","",MATCH(T_EMPLOYEES[[#This Row],[ETHNICITY]],L_ETHNICITY,0))</f>
        <v>3</v>
      </c>
      <c r="AH197">
        <f ca="1">IF(T_EMPLOYEES[[#This Row],[EMPLOYEE NUMBER]]="","",MATCH(T_EMPLOYEES[[#This Row],[LOCATION]],L_LOCATION,0))</f>
        <v>1</v>
      </c>
      <c r="AI197">
        <f ca="1">IF(T_EMPLOYEES[[#This Row],[EMPLOYEE NUMBER]]="","",MATCH(T_EMPLOYEES[[#This Row],[DEPARTMENT]],L_DEPARTMENT,0))</f>
        <v>2</v>
      </c>
      <c r="AJ197">
        <f ca="1">IF(T_EMPLOYEES[[#This Row],[EMPLOYEE NUMBER]]="","",MATCH(T_EMPLOYEES[[#This Row],[JOB TYPE]],L_JOBTYPE,0))</f>
        <v>2</v>
      </c>
      <c r="AK197">
        <f ca="1">IF(T_EMPLOYEES[[#This Row],[EMPLOYEE NUMBER]]="","",MATCH(T_EMPLOYEES[[#This Row],[JOB CATEGORY]],L_JOBCATEGORY,0))</f>
        <v>10</v>
      </c>
      <c r="AL197">
        <f ca="1">IF(T_EMPLOYEES[[#This Row],[EMPLOYEE NUMBER]]="","",MATCH(T_EMPLOYEES[[#This Row],[JOB LEVEL]],L_JOBLEVEL,0))</f>
        <v>4</v>
      </c>
      <c r="AM197">
        <f ca="1">IF(T_EMPLOYEES[[#This Row],[EMPLOYEE NUMBER]]="","",MATCH(T_EMPLOYEES[[#This Row],[JOB TITLE]],L_JOBTITLE,0))</f>
        <v>10</v>
      </c>
      <c r="AN197">
        <f ca="1">IF(T_EMPLOYEES[[#This Row],[EMPLOYEE NUMBER]]="","",MATCH(T_EMPLOYEES[[#This Row],[MANAGER]],L_EMPLABELS,0))</f>
        <v>107</v>
      </c>
      <c r="AO197">
        <f ca="1">IF(T_EMPLOYEES[[#This Row],[EMPLOYEE NUMBER]]="","",IF(T_EMPLOYEES[[#This Row],[ERROR]]="",0,1))</f>
        <v>0</v>
      </c>
      <c r="AP19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8" spans="1:42">
      <c r="A198" t="s">
        <v>782</v>
      </c>
      <c r="B198" t="s">
        <v>783</v>
      </c>
      <c r="C198">
        <v>1033588</v>
      </c>
      <c r="D198" t="s">
        <v>784</v>
      </c>
      <c r="E198" s="26">
        <v>33399</v>
      </c>
      <c r="F198" s="26">
        <v>45194</v>
      </c>
      <c r="H198" t="s">
        <v>40</v>
      </c>
      <c r="I198" t="s">
        <v>54</v>
      </c>
      <c r="J198" t="s">
        <v>64</v>
      </c>
      <c r="K198" t="s">
        <v>30</v>
      </c>
      <c r="L198" s="27" t="s">
        <v>45</v>
      </c>
      <c r="M198" t="s">
        <v>46</v>
      </c>
      <c r="N198" t="s">
        <v>111</v>
      </c>
      <c r="O198" t="s">
        <v>71</v>
      </c>
      <c r="P198" t="s">
        <v>111</v>
      </c>
      <c r="Q198" t="s">
        <v>333</v>
      </c>
      <c r="R198" s="27">
        <v>5</v>
      </c>
      <c r="S198" s="1">
        <v>250000</v>
      </c>
      <c r="T198" s="1">
        <f ca="1">ROUND(T_EMPLOYEES[[#This Row],[EMP_CTC1]]/12, 0)</f>
        <v>20833</v>
      </c>
      <c r="U198" s="1">
        <v>150000</v>
      </c>
      <c r="V198" s="1" t="s">
        <v>207</v>
      </c>
      <c r="W198" s="1" t="s">
        <v>207</v>
      </c>
      <c r="X19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Jayasudha  T (1033588)</v>
      </c>
      <c r="Y198">
        <v>100000</v>
      </c>
      <c r="Z198" s="29">
        <f t="shared" ref="Z198:Z261" ca="1" si="4">(S198 - U198)/S198 * 100</f>
        <v>40</v>
      </c>
      <c r="AA198">
        <f ca="1">IF(T_EMPLOYEES[[#This Row],[EMPLOYEE NUMBER]]="","",ROW(T_EMPLOYEES[[#This Row],[EMPLOYEE LABEL]])-ROW(T_EMPLOYEES[[#Headers],[EMPLOYEE LABEL]]))</f>
        <v>195</v>
      </c>
      <c r="AB198">
        <f ca="1">IF(T_EMPLOYEES[[#This Row],[EMPLOYEE NUMBER]]="","",IF(COUNTIF(T_EMPLOYEES[EMPLOYEE NUMBER],T_EMPLOYEES[[#This Row],[EMPLOYEE NUMBER]])&gt;1,1,0))</f>
        <v>0</v>
      </c>
      <c r="AC198">
        <f ca="1">IF(T_EMPLOYEES[[#This Row],[EMPLOYEE NUMBER]]="","",IF(AND(T_EMPLOYEES[[#This Row],[DATE OF BIRTH]]&gt;0,T_EMPLOYEES[[#This Row],[DATE OF BIRTH]]&lt;TODAY()),0,1))</f>
        <v>0</v>
      </c>
      <c r="AD198">
        <f ca="1">IF(T_EMPLOYEES[[#This Row],[EMPLOYEE NUMBER]]="","",IF(AND(T_EMPLOYEES[[#This Row],[START DATE]]&gt;0,T_EMPLOYEES[[#This Row],[START DATE]]&lt;TODAY()+60),0,1))</f>
        <v>0</v>
      </c>
      <c r="AE198">
        <f ca="1">IF(T_EMPLOYEES[[#This Row],[EMPLOYEE NUMBER]]="","",MATCH(T_EMPLOYEES[[#This Row],[GENDER]],L_GENDER,0))</f>
        <v>2</v>
      </c>
      <c r="AF198">
        <f ca="1">IF(T_EMPLOYEES[[#This Row],[EMPLOYEE NUMBER]]="","",MATCH(T_EMPLOYEES[[#This Row],[HIRE SOURCE]],L_HIRESOURCE,0))</f>
        <v>4</v>
      </c>
      <c r="AG198">
        <f ca="1">IF(T_EMPLOYEES[[#This Row],[EMPLOYEE NUMBER]]="","",MATCH(T_EMPLOYEES[[#This Row],[ETHNICITY]],L_ETHNICITY,0))</f>
        <v>3</v>
      </c>
      <c r="AH198">
        <f ca="1">IF(T_EMPLOYEES[[#This Row],[EMPLOYEE NUMBER]]="","",MATCH(T_EMPLOYEES[[#This Row],[LOCATION]],L_LOCATION,0))</f>
        <v>1</v>
      </c>
      <c r="AI198">
        <f ca="1">IF(T_EMPLOYEES[[#This Row],[EMPLOYEE NUMBER]]="","",MATCH(T_EMPLOYEES[[#This Row],[DEPARTMENT]],L_DEPARTMENT,0))</f>
        <v>2</v>
      </c>
      <c r="AJ198">
        <f ca="1">IF(T_EMPLOYEES[[#This Row],[EMPLOYEE NUMBER]]="","",MATCH(T_EMPLOYEES[[#This Row],[JOB TYPE]],L_JOBTYPE,0))</f>
        <v>2</v>
      </c>
      <c r="AK198">
        <f ca="1">IF(T_EMPLOYEES[[#This Row],[EMPLOYEE NUMBER]]="","",MATCH(T_EMPLOYEES[[#This Row],[JOB CATEGORY]],L_JOBCATEGORY,0))</f>
        <v>10</v>
      </c>
      <c r="AL198">
        <f ca="1">IF(T_EMPLOYEES[[#This Row],[EMPLOYEE NUMBER]]="","",MATCH(T_EMPLOYEES[[#This Row],[JOB LEVEL]],L_JOBLEVEL,0))</f>
        <v>4</v>
      </c>
      <c r="AM198">
        <f ca="1">IF(T_EMPLOYEES[[#This Row],[EMPLOYEE NUMBER]]="","",MATCH(T_EMPLOYEES[[#This Row],[JOB TITLE]],L_JOBTITLE,0))</f>
        <v>10</v>
      </c>
      <c r="AN198">
        <f ca="1">IF(T_EMPLOYEES[[#This Row],[EMPLOYEE NUMBER]]="","",MATCH(T_EMPLOYEES[[#This Row],[MANAGER]],L_EMPLABELS,0))</f>
        <v>17</v>
      </c>
      <c r="AO198">
        <f ca="1">IF(T_EMPLOYEES[[#This Row],[EMPLOYEE NUMBER]]="","",IF(T_EMPLOYEES[[#This Row],[ERROR]]="",0,1))</f>
        <v>0</v>
      </c>
      <c r="AP19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9" spans="1:42">
      <c r="A199" t="s">
        <v>785</v>
      </c>
      <c r="B199" t="s">
        <v>786</v>
      </c>
      <c r="C199">
        <v>1031851</v>
      </c>
      <c r="D199" t="s">
        <v>787</v>
      </c>
      <c r="E199" s="26">
        <v>33408</v>
      </c>
      <c r="F199" s="26">
        <v>44914</v>
      </c>
      <c r="H199" t="s">
        <v>27</v>
      </c>
      <c r="I199" t="s">
        <v>54</v>
      </c>
      <c r="J199" t="s">
        <v>64</v>
      </c>
      <c r="K199" t="s">
        <v>30</v>
      </c>
      <c r="L199" s="27" t="s">
        <v>45</v>
      </c>
      <c r="M199" t="s">
        <v>46</v>
      </c>
      <c r="N199" t="s">
        <v>155</v>
      </c>
      <c r="O199" t="s">
        <v>71</v>
      </c>
      <c r="P199" t="s">
        <v>155</v>
      </c>
      <c r="Q199" t="s">
        <v>448</v>
      </c>
      <c r="R199">
        <v>5</v>
      </c>
      <c r="S199" s="1">
        <v>250000</v>
      </c>
      <c r="T199" s="1">
        <f ca="1">ROUND(T_EMPLOYEES[[#This Row],[EMP_CTC1]]/12, 0)</f>
        <v>20833</v>
      </c>
      <c r="U199" s="1">
        <v>150000</v>
      </c>
      <c r="V199" s="1" t="s">
        <v>207</v>
      </c>
      <c r="W199" s="1" t="s">
        <v>207</v>
      </c>
      <c r="X19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Shahensha Shaik Mahaboob (1031851)</v>
      </c>
      <c r="Y199">
        <v>100000</v>
      </c>
      <c r="Z199" s="29">
        <f t="shared" ca="1" si="4"/>
        <v>40</v>
      </c>
      <c r="AA199">
        <f ca="1">IF(T_EMPLOYEES[[#This Row],[EMPLOYEE NUMBER]]="","",ROW(T_EMPLOYEES[[#This Row],[EMPLOYEE LABEL]])-ROW(T_EMPLOYEES[[#Headers],[EMPLOYEE LABEL]]))</f>
        <v>196</v>
      </c>
      <c r="AB199">
        <f ca="1">IF(T_EMPLOYEES[[#This Row],[EMPLOYEE NUMBER]]="","",IF(COUNTIF(T_EMPLOYEES[EMPLOYEE NUMBER],T_EMPLOYEES[[#This Row],[EMPLOYEE NUMBER]])&gt;1,1,0))</f>
        <v>0</v>
      </c>
      <c r="AC199">
        <f ca="1">IF(T_EMPLOYEES[[#This Row],[EMPLOYEE NUMBER]]="","",IF(AND(T_EMPLOYEES[[#This Row],[DATE OF BIRTH]]&gt;0,T_EMPLOYEES[[#This Row],[DATE OF BIRTH]]&lt;TODAY()),0,1))</f>
        <v>0</v>
      </c>
      <c r="AD199">
        <f ca="1">IF(T_EMPLOYEES[[#This Row],[EMPLOYEE NUMBER]]="","",IF(AND(T_EMPLOYEES[[#This Row],[START DATE]]&gt;0,T_EMPLOYEES[[#This Row],[START DATE]]&lt;TODAY()+60),0,1))</f>
        <v>0</v>
      </c>
      <c r="AE199">
        <f ca="1">IF(T_EMPLOYEES[[#This Row],[EMPLOYEE NUMBER]]="","",MATCH(T_EMPLOYEES[[#This Row],[GENDER]],L_GENDER,0))</f>
        <v>1</v>
      </c>
      <c r="AF199">
        <f ca="1">IF(T_EMPLOYEES[[#This Row],[EMPLOYEE NUMBER]]="","",MATCH(T_EMPLOYEES[[#This Row],[HIRE SOURCE]],L_HIRESOURCE,0))</f>
        <v>4</v>
      </c>
      <c r="AG199">
        <f ca="1">IF(T_EMPLOYEES[[#This Row],[EMPLOYEE NUMBER]]="","",MATCH(T_EMPLOYEES[[#This Row],[ETHNICITY]],L_ETHNICITY,0))</f>
        <v>3</v>
      </c>
      <c r="AH199">
        <f ca="1">IF(T_EMPLOYEES[[#This Row],[EMPLOYEE NUMBER]]="","",MATCH(T_EMPLOYEES[[#This Row],[LOCATION]],L_LOCATION,0))</f>
        <v>1</v>
      </c>
      <c r="AI199">
        <f ca="1">IF(T_EMPLOYEES[[#This Row],[EMPLOYEE NUMBER]]="","",MATCH(T_EMPLOYEES[[#This Row],[DEPARTMENT]],L_DEPARTMENT,0))</f>
        <v>2</v>
      </c>
      <c r="AJ199">
        <f ca="1">IF(T_EMPLOYEES[[#This Row],[EMPLOYEE NUMBER]]="","",MATCH(T_EMPLOYEES[[#This Row],[JOB TYPE]],L_JOBTYPE,0))</f>
        <v>2</v>
      </c>
      <c r="AK199">
        <f ca="1">IF(T_EMPLOYEES[[#This Row],[EMPLOYEE NUMBER]]="","",MATCH(T_EMPLOYEES[[#This Row],[JOB CATEGORY]],L_JOBCATEGORY,0))</f>
        <v>34</v>
      </c>
      <c r="AL199">
        <f ca="1">IF(T_EMPLOYEES[[#This Row],[EMPLOYEE NUMBER]]="","",MATCH(T_EMPLOYEES[[#This Row],[JOB LEVEL]],L_JOBLEVEL,0))</f>
        <v>4</v>
      </c>
      <c r="AM199">
        <f ca="1">IF(T_EMPLOYEES[[#This Row],[EMPLOYEE NUMBER]]="","",MATCH(T_EMPLOYEES[[#This Row],[JOB TITLE]],L_JOBTITLE,0))</f>
        <v>34</v>
      </c>
      <c r="AN199">
        <f ca="1">IF(T_EMPLOYEES[[#This Row],[EMPLOYEE NUMBER]]="","",MATCH(T_EMPLOYEES[[#This Row],[MANAGER]],L_EMPLABELS,0))</f>
        <v>83</v>
      </c>
      <c r="AO199">
        <f ca="1">IF(T_EMPLOYEES[[#This Row],[EMPLOYEE NUMBER]]="","",IF(T_EMPLOYEES[[#This Row],[ERROR]]="",0,1))</f>
        <v>0</v>
      </c>
      <c r="AP19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0" spans="1:42">
      <c r="A200" t="s">
        <v>788</v>
      </c>
      <c r="B200" t="s">
        <v>789</v>
      </c>
      <c r="C200">
        <v>1029699</v>
      </c>
      <c r="D200" t="s">
        <v>790</v>
      </c>
      <c r="E200" s="26">
        <v>33414</v>
      </c>
      <c r="F200" s="26">
        <v>44774</v>
      </c>
      <c r="H200" t="s">
        <v>27</v>
      </c>
      <c r="I200" t="s">
        <v>54</v>
      </c>
      <c r="J200" t="s">
        <v>64</v>
      </c>
      <c r="K200" t="s">
        <v>43</v>
      </c>
      <c r="L200" s="27" t="s">
        <v>45</v>
      </c>
      <c r="M200" t="s">
        <v>46</v>
      </c>
      <c r="N200" t="s">
        <v>111</v>
      </c>
      <c r="O200" t="s">
        <v>71</v>
      </c>
      <c r="P200" t="s">
        <v>111</v>
      </c>
      <c r="Q200" t="s">
        <v>373</v>
      </c>
      <c r="R200" s="27">
        <v>5</v>
      </c>
      <c r="S200" s="1">
        <v>250000</v>
      </c>
      <c r="T200" s="1">
        <f ca="1">ROUND(T_EMPLOYEES[[#This Row],[EMP_CTC1]]/12, 0)</f>
        <v>20833</v>
      </c>
      <c r="U200" s="1">
        <v>150000</v>
      </c>
      <c r="V200" s="1" t="s">
        <v>207</v>
      </c>
      <c r="W200" s="1" t="s">
        <v>207</v>
      </c>
      <c r="X20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Hajgude Rajkumar Shankar (1029699)</v>
      </c>
      <c r="Y200">
        <v>100000</v>
      </c>
      <c r="Z200" s="29">
        <f t="shared" ca="1" si="4"/>
        <v>40</v>
      </c>
      <c r="AA200">
        <f ca="1">IF(T_EMPLOYEES[[#This Row],[EMPLOYEE NUMBER]]="","",ROW(T_EMPLOYEES[[#This Row],[EMPLOYEE LABEL]])-ROW(T_EMPLOYEES[[#Headers],[EMPLOYEE LABEL]]))</f>
        <v>197</v>
      </c>
      <c r="AB200">
        <f ca="1">IF(T_EMPLOYEES[[#This Row],[EMPLOYEE NUMBER]]="","",IF(COUNTIF(T_EMPLOYEES[EMPLOYEE NUMBER],T_EMPLOYEES[[#This Row],[EMPLOYEE NUMBER]])&gt;1,1,0))</f>
        <v>0</v>
      </c>
      <c r="AC200">
        <f ca="1">IF(T_EMPLOYEES[[#This Row],[EMPLOYEE NUMBER]]="","",IF(AND(T_EMPLOYEES[[#This Row],[DATE OF BIRTH]]&gt;0,T_EMPLOYEES[[#This Row],[DATE OF BIRTH]]&lt;TODAY()),0,1))</f>
        <v>0</v>
      </c>
      <c r="AD200">
        <f ca="1">IF(T_EMPLOYEES[[#This Row],[EMPLOYEE NUMBER]]="","",IF(AND(T_EMPLOYEES[[#This Row],[START DATE]]&gt;0,T_EMPLOYEES[[#This Row],[START DATE]]&lt;TODAY()+60),0,1))</f>
        <v>0</v>
      </c>
      <c r="AE200">
        <f ca="1">IF(T_EMPLOYEES[[#This Row],[EMPLOYEE NUMBER]]="","",MATCH(T_EMPLOYEES[[#This Row],[GENDER]],L_GENDER,0))</f>
        <v>1</v>
      </c>
      <c r="AF200">
        <f ca="1">IF(T_EMPLOYEES[[#This Row],[EMPLOYEE NUMBER]]="","",MATCH(T_EMPLOYEES[[#This Row],[HIRE SOURCE]],L_HIRESOURCE,0))</f>
        <v>4</v>
      </c>
      <c r="AG200">
        <f ca="1">IF(T_EMPLOYEES[[#This Row],[EMPLOYEE NUMBER]]="","",MATCH(T_EMPLOYEES[[#This Row],[ETHNICITY]],L_ETHNICITY,0))</f>
        <v>3</v>
      </c>
      <c r="AH200">
        <f ca="1">IF(T_EMPLOYEES[[#This Row],[EMPLOYEE NUMBER]]="","",MATCH(T_EMPLOYEES[[#This Row],[LOCATION]],L_LOCATION,0))</f>
        <v>2</v>
      </c>
      <c r="AI200">
        <f ca="1">IF(T_EMPLOYEES[[#This Row],[EMPLOYEE NUMBER]]="","",MATCH(T_EMPLOYEES[[#This Row],[DEPARTMENT]],L_DEPARTMENT,0))</f>
        <v>2</v>
      </c>
      <c r="AJ200">
        <f ca="1">IF(T_EMPLOYEES[[#This Row],[EMPLOYEE NUMBER]]="","",MATCH(T_EMPLOYEES[[#This Row],[JOB TYPE]],L_JOBTYPE,0))</f>
        <v>2</v>
      </c>
      <c r="AK200">
        <f ca="1">IF(T_EMPLOYEES[[#This Row],[EMPLOYEE NUMBER]]="","",MATCH(T_EMPLOYEES[[#This Row],[JOB CATEGORY]],L_JOBCATEGORY,0))</f>
        <v>10</v>
      </c>
      <c r="AL200">
        <f ca="1">IF(T_EMPLOYEES[[#This Row],[EMPLOYEE NUMBER]]="","",MATCH(T_EMPLOYEES[[#This Row],[JOB LEVEL]],L_JOBLEVEL,0))</f>
        <v>4</v>
      </c>
      <c r="AM200">
        <f ca="1">IF(T_EMPLOYEES[[#This Row],[EMPLOYEE NUMBER]]="","",MATCH(T_EMPLOYEES[[#This Row],[JOB TITLE]],L_JOBTITLE,0))</f>
        <v>10</v>
      </c>
      <c r="AN200">
        <f ca="1">IF(T_EMPLOYEES[[#This Row],[EMPLOYEE NUMBER]]="","",MATCH(T_EMPLOYEES[[#This Row],[MANAGER]],L_EMPLABELS,0))</f>
        <v>9</v>
      </c>
      <c r="AO200">
        <f ca="1">IF(T_EMPLOYEES[[#This Row],[EMPLOYEE NUMBER]]="","",IF(T_EMPLOYEES[[#This Row],[ERROR]]="",0,1))</f>
        <v>0</v>
      </c>
      <c r="AP20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1" spans="1:42">
      <c r="A201" t="s">
        <v>791</v>
      </c>
      <c r="B201" t="s">
        <v>792</v>
      </c>
      <c r="C201">
        <v>1025070</v>
      </c>
      <c r="D201" t="s">
        <v>793</v>
      </c>
      <c r="E201" s="26">
        <v>33416</v>
      </c>
      <c r="F201" s="26">
        <v>44302</v>
      </c>
      <c r="H201" t="s">
        <v>27</v>
      </c>
      <c r="I201" t="s">
        <v>54</v>
      </c>
      <c r="J201" t="s">
        <v>64</v>
      </c>
      <c r="K201" t="s">
        <v>30</v>
      </c>
      <c r="L201" s="27" t="s">
        <v>45</v>
      </c>
      <c r="M201" t="s">
        <v>46</v>
      </c>
      <c r="N201" t="s">
        <v>125</v>
      </c>
      <c r="O201" t="s">
        <v>71</v>
      </c>
      <c r="P201" t="s">
        <v>125</v>
      </c>
      <c r="Q201" t="s">
        <v>418</v>
      </c>
      <c r="R201">
        <v>5</v>
      </c>
      <c r="S201" s="1">
        <v>250000</v>
      </c>
      <c r="T201" s="1">
        <f ca="1">ROUND(T_EMPLOYEES[[#This Row],[EMP_CTC1]]/12, 0)</f>
        <v>20833</v>
      </c>
      <c r="U201" s="1">
        <v>150000</v>
      </c>
      <c r="V201" s="1" t="s">
        <v>207</v>
      </c>
      <c r="W201" s="1" t="s">
        <v>207</v>
      </c>
      <c r="X20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Maddipati Mohan Chowdary (1025070)</v>
      </c>
      <c r="Y201">
        <v>100000</v>
      </c>
      <c r="Z201" s="29">
        <f t="shared" ca="1" si="4"/>
        <v>40</v>
      </c>
      <c r="AA201">
        <f ca="1">IF(T_EMPLOYEES[[#This Row],[EMPLOYEE NUMBER]]="","",ROW(T_EMPLOYEES[[#This Row],[EMPLOYEE LABEL]])-ROW(T_EMPLOYEES[[#Headers],[EMPLOYEE LABEL]]))</f>
        <v>198</v>
      </c>
      <c r="AB201">
        <f ca="1">IF(T_EMPLOYEES[[#This Row],[EMPLOYEE NUMBER]]="","",IF(COUNTIF(T_EMPLOYEES[EMPLOYEE NUMBER],T_EMPLOYEES[[#This Row],[EMPLOYEE NUMBER]])&gt;1,1,0))</f>
        <v>0</v>
      </c>
      <c r="AC201">
        <f ca="1">IF(T_EMPLOYEES[[#This Row],[EMPLOYEE NUMBER]]="","",IF(AND(T_EMPLOYEES[[#This Row],[DATE OF BIRTH]]&gt;0,T_EMPLOYEES[[#This Row],[DATE OF BIRTH]]&lt;TODAY()),0,1))</f>
        <v>0</v>
      </c>
      <c r="AD201">
        <f ca="1">IF(T_EMPLOYEES[[#This Row],[EMPLOYEE NUMBER]]="","",IF(AND(T_EMPLOYEES[[#This Row],[START DATE]]&gt;0,T_EMPLOYEES[[#This Row],[START DATE]]&lt;TODAY()+60),0,1))</f>
        <v>0</v>
      </c>
      <c r="AE201">
        <f ca="1">IF(T_EMPLOYEES[[#This Row],[EMPLOYEE NUMBER]]="","",MATCH(T_EMPLOYEES[[#This Row],[GENDER]],L_GENDER,0))</f>
        <v>1</v>
      </c>
      <c r="AF201">
        <f ca="1">IF(T_EMPLOYEES[[#This Row],[EMPLOYEE NUMBER]]="","",MATCH(T_EMPLOYEES[[#This Row],[HIRE SOURCE]],L_HIRESOURCE,0))</f>
        <v>4</v>
      </c>
      <c r="AG201">
        <f ca="1">IF(T_EMPLOYEES[[#This Row],[EMPLOYEE NUMBER]]="","",MATCH(T_EMPLOYEES[[#This Row],[ETHNICITY]],L_ETHNICITY,0))</f>
        <v>3</v>
      </c>
      <c r="AH201">
        <f ca="1">IF(T_EMPLOYEES[[#This Row],[EMPLOYEE NUMBER]]="","",MATCH(T_EMPLOYEES[[#This Row],[LOCATION]],L_LOCATION,0))</f>
        <v>1</v>
      </c>
      <c r="AI201">
        <f ca="1">IF(T_EMPLOYEES[[#This Row],[EMPLOYEE NUMBER]]="","",MATCH(T_EMPLOYEES[[#This Row],[DEPARTMENT]],L_DEPARTMENT,0))</f>
        <v>2</v>
      </c>
      <c r="AJ201">
        <f ca="1">IF(T_EMPLOYEES[[#This Row],[EMPLOYEE NUMBER]]="","",MATCH(T_EMPLOYEES[[#This Row],[JOB TYPE]],L_JOBTYPE,0))</f>
        <v>2</v>
      </c>
      <c r="AK201">
        <f ca="1">IF(T_EMPLOYEES[[#This Row],[EMPLOYEE NUMBER]]="","",MATCH(T_EMPLOYEES[[#This Row],[JOB CATEGORY]],L_JOBCATEGORY,0))</f>
        <v>14</v>
      </c>
      <c r="AL201">
        <f ca="1">IF(T_EMPLOYEES[[#This Row],[EMPLOYEE NUMBER]]="","",MATCH(T_EMPLOYEES[[#This Row],[JOB LEVEL]],L_JOBLEVEL,0))</f>
        <v>4</v>
      </c>
      <c r="AM201">
        <f ca="1">IF(T_EMPLOYEES[[#This Row],[EMPLOYEE NUMBER]]="","",MATCH(T_EMPLOYEES[[#This Row],[JOB TITLE]],L_JOBTITLE,0))</f>
        <v>14</v>
      </c>
      <c r="AN201">
        <f ca="1">IF(T_EMPLOYEES[[#This Row],[EMPLOYEE NUMBER]]="","",MATCH(T_EMPLOYEES[[#This Row],[MANAGER]],L_EMPLABELS,0))</f>
        <v>120</v>
      </c>
      <c r="AO201">
        <f ca="1">IF(T_EMPLOYEES[[#This Row],[EMPLOYEE NUMBER]]="","",IF(T_EMPLOYEES[[#This Row],[ERROR]]="",0,1))</f>
        <v>0</v>
      </c>
      <c r="AP20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2" spans="1:42">
      <c r="A202" t="s">
        <v>794</v>
      </c>
      <c r="B202" t="s">
        <v>795</v>
      </c>
      <c r="C202">
        <v>1028379</v>
      </c>
      <c r="D202" t="s">
        <v>796</v>
      </c>
      <c r="E202" s="26">
        <v>33443</v>
      </c>
      <c r="F202" s="26">
        <v>44610</v>
      </c>
      <c r="H202" t="s">
        <v>40</v>
      </c>
      <c r="I202" t="s">
        <v>54</v>
      </c>
      <c r="J202" t="s">
        <v>64</v>
      </c>
      <c r="K202" t="s">
        <v>30</v>
      </c>
      <c r="L202" s="27" t="s">
        <v>45</v>
      </c>
      <c r="M202" t="s">
        <v>46</v>
      </c>
      <c r="N202" t="s">
        <v>89</v>
      </c>
      <c r="O202" t="s">
        <v>60</v>
      </c>
      <c r="P202" t="s">
        <v>89</v>
      </c>
      <c r="Q202" t="s">
        <v>218</v>
      </c>
      <c r="R202" s="27">
        <v>3</v>
      </c>
      <c r="S202" s="1">
        <v>250000</v>
      </c>
      <c r="T202" s="1">
        <f ca="1">ROUND(T_EMPLOYEES[[#This Row],[EMP_CTC1]]/12, 0)</f>
        <v>20833</v>
      </c>
      <c r="U202" s="1">
        <v>150000</v>
      </c>
      <c r="V202" s="1" t="s">
        <v>207</v>
      </c>
      <c r="W202" s="1" t="s">
        <v>207</v>
      </c>
      <c r="X20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Bindu  P (1028379)</v>
      </c>
      <c r="Y202">
        <v>100000</v>
      </c>
      <c r="Z202" s="29">
        <f t="shared" ca="1" si="4"/>
        <v>40</v>
      </c>
      <c r="AA202">
        <f ca="1">IF(T_EMPLOYEES[[#This Row],[EMPLOYEE NUMBER]]="","",ROW(T_EMPLOYEES[[#This Row],[EMPLOYEE LABEL]])-ROW(T_EMPLOYEES[[#Headers],[EMPLOYEE LABEL]]))</f>
        <v>199</v>
      </c>
      <c r="AB202">
        <f ca="1">IF(T_EMPLOYEES[[#This Row],[EMPLOYEE NUMBER]]="","",IF(COUNTIF(T_EMPLOYEES[EMPLOYEE NUMBER],T_EMPLOYEES[[#This Row],[EMPLOYEE NUMBER]])&gt;1,1,0))</f>
        <v>0</v>
      </c>
      <c r="AC202">
        <f ca="1">IF(T_EMPLOYEES[[#This Row],[EMPLOYEE NUMBER]]="","",IF(AND(T_EMPLOYEES[[#This Row],[DATE OF BIRTH]]&gt;0,T_EMPLOYEES[[#This Row],[DATE OF BIRTH]]&lt;TODAY()),0,1))</f>
        <v>0</v>
      </c>
      <c r="AD202">
        <f ca="1">IF(T_EMPLOYEES[[#This Row],[EMPLOYEE NUMBER]]="","",IF(AND(T_EMPLOYEES[[#This Row],[START DATE]]&gt;0,T_EMPLOYEES[[#This Row],[START DATE]]&lt;TODAY()+60),0,1))</f>
        <v>0</v>
      </c>
      <c r="AE202">
        <f ca="1">IF(T_EMPLOYEES[[#This Row],[EMPLOYEE NUMBER]]="","",MATCH(T_EMPLOYEES[[#This Row],[GENDER]],L_GENDER,0))</f>
        <v>2</v>
      </c>
      <c r="AF202">
        <f ca="1">IF(T_EMPLOYEES[[#This Row],[EMPLOYEE NUMBER]]="","",MATCH(T_EMPLOYEES[[#This Row],[HIRE SOURCE]],L_HIRESOURCE,0))</f>
        <v>4</v>
      </c>
      <c r="AG202">
        <f ca="1">IF(T_EMPLOYEES[[#This Row],[EMPLOYEE NUMBER]]="","",MATCH(T_EMPLOYEES[[#This Row],[ETHNICITY]],L_ETHNICITY,0))</f>
        <v>3</v>
      </c>
      <c r="AH202">
        <f ca="1">IF(T_EMPLOYEES[[#This Row],[EMPLOYEE NUMBER]]="","",MATCH(T_EMPLOYEES[[#This Row],[LOCATION]],L_LOCATION,0))</f>
        <v>1</v>
      </c>
      <c r="AI202">
        <f ca="1">IF(T_EMPLOYEES[[#This Row],[EMPLOYEE NUMBER]]="","",MATCH(T_EMPLOYEES[[#This Row],[DEPARTMENT]],L_DEPARTMENT,0))</f>
        <v>2</v>
      </c>
      <c r="AJ202">
        <f ca="1">IF(T_EMPLOYEES[[#This Row],[EMPLOYEE NUMBER]]="","",MATCH(T_EMPLOYEES[[#This Row],[JOB TYPE]],L_JOBTYPE,0))</f>
        <v>2</v>
      </c>
      <c r="AK202">
        <f ca="1">IF(T_EMPLOYEES[[#This Row],[EMPLOYEE NUMBER]]="","",MATCH(T_EMPLOYEES[[#This Row],[JOB CATEGORY]],L_JOBCATEGORY,0))</f>
        <v>6</v>
      </c>
      <c r="AL202">
        <f ca="1">IF(T_EMPLOYEES[[#This Row],[EMPLOYEE NUMBER]]="","",MATCH(T_EMPLOYEES[[#This Row],[JOB LEVEL]],L_JOBLEVEL,0))</f>
        <v>3</v>
      </c>
      <c r="AM202">
        <f ca="1">IF(T_EMPLOYEES[[#This Row],[EMPLOYEE NUMBER]]="","",MATCH(T_EMPLOYEES[[#This Row],[JOB TITLE]],L_JOBTITLE,0))</f>
        <v>6</v>
      </c>
      <c r="AN202">
        <f ca="1">IF(T_EMPLOYEES[[#This Row],[EMPLOYEE NUMBER]]="","",MATCH(T_EMPLOYEES[[#This Row],[MANAGER]],L_EMPLABELS,0))</f>
        <v>43</v>
      </c>
      <c r="AO202">
        <f ca="1">IF(T_EMPLOYEES[[#This Row],[EMPLOYEE NUMBER]]="","",IF(T_EMPLOYEES[[#This Row],[ERROR]]="",0,1))</f>
        <v>0</v>
      </c>
      <c r="AP20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3" spans="1:42">
      <c r="A203" t="s">
        <v>357</v>
      </c>
      <c r="B203" t="s">
        <v>797</v>
      </c>
      <c r="C203">
        <v>1025411</v>
      </c>
      <c r="D203" t="s">
        <v>798</v>
      </c>
      <c r="E203" s="26">
        <v>33448</v>
      </c>
      <c r="F203" s="26">
        <v>44348</v>
      </c>
      <c r="H203" t="s">
        <v>27</v>
      </c>
      <c r="I203" t="s">
        <v>54</v>
      </c>
      <c r="J203" t="s">
        <v>64</v>
      </c>
      <c r="K203" t="s">
        <v>30</v>
      </c>
      <c r="L203" s="27" t="s">
        <v>45</v>
      </c>
      <c r="M203" t="s">
        <v>46</v>
      </c>
      <c r="N203" t="s">
        <v>128</v>
      </c>
      <c r="O203" t="s">
        <v>60</v>
      </c>
      <c r="P203" t="s">
        <v>128</v>
      </c>
      <c r="Q203" t="s">
        <v>218</v>
      </c>
      <c r="R203">
        <v>3</v>
      </c>
      <c r="S203" s="1">
        <v>250000</v>
      </c>
      <c r="T203" s="1">
        <f ca="1">ROUND(T_EMPLOYEES[[#This Row],[EMP_CTC1]]/12, 0)</f>
        <v>20833</v>
      </c>
      <c r="U203" s="1">
        <v>150000</v>
      </c>
      <c r="V203" s="1" t="s">
        <v>207</v>
      </c>
      <c r="W203" s="1" t="s">
        <v>207</v>
      </c>
      <c r="X20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Mahesh Vadanakal Jagannathachar (1025411)</v>
      </c>
      <c r="Y203">
        <v>100000</v>
      </c>
      <c r="Z203" s="29">
        <f t="shared" ca="1" si="4"/>
        <v>40</v>
      </c>
      <c r="AA203">
        <f ca="1">IF(T_EMPLOYEES[[#This Row],[EMPLOYEE NUMBER]]="","",ROW(T_EMPLOYEES[[#This Row],[EMPLOYEE LABEL]])-ROW(T_EMPLOYEES[[#Headers],[EMPLOYEE LABEL]]))</f>
        <v>200</v>
      </c>
      <c r="AB203">
        <f ca="1">IF(T_EMPLOYEES[[#This Row],[EMPLOYEE NUMBER]]="","",IF(COUNTIF(T_EMPLOYEES[EMPLOYEE NUMBER],T_EMPLOYEES[[#This Row],[EMPLOYEE NUMBER]])&gt;1,1,0))</f>
        <v>0</v>
      </c>
      <c r="AC203">
        <f ca="1">IF(T_EMPLOYEES[[#This Row],[EMPLOYEE NUMBER]]="","",IF(AND(T_EMPLOYEES[[#This Row],[DATE OF BIRTH]]&gt;0,T_EMPLOYEES[[#This Row],[DATE OF BIRTH]]&lt;TODAY()),0,1))</f>
        <v>0</v>
      </c>
      <c r="AD203">
        <f ca="1">IF(T_EMPLOYEES[[#This Row],[EMPLOYEE NUMBER]]="","",IF(AND(T_EMPLOYEES[[#This Row],[START DATE]]&gt;0,T_EMPLOYEES[[#This Row],[START DATE]]&lt;TODAY()+60),0,1))</f>
        <v>0</v>
      </c>
      <c r="AE203">
        <f ca="1">IF(T_EMPLOYEES[[#This Row],[EMPLOYEE NUMBER]]="","",MATCH(T_EMPLOYEES[[#This Row],[GENDER]],L_GENDER,0))</f>
        <v>1</v>
      </c>
      <c r="AF203">
        <f ca="1">IF(T_EMPLOYEES[[#This Row],[EMPLOYEE NUMBER]]="","",MATCH(T_EMPLOYEES[[#This Row],[HIRE SOURCE]],L_HIRESOURCE,0))</f>
        <v>4</v>
      </c>
      <c r="AG203">
        <f ca="1">IF(T_EMPLOYEES[[#This Row],[EMPLOYEE NUMBER]]="","",MATCH(T_EMPLOYEES[[#This Row],[ETHNICITY]],L_ETHNICITY,0))</f>
        <v>3</v>
      </c>
      <c r="AH203">
        <f ca="1">IF(T_EMPLOYEES[[#This Row],[EMPLOYEE NUMBER]]="","",MATCH(T_EMPLOYEES[[#This Row],[LOCATION]],L_LOCATION,0))</f>
        <v>1</v>
      </c>
      <c r="AI203">
        <f ca="1">IF(T_EMPLOYEES[[#This Row],[EMPLOYEE NUMBER]]="","",MATCH(T_EMPLOYEES[[#This Row],[DEPARTMENT]],L_DEPARTMENT,0))</f>
        <v>2</v>
      </c>
      <c r="AJ203">
        <f ca="1">IF(T_EMPLOYEES[[#This Row],[EMPLOYEE NUMBER]]="","",MATCH(T_EMPLOYEES[[#This Row],[JOB TYPE]],L_JOBTYPE,0))</f>
        <v>2</v>
      </c>
      <c r="AK203">
        <f ca="1">IF(T_EMPLOYEES[[#This Row],[EMPLOYEE NUMBER]]="","",MATCH(T_EMPLOYEES[[#This Row],[JOB CATEGORY]],L_JOBCATEGORY,0))</f>
        <v>15</v>
      </c>
      <c r="AL203">
        <f ca="1">IF(T_EMPLOYEES[[#This Row],[EMPLOYEE NUMBER]]="","",MATCH(T_EMPLOYEES[[#This Row],[JOB LEVEL]],L_JOBLEVEL,0))</f>
        <v>3</v>
      </c>
      <c r="AM203">
        <f ca="1">IF(T_EMPLOYEES[[#This Row],[EMPLOYEE NUMBER]]="","",MATCH(T_EMPLOYEES[[#This Row],[JOB TITLE]],L_JOBTITLE,0))</f>
        <v>15</v>
      </c>
      <c r="AN203">
        <f ca="1">IF(T_EMPLOYEES[[#This Row],[EMPLOYEE NUMBER]]="","",MATCH(T_EMPLOYEES[[#This Row],[MANAGER]],L_EMPLABELS,0))</f>
        <v>43</v>
      </c>
      <c r="AO203">
        <f ca="1">IF(T_EMPLOYEES[[#This Row],[EMPLOYEE NUMBER]]="","",IF(T_EMPLOYEES[[#This Row],[ERROR]]="",0,1))</f>
        <v>0</v>
      </c>
      <c r="AP20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4" spans="1:42">
      <c r="A204" t="s">
        <v>51</v>
      </c>
      <c r="B204" t="s">
        <v>799</v>
      </c>
      <c r="C204">
        <v>1020246</v>
      </c>
      <c r="D204" t="s">
        <v>800</v>
      </c>
      <c r="E204" s="26">
        <v>33452</v>
      </c>
      <c r="F204" s="26">
        <v>43150</v>
      </c>
      <c r="H204" t="s">
        <v>40</v>
      </c>
      <c r="I204" t="s">
        <v>54</v>
      </c>
      <c r="J204" t="s">
        <v>64</v>
      </c>
      <c r="K204" t="s">
        <v>43</v>
      </c>
      <c r="L204" s="27" t="s">
        <v>45</v>
      </c>
      <c r="M204" t="s">
        <v>46</v>
      </c>
      <c r="N204" t="s">
        <v>89</v>
      </c>
      <c r="O204" t="s">
        <v>60</v>
      </c>
      <c r="P204" t="s">
        <v>89</v>
      </c>
      <c r="Q204" t="s">
        <v>259</v>
      </c>
      <c r="R204" s="27">
        <v>3</v>
      </c>
      <c r="S204" s="1">
        <v>250000</v>
      </c>
      <c r="T204" s="1">
        <f ca="1">ROUND(T_EMPLOYEES[[#This Row],[EMP_CTC1]]/12, 0)</f>
        <v>20833</v>
      </c>
      <c r="U204" s="1">
        <v>150000</v>
      </c>
      <c r="V204" s="1" t="s">
        <v>207</v>
      </c>
      <c r="W204" s="1" t="s">
        <v>207</v>
      </c>
      <c r="X20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 Suneetha (1020246)</v>
      </c>
      <c r="Y204">
        <v>100000</v>
      </c>
      <c r="Z204" s="29">
        <f t="shared" ca="1" si="4"/>
        <v>40</v>
      </c>
      <c r="AA204">
        <f ca="1">IF(T_EMPLOYEES[[#This Row],[EMPLOYEE NUMBER]]="","",ROW(T_EMPLOYEES[[#This Row],[EMPLOYEE LABEL]])-ROW(T_EMPLOYEES[[#Headers],[EMPLOYEE LABEL]]))</f>
        <v>201</v>
      </c>
      <c r="AB204">
        <f ca="1">IF(T_EMPLOYEES[[#This Row],[EMPLOYEE NUMBER]]="","",IF(COUNTIF(T_EMPLOYEES[EMPLOYEE NUMBER],T_EMPLOYEES[[#This Row],[EMPLOYEE NUMBER]])&gt;1,1,0))</f>
        <v>0</v>
      </c>
      <c r="AC204">
        <f ca="1">IF(T_EMPLOYEES[[#This Row],[EMPLOYEE NUMBER]]="","",IF(AND(T_EMPLOYEES[[#This Row],[DATE OF BIRTH]]&gt;0,T_EMPLOYEES[[#This Row],[DATE OF BIRTH]]&lt;TODAY()),0,1))</f>
        <v>0</v>
      </c>
      <c r="AD204">
        <f ca="1">IF(T_EMPLOYEES[[#This Row],[EMPLOYEE NUMBER]]="","",IF(AND(T_EMPLOYEES[[#This Row],[START DATE]]&gt;0,T_EMPLOYEES[[#This Row],[START DATE]]&lt;TODAY()+60),0,1))</f>
        <v>0</v>
      </c>
      <c r="AE204">
        <f ca="1">IF(T_EMPLOYEES[[#This Row],[EMPLOYEE NUMBER]]="","",MATCH(T_EMPLOYEES[[#This Row],[GENDER]],L_GENDER,0))</f>
        <v>2</v>
      </c>
      <c r="AF204">
        <f ca="1">IF(T_EMPLOYEES[[#This Row],[EMPLOYEE NUMBER]]="","",MATCH(T_EMPLOYEES[[#This Row],[HIRE SOURCE]],L_HIRESOURCE,0))</f>
        <v>4</v>
      </c>
      <c r="AG204">
        <f ca="1">IF(T_EMPLOYEES[[#This Row],[EMPLOYEE NUMBER]]="","",MATCH(T_EMPLOYEES[[#This Row],[ETHNICITY]],L_ETHNICITY,0))</f>
        <v>3</v>
      </c>
      <c r="AH204">
        <f ca="1">IF(T_EMPLOYEES[[#This Row],[EMPLOYEE NUMBER]]="","",MATCH(T_EMPLOYEES[[#This Row],[LOCATION]],L_LOCATION,0))</f>
        <v>2</v>
      </c>
      <c r="AI204">
        <f ca="1">IF(T_EMPLOYEES[[#This Row],[EMPLOYEE NUMBER]]="","",MATCH(T_EMPLOYEES[[#This Row],[DEPARTMENT]],L_DEPARTMENT,0))</f>
        <v>2</v>
      </c>
      <c r="AJ204">
        <f ca="1">IF(T_EMPLOYEES[[#This Row],[EMPLOYEE NUMBER]]="","",MATCH(T_EMPLOYEES[[#This Row],[JOB TYPE]],L_JOBTYPE,0))</f>
        <v>2</v>
      </c>
      <c r="AK204">
        <f ca="1">IF(T_EMPLOYEES[[#This Row],[EMPLOYEE NUMBER]]="","",MATCH(T_EMPLOYEES[[#This Row],[JOB CATEGORY]],L_JOBCATEGORY,0))</f>
        <v>6</v>
      </c>
      <c r="AL204">
        <f ca="1">IF(T_EMPLOYEES[[#This Row],[EMPLOYEE NUMBER]]="","",MATCH(T_EMPLOYEES[[#This Row],[JOB LEVEL]],L_JOBLEVEL,0))</f>
        <v>3</v>
      </c>
      <c r="AM204">
        <f ca="1">IF(T_EMPLOYEES[[#This Row],[EMPLOYEE NUMBER]]="","",MATCH(T_EMPLOYEES[[#This Row],[JOB TITLE]],L_JOBTITLE,0))</f>
        <v>6</v>
      </c>
      <c r="AN204">
        <f ca="1">IF(T_EMPLOYEES[[#This Row],[EMPLOYEE NUMBER]]="","",MATCH(T_EMPLOYEES[[#This Row],[MANAGER]],L_EMPLABELS,0))</f>
        <v>91</v>
      </c>
      <c r="AO204">
        <f ca="1">IF(T_EMPLOYEES[[#This Row],[EMPLOYEE NUMBER]]="","",IF(T_EMPLOYEES[[#This Row],[ERROR]]="",0,1))</f>
        <v>0</v>
      </c>
      <c r="AP20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5" spans="1:42">
      <c r="A205" t="s">
        <v>801</v>
      </c>
      <c r="B205" t="s">
        <v>802</v>
      </c>
      <c r="C205">
        <v>1033733</v>
      </c>
      <c r="D205" t="s">
        <v>803</v>
      </c>
      <c r="E205" s="26">
        <v>33456</v>
      </c>
      <c r="F205" s="26">
        <v>45215</v>
      </c>
      <c r="H205" t="s">
        <v>27</v>
      </c>
      <c r="I205" t="s">
        <v>54</v>
      </c>
      <c r="J205" t="s">
        <v>64</v>
      </c>
      <c r="K205" t="s">
        <v>30</v>
      </c>
      <c r="L205" s="27" t="s">
        <v>45</v>
      </c>
      <c r="M205" t="s">
        <v>46</v>
      </c>
      <c r="N205" t="s">
        <v>111</v>
      </c>
      <c r="O205" t="s">
        <v>71</v>
      </c>
      <c r="P205" t="s">
        <v>111</v>
      </c>
      <c r="Q205" t="s">
        <v>804</v>
      </c>
      <c r="R205">
        <v>5</v>
      </c>
      <c r="S205" s="1">
        <v>250000</v>
      </c>
      <c r="T205" s="1">
        <f ca="1">ROUND(T_EMPLOYEES[[#This Row],[EMP_CTC1]]/12, 0)</f>
        <v>20833</v>
      </c>
      <c r="U205" s="1">
        <v>150000</v>
      </c>
      <c r="V205" s="1" t="s">
        <v>207</v>
      </c>
      <c r="W205" s="1" t="s">
        <v>207</v>
      </c>
      <c r="X20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Muddapati Koteswara  Rao (1033733)</v>
      </c>
      <c r="Y205">
        <v>100000</v>
      </c>
      <c r="Z205" s="29">
        <f t="shared" ca="1" si="4"/>
        <v>40</v>
      </c>
      <c r="AA205">
        <f ca="1">IF(T_EMPLOYEES[[#This Row],[EMPLOYEE NUMBER]]="","",ROW(T_EMPLOYEES[[#This Row],[EMPLOYEE LABEL]])-ROW(T_EMPLOYEES[[#Headers],[EMPLOYEE LABEL]]))</f>
        <v>202</v>
      </c>
      <c r="AB205">
        <f ca="1">IF(T_EMPLOYEES[[#This Row],[EMPLOYEE NUMBER]]="","",IF(COUNTIF(T_EMPLOYEES[EMPLOYEE NUMBER],T_EMPLOYEES[[#This Row],[EMPLOYEE NUMBER]])&gt;1,1,0))</f>
        <v>0</v>
      </c>
      <c r="AC205">
        <f ca="1">IF(T_EMPLOYEES[[#This Row],[EMPLOYEE NUMBER]]="","",IF(AND(T_EMPLOYEES[[#This Row],[DATE OF BIRTH]]&gt;0,T_EMPLOYEES[[#This Row],[DATE OF BIRTH]]&lt;TODAY()),0,1))</f>
        <v>0</v>
      </c>
      <c r="AD205">
        <f ca="1">IF(T_EMPLOYEES[[#This Row],[EMPLOYEE NUMBER]]="","",IF(AND(T_EMPLOYEES[[#This Row],[START DATE]]&gt;0,T_EMPLOYEES[[#This Row],[START DATE]]&lt;TODAY()+60),0,1))</f>
        <v>0</v>
      </c>
      <c r="AE205">
        <f ca="1">IF(T_EMPLOYEES[[#This Row],[EMPLOYEE NUMBER]]="","",MATCH(T_EMPLOYEES[[#This Row],[GENDER]],L_GENDER,0))</f>
        <v>1</v>
      </c>
      <c r="AF205">
        <f ca="1">IF(T_EMPLOYEES[[#This Row],[EMPLOYEE NUMBER]]="","",MATCH(T_EMPLOYEES[[#This Row],[HIRE SOURCE]],L_HIRESOURCE,0))</f>
        <v>4</v>
      </c>
      <c r="AG205">
        <f ca="1">IF(T_EMPLOYEES[[#This Row],[EMPLOYEE NUMBER]]="","",MATCH(T_EMPLOYEES[[#This Row],[ETHNICITY]],L_ETHNICITY,0))</f>
        <v>3</v>
      </c>
      <c r="AH205">
        <f ca="1">IF(T_EMPLOYEES[[#This Row],[EMPLOYEE NUMBER]]="","",MATCH(T_EMPLOYEES[[#This Row],[LOCATION]],L_LOCATION,0))</f>
        <v>1</v>
      </c>
      <c r="AI205">
        <f ca="1">IF(T_EMPLOYEES[[#This Row],[EMPLOYEE NUMBER]]="","",MATCH(T_EMPLOYEES[[#This Row],[DEPARTMENT]],L_DEPARTMENT,0))</f>
        <v>2</v>
      </c>
      <c r="AJ205">
        <f ca="1">IF(T_EMPLOYEES[[#This Row],[EMPLOYEE NUMBER]]="","",MATCH(T_EMPLOYEES[[#This Row],[JOB TYPE]],L_JOBTYPE,0))</f>
        <v>2</v>
      </c>
      <c r="AK205">
        <f ca="1">IF(T_EMPLOYEES[[#This Row],[EMPLOYEE NUMBER]]="","",MATCH(T_EMPLOYEES[[#This Row],[JOB CATEGORY]],L_JOBCATEGORY,0))</f>
        <v>10</v>
      </c>
      <c r="AL205">
        <f ca="1">IF(T_EMPLOYEES[[#This Row],[EMPLOYEE NUMBER]]="","",MATCH(T_EMPLOYEES[[#This Row],[JOB LEVEL]],L_JOBLEVEL,0))</f>
        <v>4</v>
      </c>
      <c r="AM205">
        <f ca="1">IF(T_EMPLOYEES[[#This Row],[EMPLOYEE NUMBER]]="","",MATCH(T_EMPLOYEES[[#This Row],[JOB TITLE]],L_JOBTITLE,0))</f>
        <v>10</v>
      </c>
      <c r="AN205">
        <f ca="1">IF(T_EMPLOYEES[[#This Row],[EMPLOYEE NUMBER]]="","",MATCH(T_EMPLOYEES[[#This Row],[MANAGER]],L_EMPLABELS,0))</f>
        <v>31</v>
      </c>
      <c r="AO205">
        <f ca="1">IF(T_EMPLOYEES[[#This Row],[EMPLOYEE NUMBER]]="","",IF(T_EMPLOYEES[[#This Row],[ERROR]]="",0,1))</f>
        <v>0</v>
      </c>
      <c r="AP20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6" spans="1:42">
      <c r="A206" t="s">
        <v>805</v>
      </c>
      <c r="B206" t="s">
        <v>806</v>
      </c>
      <c r="C206">
        <v>1031848</v>
      </c>
      <c r="D206" t="s">
        <v>807</v>
      </c>
      <c r="E206" s="26">
        <v>33463</v>
      </c>
      <c r="F206" s="26">
        <v>44914</v>
      </c>
      <c r="H206" t="s">
        <v>40</v>
      </c>
      <c r="I206" t="s">
        <v>54</v>
      </c>
      <c r="J206" t="s">
        <v>64</v>
      </c>
      <c r="K206" t="s">
        <v>30</v>
      </c>
      <c r="L206" s="27" t="s">
        <v>45</v>
      </c>
      <c r="M206" t="s">
        <v>46</v>
      </c>
      <c r="N206" t="s">
        <v>128</v>
      </c>
      <c r="O206" t="s">
        <v>60</v>
      </c>
      <c r="P206" t="s">
        <v>128</v>
      </c>
      <c r="Q206" t="s">
        <v>448</v>
      </c>
      <c r="R206" s="27">
        <v>4</v>
      </c>
      <c r="S206" s="1">
        <v>250000</v>
      </c>
      <c r="T206" s="1">
        <f ca="1">ROUND(T_EMPLOYEES[[#This Row],[EMP_CTC1]]/12, 0)</f>
        <v>20833</v>
      </c>
      <c r="U206" s="1">
        <v>150000</v>
      </c>
      <c r="V206" s="1" t="s">
        <v>207</v>
      </c>
      <c r="W206" s="1" t="s">
        <v>207</v>
      </c>
      <c r="X20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Sujata Gupta (1031848)</v>
      </c>
      <c r="Y206">
        <v>100000</v>
      </c>
      <c r="Z206" s="29">
        <f t="shared" ca="1" si="4"/>
        <v>40</v>
      </c>
      <c r="AA206">
        <f ca="1">IF(T_EMPLOYEES[[#This Row],[EMPLOYEE NUMBER]]="","",ROW(T_EMPLOYEES[[#This Row],[EMPLOYEE LABEL]])-ROW(T_EMPLOYEES[[#Headers],[EMPLOYEE LABEL]]))</f>
        <v>203</v>
      </c>
      <c r="AB206">
        <f ca="1">IF(T_EMPLOYEES[[#This Row],[EMPLOYEE NUMBER]]="","",IF(COUNTIF(T_EMPLOYEES[EMPLOYEE NUMBER],T_EMPLOYEES[[#This Row],[EMPLOYEE NUMBER]])&gt;1,1,0))</f>
        <v>0</v>
      </c>
      <c r="AC206">
        <f ca="1">IF(T_EMPLOYEES[[#This Row],[EMPLOYEE NUMBER]]="","",IF(AND(T_EMPLOYEES[[#This Row],[DATE OF BIRTH]]&gt;0,T_EMPLOYEES[[#This Row],[DATE OF BIRTH]]&lt;TODAY()),0,1))</f>
        <v>0</v>
      </c>
      <c r="AD206">
        <f ca="1">IF(T_EMPLOYEES[[#This Row],[EMPLOYEE NUMBER]]="","",IF(AND(T_EMPLOYEES[[#This Row],[START DATE]]&gt;0,T_EMPLOYEES[[#This Row],[START DATE]]&lt;TODAY()+60),0,1))</f>
        <v>0</v>
      </c>
      <c r="AE206">
        <f ca="1">IF(T_EMPLOYEES[[#This Row],[EMPLOYEE NUMBER]]="","",MATCH(T_EMPLOYEES[[#This Row],[GENDER]],L_GENDER,0))</f>
        <v>2</v>
      </c>
      <c r="AF206">
        <f ca="1">IF(T_EMPLOYEES[[#This Row],[EMPLOYEE NUMBER]]="","",MATCH(T_EMPLOYEES[[#This Row],[HIRE SOURCE]],L_HIRESOURCE,0))</f>
        <v>4</v>
      </c>
      <c r="AG206">
        <f ca="1">IF(T_EMPLOYEES[[#This Row],[EMPLOYEE NUMBER]]="","",MATCH(T_EMPLOYEES[[#This Row],[ETHNICITY]],L_ETHNICITY,0))</f>
        <v>3</v>
      </c>
      <c r="AH206">
        <f ca="1">IF(T_EMPLOYEES[[#This Row],[EMPLOYEE NUMBER]]="","",MATCH(T_EMPLOYEES[[#This Row],[LOCATION]],L_LOCATION,0))</f>
        <v>1</v>
      </c>
      <c r="AI206">
        <f ca="1">IF(T_EMPLOYEES[[#This Row],[EMPLOYEE NUMBER]]="","",MATCH(T_EMPLOYEES[[#This Row],[DEPARTMENT]],L_DEPARTMENT,0))</f>
        <v>2</v>
      </c>
      <c r="AJ206">
        <f ca="1">IF(T_EMPLOYEES[[#This Row],[EMPLOYEE NUMBER]]="","",MATCH(T_EMPLOYEES[[#This Row],[JOB TYPE]],L_JOBTYPE,0))</f>
        <v>2</v>
      </c>
      <c r="AK206">
        <f ca="1">IF(T_EMPLOYEES[[#This Row],[EMPLOYEE NUMBER]]="","",MATCH(T_EMPLOYEES[[#This Row],[JOB CATEGORY]],L_JOBCATEGORY,0))</f>
        <v>15</v>
      </c>
      <c r="AL206">
        <f ca="1">IF(T_EMPLOYEES[[#This Row],[EMPLOYEE NUMBER]]="","",MATCH(T_EMPLOYEES[[#This Row],[JOB LEVEL]],L_JOBLEVEL,0))</f>
        <v>3</v>
      </c>
      <c r="AM206">
        <f ca="1">IF(T_EMPLOYEES[[#This Row],[EMPLOYEE NUMBER]]="","",MATCH(T_EMPLOYEES[[#This Row],[JOB TITLE]],L_JOBTITLE,0))</f>
        <v>15</v>
      </c>
      <c r="AN206">
        <f ca="1">IF(T_EMPLOYEES[[#This Row],[EMPLOYEE NUMBER]]="","",MATCH(T_EMPLOYEES[[#This Row],[MANAGER]],L_EMPLABELS,0))</f>
        <v>83</v>
      </c>
      <c r="AO206">
        <f ca="1">IF(T_EMPLOYEES[[#This Row],[EMPLOYEE NUMBER]]="","",IF(T_EMPLOYEES[[#This Row],[ERROR]]="",0,1))</f>
        <v>0</v>
      </c>
      <c r="AP20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7" spans="1:42">
      <c r="A207" t="s">
        <v>277</v>
      </c>
      <c r="B207" t="s">
        <v>808</v>
      </c>
      <c r="C207">
        <v>1031844</v>
      </c>
      <c r="D207" t="s">
        <v>809</v>
      </c>
      <c r="E207" s="26">
        <v>33470</v>
      </c>
      <c r="F207" s="26">
        <v>44914</v>
      </c>
      <c r="H207" t="s">
        <v>40</v>
      </c>
      <c r="I207" t="s">
        <v>54</v>
      </c>
      <c r="J207" t="s">
        <v>64</v>
      </c>
      <c r="K207" t="s">
        <v>30</v>
      </c>
      <c r="L207" s="27" t="s">
        <v>45</v>
      </c>
      <c r="M207" t="s">
        <v>46</v>
      </c>
      <c r="N207" t="s">
        <v>128</v>
      </c>
      <c r="O207" t="s">
        <v>60</v>
      </c>
      <c r="P207" t="s">
        <v>128</v>
      </c>
      <c r="Q207" t="s">
        <v>377</v>
      </c>
      <c r="R207">
        <v>4</v>
      </c>
      <c r="S207" s="1">
        <v>250000</v>
      </c>
      <c r="T207" s="1">
        <f ca="1">ROUND(T_EMPLOYEES[[#This Row],[EMP_CTC1]]/12, 0)</f>
        <v>20833</v>
      </c>
      <c r="U207" s="1">
        <v>150000</v>
      </c>
      <c r="V207" s="1" t="s">
        <v>207</v>
      </c>
      <c r="W207" s="1" t="s">
        <v>207</v>
      </c>
      <c r="X20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Deepa U P (1031844)</v>
      </c>
      <c r="Y207">
        <v>100000</v>
      </c>
      <c r="Z207" s="29">
        <f t="shared" ca="1" si="4"/>
        <v>40</v>
      </c>
      <c r="AA207">
        <f ca="1">IF(T_EMPLOYEES[[#This Row],[EMPLOYEE NUMBER]]="","",ROW(T_EMPLOYEES[[#This Row],[EMPLOYEE LABEL]])-ROW(T_EMPLOYEES[[#Headers],[EMPLOYEE LABEL]]))</f>
        <v>204</v>
      </c>
      <c r="AB207">
        <f ca="1">IF(T_EMPLOYEES[[#This Row],[EMPLOYEE NUMBER]]="","",IF(COUNTIF(T_EMPLOYEES[EMPLOYEE NUMBER],T_EMPLOYEES[[#This Row],[EMPLOYEE NUMBER]])&gt;1,1,0))</f>
        <v>0</v>
      </c>
      <c r="AC207">
        <f ca="1">IF(T_EMPLOYEES[[#This Row],[EMPLOYEE NUMBER]]="","",IF(AND(T_EMPLOYEES[[#This Row],[DATE OF BIRTH]]&gt;0,T_EMPLOYEES[[#This Row],[DATE OF BIRTH]]&lt;TODAY()),0,1))</f>
        <v>0</v>
      </c>
      <c r="AD207">
        <f ca="1">IF(T_EMPLOYEES[[#This Row],[EMPLOYEE NUMBER]]="","",IF(AND(T_EMPLOYEES[[#This Row],[START DATE]]&gt;0,T_EMPLOYEES[[#This Row],[START DATE]]&lt;TODAY()+60),0,1))</f>
        <v>0</v>
      </c>
      <c r="AE207">
        <f ca="1">IF(T_EMPLOYEES[[#This Row],[EMPLOYEE NUMBER]]="","",MATCH(T_EMPLOYEES[[#This Row],[GENDER]],L_GENDER,0))</f>
        <v>2</v>
      </c>
      <c r="AF207">
        <f ca="1">IF(T_EMPLOYEES[[#This Row],[EMPLOYEE NUMBER]]="","",MATCH(T_EMPLOYEES[[#This Row],[HIRE SOURCE]],L_HIRESOURCE,0))</f>
        <v>4</v>
      </c>
      <c r="AG207">
        <f ca="1">IF(T_EMPLOYEES[[#This Row],[EMPLOYEE NUMBER]]="","",MATCH(T_EMPLOYEES[[#This Row],[ETHNICITY]],L_ETHNICITY,0))</f>
        <v>3</v>
      </c>
      <c r="AH207">
        <f ca="1">IF(T_EMPLOYEES[[#This Row],[EMPLOYEE NUMBER]]="","",MATCH(T_EMPLOYEES[[#This Row],[LOCATION]],L_LOCATION,0))</f>
        <v>1</v>
      </c>
      <c r="AI207">
        <f ca="1">IF(T_EMPLOYEES[[#This Row],[EMPLOYEE NUMBER]]="","",MATCH(T_EMPLOYEES[[#This Row],[DEPARTMENT]],L_DEPARTMENT,0))</f>
        <v>2</v>
      </c>
      <c r="AJ207">
        <f ca="1">IF(T_EMPLOYEES[[#This Row],[EMPLOYEE NUMBER]]="","",MATCH(T_EMPLOYEES[[#This Row],[JOB TYPE]],L_JOBTYPE,0))</f>
        <v>2</v>
      </c>
      <c r="AK207">
        <f ca="1">IF(T_EMPLOYEES[[#This Row],[EMPLOYEE NUMBER]]="","",MATCH(T_EMPLOYEES[[#This Row],[JOB CATEGORY]],L_JOBCATEGORY,0))</f>
        <v>15</v>
      </c>
      <c r="AL207">
        <f ca="1">IF(T_EMPLOYEES[[#This Row],[EMPLOYEE NUMBER]]="","",MATCH(T_EMPLOYEES[[#This Row],[JOB LEVEL]],L_JOBLEVEL,0))</f>
        <v>3</v>
      </c>
      <c r="AM207">
        <f ca="1">IF(T_EMPLOYEES[[#This Row],[EMPLOYEE NUMBER]]="","",MATCH(T_EMPLOYEES[[#This Row],[JOB TITLE]],L_JOBTITLE,0))</f>
        <v>15</v>
      </c>
      <c r="AN207">
        <f ca="1">IF(T_EMPLOYEES[[#This Row],[EMPLOYEE NUMBER]]="","",MATCH(T_EMPLOYEES[[#This Row],[MANAGER]],L_EMPLABELS,0))</f>
        <v>64</v>
      </c>
      <c r="AO207">
        <f ca="1">IF(T_EMPLOYEES[[#This Row],[EMPLOYEE NUMBER]]="","",IF(T_EMPLOYEES[[#This Row],[ERROR]]="",0,1))</f>
        <v>0</v>
      </c>
      <c r="AP20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8" spans="1:42">
      <c r="A208" t="s">
        <v>810</v>
      </c>
      <c r="B208" t="s">
        <v>811</v>
      </c>
      <c r="C208">
        <v>1026766</v>
      </c>
      <c r="D208" t="s">
        <v>812</v>
      </c>
      <c r="E208" s="26">
        <v>33524</v>
      </c>
      <c r="F208" s="26">
        <v>44473</v>
      </c>
      <c r="H208" t="s">
        <v>27</v>
      </c>
      <c r="I208" t="s">
        <v>54</v>
      </c>
      <c r="J208" t="s">
        <v>64</v>
      </c>
      <c r="K208" t="s">
        <v>30</v>
      </c>
      <c r="L208" s="27" t="s">
        <v>45</v>
      </c>
      <c r="M208" t="s">
        <v>46</v>
      </c>
      <c r="N208" t="s">
        <v>111</v>
      </c>
      <c r="O208" t="s">
        <v>71</v>
      </c>
      <c r="P208" t="s">
        <v>111</v>
      </c>
      <c r="Q208" t="s">
        <v>418</v>
      </c>
      <c r="R208" s="27">
        <v>5</v>
      </c>
      <c r="S208" s="1">
        <v>250000</v>
      </c>
      <c r="T208" s="1">
        <f ca="1">ROUND(T_EMPLOYEES[[#This Row],[EMP_CTC1]]/12, 0)</f>
        <v>20833</v>
      </c>
      <c r="U208" s="1">
        <v>150000</v>
      </c>
      <c r="V208" s="1" t="s">
        <v>207</v>
      </c>
      <c r="W208" s="1" t="s">
        <v>207</v>
      </c>
      <c r="X20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Raviprasad Jhuriprasad Gupta (1026766)</v>
      </c>
      <c r="Y208">
        <v>100000</v>
      </c>
      <c r="Z208" s="29">
        <f t="shared" ca="1" si="4"/>
        <v>40</v>
      </c>
      <c r="AA208">
        <f ca="1">IF(T_EMPLOYEES[[#This Row],[EMPLOYEE NUMBER]]="","",ROW(T_EMPLOYEES[[#This Row],[EMPLOYEE LABEL]])-ROW(T_EMPLOYEES[[#Headers],[EMPLOYEE LABEL]]))</f>
        <v>205</v>
      </c>
      <c r="AB208">
        <f ca="1">IF(T_EMPLOYEES[[#This Row],[EMPLOYEE NUMBER]]="","",IF(COUNTIF(T_EMPLOYEES[EMPLOYEE NUMBER],T_EMPLOYEES[[#This Row],[EMPLOYEE NUMBER]])&gt;1,1,0))</f>
        <v>0</v>
      </c>
      <c r="AC208">
        <f ca="1">IF(T_EMPLOYEES[[#This Row],[EMPLOYEE NUMBER]]="","",IF(AND(T_EMPLOYEES[[#This Row],[DATE OF BIRTH]]&gt;0,T_EMPLOYEES[[#This Row],[DATE OF BIRTH]]&lt;TODAY()),0,1))</f>
        <v>0</v>
      </c>
      <c r="AD208">
        <f ca="1">IF(T_EMPLOYEES[[#This Row],[EMPLOYEE NUMBER]]="","",IF(AND(T_EMPLOYEES[[#This Row],[START DATE]]&gt;0,T_EMPLOYEES[[#This Row],[START DATE]]&lt;TODAY()+60),0,1))</f>
        <v>0</v>
      </c>
      <c r="AE208">
        <f ca="1">IF(T_EMPLOYEES[[#This Row],[EMPLOYEE NUMBER]]="","",MATCH(T_EMPLOYEES[[#This Row],[GENDER]],L_GENDER,0))</f>
        <v>1</v>
      </c>
      <c r="AF208">
        <f ca="1">IF(T_EMPLOYEES[[#This Row],[EMPLOYEE NUMBER]]="","",MATCH(T_EMPLOYEES[[#This Row],[HIRE SOURCE]],L_HIRESOURCE,0))</f>
        <v>4</v>
      </c>
      <c r="AG208">
        <f ca="1">IF(T_EMPLOYEES[[#This Row],[EMPLOYEE NUMBER]]="","",MATCH(T_EMPLOYEES[[#This Row],[ETHNICITY]],L_ETHNICITY,0))</f>
        <v>3</v>
      </c>
      <c r="AH208">
        <f ca="1">IF(T_EMPLOYEES[[#This Row],[EMPLOYEE NUMBER]]="","",MATCH(T_EMPLOYEES[[#This Row],[LOCATION]],L_LOCATION,0))</f>
        <v>1</v>
      </c>
      <c r="AI208">
        <f ca="1">IF(T_EMPLOYEES[[#This Row],[EMPLOYEE NUMBER]]="","",MATCH(T_EMPLOYEES[[#This Row],[DEPARTMENT]],L_DEPARTMENT,0))</f>
        <v>2</v>
      </c>
      <c r="AJ208">
        <f ca="1">IF(T_EMPLOYEES[[#This Row],[EMPLOYEE NUMBER]]="","",MATCH(T_EMPLOYEES[[#This Row],[JOB TYPE]],L_JOBTYPE,0))</f>
        <v>2</v>
      </c>
      <c r="AK208">
        <f ca="1">IF(T_EMPLOYEES[[#This Row],[EMPLOYEE NUMBER]]="","",MATCH(T_EMPLOYEES[[#This Row],[JOB CATEGORY]],L_JOBCATEGORY,0))</f>
        <v>10</v>
      </c>
      <c r="AL208">
        <f ca="1">IF(T_EMPLOYEES[[#This Row],[EMPLOYEE NUMBER]]="","",MATCH(T_EMPLOYEES[[#This Row],[JOB LEVEL]],L_JOBLEVEL,0))</f>
        <v>4</v>
      </c>
      <c r="AM208">
        <f ca="1">IF(T_EMPLOYEES[[#This Row],[EMPLOYEE NUMBER]]="","",MATCH(T_EMPLOYEES[[#This Row],[JOB TITLE]],L_JOBTITLE,0))</f>
        <v>10</v>
      </c>
      <c r="AN208">
        <f ca="1">IF(T_EMPLOYEES[[#This Row],[EMPLOYEE NUMBER]]="","",MATCH(T_EMPLOYEES[[#This Row],[MANAGER]],L_EMPLABELS,0))</f>
        <v>120</v>
      </c>
      <c r="AO208">
        <f ca="1">IF(T_EMPLOYEES[[#This Row],[EMPLOYEE NUMBER]]="","",IF(T_EMPLOYEES[[#This Row],[ERROR]]="",0,1))</f>
        <v>0</v>
      </c>
      <c r="AP20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9" spans="1:42">
      <c r="A209" t="s">
        <v>813</v>
      </c>
      <c r="B209" t="s">
        <v>814</v>
      </c>
      <c r="C209">
        <v>1026951</v>
      </c>
      <c r="D209" t="s">
        <v>815</v>
      </c>
      <c r="E209" s="26">
        <v>33530</v>
      </c>
      <c r="F209" s="26">
        <v>44494</v>
      </c>
      <c r="H209" t="s">
        <v>27</v>
      </c>
      <c r="I209" t="s">
        <v>54</v>
      </c>
      <c r="J209" t="s">
        <v>64</v>
      </c>
      <c r="K209" t="s">
        <v>30</v>
      </c>
      <c r="L209" s="27" t="s">
        <v>45</v>
      </c>
      <c r="M209" t="s">
        <v>46</v>
      </c>
      <c r="N209" t="s">
        <v>148</v>
      </c>
      <c r="O209" t="s">
        <v>48</v>
      </c>
      <c r="P209" t="s">
        <v>148</v>
      </c>
      <c r="Q209" t="s">
        <v>218</v>
      </c>
      <c r="R209">
        <v>4</v>
      </c>
      <c r="S209" s="1">
        <v>250000</v>
      </c>
      <c r="T209" s="1">
        <f ca="1">ROUND(T_EMPLOYEES[[#This Row],[EMP_CTC1]]/12, 0)</f>
        <v>20833</v>
      </c>
      <c r="U209" s="1">
        <v>150000</v>
      </c>
      <c r="V209" s="1" t="s">
        <v>207</v>
      </c>
      <c r="W209" s="1" t="s">
        <v>207</v>
      </c>
      <c r="X20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Mattam  Satish (1026951)</v>
      </c>
      <c r="Y209">
        <v>100000</v>
      </c>
      <c r="Z209" s="29">
        <f t="shared" ca="1" si="4"/>
        <v>40</v>
      </c>
      <c r="AA209">
        <f ca="1">IF(T_EMPLOYEES[[#This Row],[EMPLOYEE NUMBER]]="","",ROW(T_EMPLOYEES[[#This Row],[EMPLOYEE LABEL]])-ROW(T_EMPLOYEES[[#Headers],[EMPLOYEE LABEL]]))</f>
        <v>206</v>
      </c>
      <c r="AB209">
        <f ca="1">IF(T_EMPLOYEES[[#This Row],[EMPLOYEE NUMBER]]="","",IF(COUNTIF(T_EMPLOYEES[EMPLOYEE NUMBER],T_EMPLOYEES[[#This Row],[EMPLOYEE NUMBER]])&gt;1,1,0))</f>
        <v>0</v>
      </c>
      <c r="AC209">
        <f ca="1">IF(T_EMPLOYEES[[#This Row],[EMPLOYEE NUMBER]]="","",IF(AND(T_EMPLOYEES[[#This Row],[DATE OF BIRTH]]&gt;0,T_EMPLOYEES[[#This Row],[DATE OF BIRTH]]&lt;TODAY()),0,1))</f>
        <v>0</v>
      </c>
      <c r="AD209">
        <f ca="1">IF(T_EMPLOYEES[[#This Row],[EMPLOYEE NUMBER]]="","",IF(AND(T_EMPLOYEES[[#This Row],[START DATE]]&gt;0,T_EMPLOYEES[[#This Row],[START DATE]]&lt;TODAY()+60),0,1))</f>
        <v>0</v>
      </c>
      <c r="AE209">
        <f ca="1">IF(T_EMPLOYEES[[#This Row],[EMPLOYEE NUMBER]]="","",MATCH(T_EMPLOYEES[[#This Row],[GENDER]],L_GENDER,0))</f>
        <v>1</v>
      </c>
      <c r="AF209">
        <f ca="1">IF(T_EMPLOYEES[[#This Row],[EMPLOYEE NUMBER]]="","",MATCH(T_EMPLOYEES[[#This Row],[HIRE SOURCE]],L_HIRESOURCE,0))</f>
        <v>4</v>
      </c>
      <c r="AG209">
        <f ca="1">IF(T_EMPLOYEES[[#This Row],[EMPLOYEE NUMBER]]="","",MATCH(T_EMPLOYEES[[#This Row],[ETHNICITY]],L_ETHNICITY,0))</f>
        <v>3</v>
      </c>
      <c r="AH209">
        <f ca="1">IF(T_EMPLOYEES[[#This Row],[EMPLOYEE NUMBER]]="","",MATCH(T_EMPLOYEES[[#This Row],[LOCATION]],L_LOCATION,0))</f>
        <v>1</v>
      </c>
      <c r="AI209">
        <f ca="1">IF(T_EMPLOYEES[[#This Row],[EMPLOYEE NUMBER]]="","",MATCH(T_EMPLOYEES[[#This Row],[DEPARTMENT]],L_DEPARTMENT,0))</f>
        <v>2</v>
      </c>
      <c r="AJ209">
        <f ca="1">IF(T_EMPLOYEES[[#This Row],[EMPLOYEE NUMBER]]="","",MATCH(T_EMPLOYEES[[#This Row],[JOB TYPE]],L_JOBTYPE,0))</f>
        <v>2</v>
      </c>
      <c r="AK209">
        <f ca="1">IF(T_EMPLOYEES[[#This Row],[EMPLOYEE NUMBER]]="","",MATCH(T_EMPLOYEES[[#This Row],[JOB CATEGORY]],L_JOBCATEGORY,0))</f>
        <v>27</v>
      </c>
      <c r="AL209">
        <f ca="1">IF(T_EMPLOYEES[[#This Row],[EMPLOYEE NUMBER]]="","",MATCH(T_EMPLOYEES[[#This Row],[JOB LEVEL]],L_JOBLEVEL,0))</f>
        <v>2</v>
      </c>
      <c r="AM209">
        <f ca="1">IF(T_EMPLOYEES[[#This Row],[EMPLOYEE NUMBER]]="","",MATCH(T_EMPLOYEES[[#This Row],[JOB TITLE]],L_JOBTITLE,0))</f>
        <v>27</v>
      </c>
      <c r="AN209">
        <f ca="1">IF(T_EMPLOYEES[[#This Row],[EMPLOYEE NUMBER]]="","",MATCH(T_EMPLOYEES[[#This Row],[MANAGER]],L_EMPLABELS,0))</f>
        <v>43</v>
      </c>
      <c r="AO209">
        <f ca="1">IF(T_EMPLOYEES[[#This Row],[EMPLOYEE NUMBER]]="","",IF(T_EMPLOYEES[[#This Row],[ERROR]]="",0,1))</f>
        <v>0</v>
      </c>
      <c r="AP20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0" spans="1:42">
      <c r="A210" t="s">
        <v>816</v>
      </c>
      <c r="B210" t="s">
        <v>817</v>
      </c>
      <c r="C210">
        <v>1028104</v>
      </c>
      <c r="D210" t="s">
        <v>818</v>
      </c>
      <c r="E210" s="26">
        <v>33531</v>
      </c>
      <c r="F210" s="26">
        <v>44582</v>
      </c>
      <c r="H210" t="s">
        <v>40</v>
      </c>
      <c r="I210" t="s">
        <v>54</v>
      </c>
      <c r="J210" t="s">
        <v>64</v>
      </c>
      <c r="K210" t="s">
        <v>30</v>
      </c>
      <c r="L210" s="27" t="s">
        <v>45</v>
      </c>
      <c r="M210" t="s">
        <v>46</v>
      </c>
      <c r="N210" t="s">
        <v>151</v>
      </c>
      <c r="O210" t="s">
        <v>36</v>
      </c>
      <c r="P210" t="s">
        <v>151</v>
      </c>
      <c r="Q210" t="s">
        <v>431</v>
      </c>
      <c r="R210" s="27">
        <v>0</v>
      </c>
      <c r="S210" s="1">
        <v>250000</v>
      </c>
      <c r="T210" s="1">
        <f ca="1">ROUND(T_EMPLOYEES[[#This Row],[EMP_CTC1]]/12, 0)</f>
        <v>20833</v>
      </c>
      <c r="U210" s="1">
        <v>150000</v>
      </c>
      <c r="V210" s="1" t="s">
        <v>207</v>
      </c>
      <c r="W210" s="1" t="s">
        <v>432</v>
      </c>
      <c r="X21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Anumula  Soujanya (1028104)</v>
      </c>
      <c r="Y210">
        <v>100000</v>
      </c>
      <c r="Z210" s="29">
        <f t="shared" ca="1" si="4"/>
        <v>40</v>
      </c>
      <c r="AA210">
        <f ca="1">IF(T_EMPLOYEES[[#This Row],[EMPLOYEE NUMBER]]="","",ROW(T_EMPLOYEES[[#This Row],[EMPLOYEE LABEL]])-ROW(T_EMPLOYEES[[#Headers],[EMPLOYEE LABEL]]))</f>
        <v>207</v>
      </c>
      <c r="AB210">
        <f ca="1">IF(T_EMPLOYEES[[#This Row],[EMPLOYEE NUMBER]]="","",IF(COUNTIF(T_EMPLOYEES[EMPLOYEE NUMBER],T_EMPLOYEES[[#This Row],[EMPLOYEE NUMBER]])&gt;1,1,0))</f>
        <v>0</v>
      </c>
      <c r="AC210">
        <f ca="1">IF(T_EMPLOYEES[[#This Row],[EMPLOYEE NUMBER]]="","",IF(AND(T_EMPLOYEES[[#This Row],[DATE OF BIRTH]]&gt;0,T_EMPLOYEES[[#This Row],[DATE OF BIRTH]]&lt;TODAY()),0,1))</f>
        <v>0</v>
      </c>
      <c r="AD210">
        <f ca="1">IF(T_EMPLOYEES[[#This Row],[EMPLOYEE NUMBER]]="","",IF(AND(T_EMPLOYEES[[#This Row],[START DATE]]&gt;0,T_EMPLOYEES[[#This Row],[START DATE]]&lt;TODAY()+60),0,1))</f>
        <v>0</v>
      </c>
      <c r="AE210">
        <f ca="1">IF(T_EMPLOYEES[[#This Row],[EMPLOYEE NUMBER]]="","",MATCH(T_EMPLOYEES[[#This Row],[GENDER]],L_GENDER,0))</f>
        <v>2</v>
      </c>
      <c r="AF210">
        <f ca="1">IF(T_EMPLOYEES[[#This Row],[EMPLOYEE NUMBER]]="","",MATCH(T_EMPLOYEES[[#This Row],[HIRE SOURCE]],L_HIRESOURCE,0))</f>
        <v>4</v>
      </c>
      <c r="AG210">
        <f ca="1">IF(T_EMPLOYEES[[#This Row],[EMPLOYEE NUMBER]]="","",MATCH(T_EMPLOYEES[[#This Row],[ETHNICITY]],L_ETHNICITY,0))</f>
        <v>3</v>
      </c>
      <c r="AH210">
        <f ca="1">IF(T_EMPLOYEES[[#This Row],[EMPLOYEE NUMBER]]="","",MATCH(T_EMPLOYEES[[#This Row],[LOCATION]],L_LOCATION,0))</f>
        <v>1</v>
      </c>
      <c r="AI210">
        <f ca="1">IF(T_EMPLOYEES[[#This Row],[EMPLOYEE NUMBER]]="","",MATCH(T_EMPLOYEES[[#This Row],[DEPARTMENT]],L_DEPARTMENT,0))</f>
        <v>2</v>
      </c>
      <c r="AJ210">
        <f ca="1">IF(T_EMPLOYEES[[#This Row],[EMPLOYEE NUMBER]]="","",MATCH(T_EMPLOYEES[[#This Row],[JOB TYPE]],L_JOBTYPE,0))</f>
        <v>2</v>
      </c>
      <c r="AK210">
        <f ca="1">IF(T_EMPLOYEES[[#This Row],[EMPLOYEE NUMBER]]="","",MATCH(T_EMPLOYEES[[#This Row],[JOB CATEGORY]],L_JOBCATEGORY,0))</f>
        <v>30</v>
      </c>
      <c r="AL210">
        <f ca="1">IF(T_EMPLOYEES[[#This Row],[EMPLOYEE NUMBER]]="","",MATCH(T_EMPLOYEES[[#This Row],[JOB LEVEL]],L_JOBLEVEL,0))</f>
        <v>1</v>
      </c>
      <c r="AM210">
        <f ca="1">IF(T_EMPLOYEES[[#This Row],[EMPLOYEE NUMBER]]="","",MATCH(T_EMPLOYEES[[#This Row],[JOB TITLE]],L_JOBTITLE,0))</f>
        <v>30</v>
      </c>
      <c r="AN210">
        <f ca="1">IF(T_EMPLOYEES[[#This Row],[EMPLOYEE NUMBER]]="","",MATCH(T_EMPLOYEES[[#This Row],[MANAGER]],L_EMPLABELS,0))</f>
        <v>87</v>
      </c>
      <c r="AO210">
        <f ca="1">IF(T_EMPLOYEES[[#This Row],[EMPLOYEE NUMBER]]="","",IF(T_EMPLOYEES[[#This Row],[ERROR]]="",0,1))</f>
        <v>0</v>
      </c>
      <c r="AP21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1" spans="1:42">
      <c r="A211" t="s">
        <v>819</v>
      </c>
      <c r="B211" t="s">
        <v>820</v>
      </c>
      <c r="C211">
        <v>1030116</v>
      </c>
      <c r="D211" t="s">
        <v>821</v>
      </c>
      <c r="E211" s="26">
        <v>33554</v>
      </c>
      <c r="F211" s="26">
        <v>44809</v>
      </c>
      <c r="H211" t="s">
        <v>27</v>
      </c>
      <c r="I211" t="s">
        <v>54</v>
      </c>
      <c r="J211" t="s">
        <v>64</v>
      </c>
      <c r="K211" t="s">
        <v>30</v>
      </c>
      <c r="L211" s="27" t="s">
        <v>45</v>
      </c>
      <c r="M211" t="s">
        <v>46</v>
      </c>
      <c r="N211" t="s">
        <v>128</v>
      </c>
      <c r="O211" t="s">
        <v>60</v>
      </c>
      <c r="P211" t="s">
        <v>128</v>
      </c>
      <c r="Q211" t="s">
        <v>608</v>
      </c>
      <c r="R211">
        <v>4</v>
      </c>
      <c r="S211" s="1">
        <v>250000</v>
      </c>
      <c r="T211" s="1">
        <f ca="1">ROUND(T_EMPLOYEES[[#This Row],[EMP_CTC1]]/12, 0)</f>
        <v>20833</v>
      </c>
      <c r="U211" s="1">
        <v>150000</v>
      </c>
      <c r="V211" s="1" t="s">
        <v>207</v>
      </c>
      <c r="W211" s="1" t="s">
        <v>207</v>
      </c>
      <c r="X21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Mogarala Ganapathi (1030116)</v>
      </c>
      <c r="Y211">
        <v>100000</v>
      </c>
      <c r="Z211" s="29">
        <f t="shared" ca="1" si="4"/>
        <v>40</v>
      </c>
      <c r="AA211">
        <f ca="1">IF(T_EMPLOYEES[[#This Row],[EMPLOYEE NUMBER]]="","",ROW(T_EMPLOYEES[[#This Row],[EMPLOYEE LABEL]])-ROW(T_EMPLOYEES[[#Headers],[EMPLOYEE LABEL]]))</f>
        <v>208</v>
      </c>
      <c r="AB211">
        <f ca="1">IF(T_EMPLOYEES[[#This Row],[EMPLOYEE NUMBER]]="","",IF(COUNTIF(T_EMPLOYEES[EMPLOYEE NUMBER],T_EMPLOYEES[[#This Row],[EMPLOYEE NUMBER]])&gt;1,1,0))</f>
        <v>0</v>
      </c>
      <c r="AC211">
        <f ca="1">IF(T_EMPLOYEES[[#This Row],[EMPLOYEE NUMBER]]="","",IF(AND(T_EMPLOYEES[[#This Row],[DATE OF BIRTH]]&gt;0,T_EMPLOYEES[[#This Row],[DATE OF BIRTH]]&lt;TODAY()),0,1))</f>
        <v>0</v>
      </c>
      <c r="AD211">
        <f ca="1">IF(T_EMPLOYEES[[#This Row],[EMPLOYEE NUMBER]]="","",IF(AND(T_EMPLOYEES[[#This Row],[START DATE]]&gt;0,T_EMPLOYEES[[#This Row],[START DATE]]&lt;TODAY()+60),0,1))</f>
        <v>0</v>
      </c>
      <c r="AE211">
        <f ca="1">IF(T_EMPLOYEES[[#This Row],[EMPLOYEE NUMBER]]="","",MATCH(T_EMPLOYEES[[#This Row],[GENDER]],L_GENDER,0))</f>
        <v>1</v>
      </c>
      <c r="AF211">
        <f ca="1">IF(T_EMPLOYEES[[#This Row],[EMPLOYEE NUMBER]]="","",MATCH(T_EMPLOYEES[[#This Row],[HIRE SOURCE]],L_HIRESOURCE,0))</f>
        <v>4</v>
      </c>
      <c r="AG211">
        <f ca="1">IF(T_EMPLOYEES[[#This Row],[EMPLOYEE NUMBER]]="","",MATCH(T_EMPLOYEES[[#This Row],[ETHNICITY]],L_ETHNICITY,0))</f>
        <v>3</v>
      </c>
      <c r="AH211">
        <f ca="1">IF(T_EMPLOYEES[[#This Row],[EMPLOYEE NUMBER]]="","",MATCH(T_EMPLOYEES[[#This Row],[LOCATION]],L_LOCATION,0))</f>
        <v>1</v>
      </c>
      <c r="AI211">
        <f ca="1">IF(T_EMPLOYEES[[#This Row],[EMPLOYEE NUMBER]]="","",MATCH(T_EMPLOYEES[[#This Row],[DEPARTMENT]],L_DEPARTMENT,0))</f>
        <v>2</v>
      </c>
      <c r="AJ211">
        <f ca="1">IF(T_EMPLOYEES[[#This Row],[EMPLOYEE NUMBER]]="","",MATCH(T_EMPLOYEES[[#This Row],[JOB TYPE]],L_JOBTYPE,0))</f>
        <v>2</v>
      </c>
      <c r="AK211">
        <f ca="1">IF(T_EMPLOYEES[[#This Row],[EMPLOYEE NUMBER]]="","",MATCH(T_EMPLOYEES[[#This Row],[JOB CATEGORY]],L_JOBCATEGORY,0))</f>
        <v>15</v>
      </c>
      <c r="AL211">
        <f ca="1">IF(T_EMPLOYEES[[#This Row],[EMPLOYEE NUMBER]]="","",MATCH(T_EMPLOYEES[[#This Row],[JOB LEVEL]],L_JOBLEVEL,0))</f>
        <v>3</v>
      </c>
      <c r="AM211">
        <f ca="1">IF(T_EMPLOYEES[[#This Row],[EMPLOYEE NUMBER]]="","",MATCH(T_EMPLOYEES[[#This Row],[JOB TITLE]],L_JOBTITLE,0))</f>
        <v>15</v>
      </c>
      <c r="AN211">
        <f ca="1">IF(T_EMPLOYEES[[#This Row],[EMPLOYEE NUMBER]]="","",MATCH(T_EMPLOYEES[[#This Row],[MANAGER]],L_EMPLABELS,0))</f>
        <v>105</v>
      </c>
      <c r="AO211">
        <f ca="1">IF(T_EMPLOYEES[[#This Row],[EMPLOYEE NUMBER]]="","",IF(T_EMPLOYEES[[#This Row],[ERROR]]="",0,1))</f>
        <v>0</v>
      </c>
      <c r="AP21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2" spans="1:42">
      <c r="A212" t="s">
        <v>822</v>
      </c>
      <c r="B212" t="s">
        <v>823</v>
      </c>
      <c r="C212">
        <v>1029405</v>
      </c>
      <c r="D212" t="s">
        <v>824</v>
      </c>
      <c r="E212" s="26">
        <v>33578</v>
      </c>
      <c r="F212" s="26">
        <v>44741</v>
      </c>
      <c r="H212" t="s">
        <v>27</v>
      </c>
      <c r="I212" t="s">
        <v>54</v>
      </c>
      <c r="J212" t="s">
        <v>64</v>
      </c>
      <c r="K212" t="s">
        <v>30</v>
      </c>
      <c r="L212" s="27" t="s">
        <v>45</v>
      </c>
      <c r="M212" t="s">
        <v>46</v>
      </c>
      <c r="N212" t="s">
        <v>148</v>
      </c>
      <c r="O212" t="s">
        <v>48</v>
      </c>
      <c r="P212" t="s">
        <v>148</v>
      </c>
      <c r="Q212" t="s">
        <v>246</v>
      </c>
      <c r="R212" s="27">
        <v>4</v>
      </c>
      <c r="S212" s="1">
        <v>250000</v>
      </c>
      <c r="T212" s="1">
        <f ca="1">ROUND(T_EMPLOYEES[[#This Row],[EMP_CTC1]]/12, 0)</f>
        <v>20833</v>
      </c>
      <c r="U212" s="1">
        <v>150000</v>
      </c>
      <c r="V212" s="1" t="s">
        <v>207</v>
      </c>
      <c r="W212" s="1" t="s">
        <v>207</v>
      </c>
      <c r="X21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Kartik Shivappa Ganiger (1029405)</v>
      </c>
      <c r="Y212">
        <v>100000</v>
      </c>
      <c r="Z212" s="29">
        <f t="shared" ca="1" si="4"/>
        <v>40</v>
      </c>
      <c r="AA212">
        <f ca="1">IF(T_EMPLOYEES[[#This Row],[EMPLOYEE NUMBER]]="","",ROW(T_EMPLOYEES[[#This Row],[EMPLOYEE LABEL]])-ROW(T_EMPLOYEES[[#Headers],[EMPLOYEE LABEL]]))</f>
        <v>209</v>
      </c>
      <c r="AB212">
        <f ca="1">IF(T_EMPLOYEES[[#This Row],[EMPLOYEE NUMBER]]="","",IF(COUNTIF(T_EMPLOYEES[EMPLOYEE NUMBER],T_EMPLOYEES[[#This Row],[EMPLOYEE NUMBER]])&gt;1,1,0))</f>
        <v>0</v>
      </c>
      <c r="AC212">
        <f ca="1">IF(T_EMPLOYEES[[#This Row],[EMPLOYEE NUMBER]]="","",IF(AND(T_EMPLOYEES[[#This Row],[DATE OF BIRTH]]&gt;0,T_EMPLOYEES[[#This Row],[DATE OF BIRTH]]&lt;TODAY()),0,1))</f>
        <v>0</v>
      </c>
      <c r="AD212">
        <f ca="1">IF(T_EMPLOYEES[[#This Row],[EMPLOYEE NUMBER]]="","",IF(AND(T_EMPLOYEES[[#This Row],[START DATE]]&gt;0,T_EMPLOYEES[[#This Row],[START DATE]]&lt;TODAY()+60),0,1))</f>
        <v>0</v>
      </c>
      <c r="AE212">
        <f ca="1">IF(T_EMPLOYEES[[#This Row],[EMPLOYEE NUMBER]]="","",MATCH(T_EMPLOYEES[[#This Row],[GENDER]],L_GENDER,0))</f>
        <v>1</v>
      </c>
      <c r="AF212">
        <f ca="1">IF(T_EMPLOYEES[[#This Row],[EMPLOYEE NUMBER]]="","",MATCH(T_EMPLOYEES[[#This Row],[HIRE SOURCE]],L_HIRESOURCE,0))</f>
        <v>4</v>
      </c>
      <c r="AG212">
        <f ca="1">IF(T_EMPLOYEES[[#This Row],[EMPLOYEE NUMBER]]="","",MATCH(T_EMPLOYEES[[#This Row],[ETHNICITY]],L_ETHNICITY,0))</f>
        <v>3</v>
      </c>
      <c r="AH212">
        <f ca="1">IF(T_EMPLOYEES[[#This Row],[EMPLOYEE NUMBER]]="","",MATCH(T_EMPLOYEES[[#This Row],[LOCATION]],L_LOCATION,0))</f>
        <v>1</v>
      </c>
      <c r="AI212">
        <f ca="1">IF(T_EMPLOYEES[[#This Row],[EMPLOYEE NUMBER]]="","",MATCH(T_EMPLOYEES[[#This Row],[DEPARTMENT]],L_DEPARTMENT,0))</f>
        <v>2</v>
      </c>
      <c r="AJ212">
        <f ca="1">IF(T_EMPLOYEES[[#This Row],[EMPLOYEE NUMBER]]="","",MATCH(T_EMPLOYEES[[#This Row],[JOB TYPE]],L_JOBTYPE,0))</f>
        <v>2</v>
      </c>
      <c r="AK212">
        <f ca="1">IF(T_EMPLOYEES[[#This Row],[EMPLOYEE NUMBER]]="","",MATCH(T_EMPLOYEES[[#This Row],[JOB CATEGORY]],L_JOBCATEGORY,0))</f>
        <v>27</v>
      </c>
      <c r="AL212">
        <f ca="1">IF(T_EMPLOYEES[[#This Row],[EMPLOYEE NUMBER]]="","",MATCH(T_EMPLOYEES[[#This Row],[JOB LEVEL]],L_JOBLEVEL,0))</f>
        <v>2</v>
      </c>
      <c r="AM212">
        <f ca="1">IF(T_EMPLOYEES[[#This Row],[EMPLOYEE NUMBER]]="","",MATCH(T_EMPLOYEES[[#This Row],[JOB TITLE]],L_JOBTITLE,0))</f>
        <v>27</v>
      </c>
      <c r="AN212">
        <f ca="1">IF(T_EMPLOYEES[[#This Row],[EMPLOYEE NUMBER]]="","",MATCH(T_EMPLOYEES[[#This Row],[MANAGER]],L_EMPLABELS,0))</f>
        <v>68</v>
      </c>
      <c r="AO212">
        <f ca="1">IF(T_EMPLOYEES[[#This Row],[EMPLOYEE NUMBER]]="","",IF(T_EMPLOYEES[[#This Row],[ERROR]]="",0,1))</f>
        <v>0</v>
      </c>
      <c r="AP21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3" spans="1:42">
      <c r="A213" t="s">
        <v>825</v>
      </c>
      <c r="B213" t="s">
        <v>826</v>
      </c>
      <c r="C213">
        <v>1028128</v>
      </c>
      <c r="D213" t="s">
        <v>827</v>
      </c>
      <c r="E213" s="26">
        <v>33030</v>
      </c>
      <c r="F213" s="26">
        <v>44585</v>
      </c>
      <c r="H213" t="s">
        <v>27</v>
      </c>
      <c r="I213" t="s">
        <v>54</v>
      </c>
      <c r="J213" t="s">
        <v>64</v>
      </c>
      <c r="K213" t="s">
        <v>30</v>
      </c>
      <c r="L213" s="27" t="s">
        <v>114</v>
      </c>
      <c r="M213" t="s">
        <v>46</v>
      </c>
      <c r="N213" t="s">
        <v>111</v>
      </c>
      <c r="O213" t="s">
        <v>71</v>
      </c>
      <c r="P213" t="s">
        <v>111</v>
      </c>
      <c r="Q213" t="s">
        <v>468</v>
      </c>
      <c r="R213">
        <v>5</v>
      </c>
      <c r="S213" s="1">
        <v>250000</v>
      </c>
      <c r="T213" s="1">
        <f ca="1">ROUND(T_EMPLOYEES[[#This Row],[EMP_CTC1]]/12, 0)</f>
        <v>20833</v>
      </c>
      <c r="U213" s="1">
        <v>150000</v>
      </c>
      <c r="V213" s="1" t="s">
        <v>207</v>
      </c>
      <c r="W213" s="1" t="s">
        <v>207</v>
      </c>
      <c r="X21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Golla Venugopal (1028128)</v>
      </c>
      <c r="Y213">
        <v>100000</v>
      </c>
      <c r="Z213" s="29">
        <f t="shared" ca="1" si="4"/>
        <v>40</v>
      </c>
      <c r="AA213">
        <f ca="1">IF(T_EMPLOYEES[[#This Row],[EMPLOYEE NUMBER]]="","",ROW(T_EMPLOYEES[[#This Row],[EMPLOYEE LABEL]])-ROW(T_EMPLOYEES[[#Headers],[EMPLOYEE LABEL]]))</f>
        <v>210</v>
      </c>
      <c r="AB213">
        <f ca="1">IF(T_EMPLOYEES[[#This Row],[EMPLOYEE NUMBER]]="","",IF(COUNTIF(T_EMPLOYEES[EMPLOYEE NUMBER],T_EMPLOYEES[[#This Row],[EMPLOYEE NUMBER]])&gt;1,1,0))</f>
        <v>0</v>
      </c>
      <c r="AC213">
        <f ca="1">IF(T_EMPLOYEES[[#This Row],[EMPLOYEE NUMBER]]="","",IF(AND(T_EMPLOYEES[[#This Row],[DATE OF BIRTH]]&gt;0,T_EMPLOYEES[[#This Row],[DATE OF BIRTH]]&lt;TODAY()),0,1))</f>
        <v>0</v>
      </c>
      <c r="AD213">
        <f ca="1">IF(T_EMPLOYEES[[#This Row],[EMPLOYEE NUMBER]]="","",IF(AND(T_EMPLOYEES[[#This Row],[START DATE]]&gt;0,T_EMPLOYEES[[#This Row],[START DATE]]&lt;TODAY()+60),0,1))</f>
        <v>0</v>
      </c>
      <c r="AE213">
        <f ca="1">IF(T_EMPLOYEES[[#This Row],[EMPLOYEE NUMBER]]="","",MATCH(T_EMPLOYEES[[#This Row],[GENDER]],L_GENDER,0))</f>
        <v>1</v>
      </c>
      <c r="AF213">
        <f ca="1">IF(T_EMPLOYEES[[#This Row],[EMPLOYEE NUMBER]]="","",MATCH(T_EMPLOYEES[[#This Row],[HIRE SOURCE]],L_HIRESOURCE,0))</f>
        <v>4</v>
      </c>
      <c r="AG213">
        <f ca="1">IF(T_EMPLOYEES[[#This Row],[EMPLOYEE NUMBER]]="","",MATCH(T_EMPLOYEES[[#This Row],[ETHNICITY]],L_ETHNICITY,0))</f>
        <v>3</v>
      </c>
      <c r="AH213">
        <f ca="1">IF(T_EMPLOYEES[[#This Row],[EMPLOYEE NUMBER]]="","",MATCH(T_EMPLOYEES[[#This Row],[LOCATION]],L_LOCATION,0))</f>
        <v>1</v>
      </c>
      <c r="AI213">
        <f ca="1">IF(T_EMPLOYEES[[#This Row],[EMPLOYEE NUMBER]]="","",MATCH(T_EMPLOYEES[[#This Row],[DEPARTMENT]],L_DEPARTMENT,0))</f>
        <v>11</v>
      </c>
      <c r="AJ213">
        <f ca="1">IF(T_EMPLOYEES[[#This Row],[EMPLOYEE NUMBER]]="","",MATCH(T_EMPLOYEES[[#This Row],[JOB TYPE]],L_JOBTYPE,0))</f>
        <v>2</v>
      </c>
      <c r="AK213">
        <f ca="1">IF(T_EMPLOYEES[[#This Row],[EMPLOYEE NUMBER]]="","",MATCH(T_EMPLOYEES[[#This Row],[JOB CATEGORY]],L_JOBCATEGORY,0))</f>
        <v>10</v>
      </c>
      <c r="AL213">
        <f ca="1">IF(T_EMPLOYEES[[#This Row],[EMPLOYEE NUMBER]]="","",MATCH(T_EMPLOYEES[[#This Row],[JOB LEVEL]],L_JOBLEVEL,0))</f>
        <v>4</v>
      </c>
      <c r="AM213">
        <f ca="1">IF(T_EMPLOYEES[[#This Row],[EMPLOYEE NUMBER]]="","",MATCH(T_EMPLOYEES[[#This Row],[JOB TITLE]],L_JOBTITLE,0))</f>
        <v>10</v>
      </c>
      <c r="AN213">
        <f ca="1">IF(T_EMPLOYEES[[#This Row],[EMPLOYEE NUMBER]]="","",MATCH(T_EMPLOYEES[[#This Row],[MANAGER]],L_EMPLABELS,0))</f>
        <v>56</v>
      </c>
      <c r="AO213">
        <f ca="1">IF(T_EMPLOYEES[[#This Row],[EMPLOYEE NUMBER]]="","",IF(T_EMPLOYEES[[#This Row],[ERROR]]="",0,1))</f>
        <v>0</v>
      </c>
      <c r="AP21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4" spans="1:42">
      <c r="A214" t="s">
        <v>828</v>
      </c>
      <c r="B214" t="s">
        <v>829</v>
      </c>
      <c r="C214">
        <v>1020467</v>
      </c>
      <c r="D214" t="s">
        <v>830</v>
      </c>
      <c r="E214" s="26">
        <v>33637</v>
      </c>
      <c r="F214" s="26">
        <v>43220</v>
      </c>
      <c r="H214" t="s">
        <v>27</v>
      </c>
      <c r="I214" t="s">
        <v>54</v>
      </c>
      <c r="J214" t="s">
        <v>64</v>
      </c>
      <c r="K214" t="s">
        <v>30</v>
      </c>
      <c r="L214" s="27" t="s">
        <v>114</v>
      </c>
      <c r="M214" t="s">
        <v>46</v>
      </c>
      <c r="N214" t="s">
        <v>111</v>
      </c>
      <c r="O214" t="s">
        <v>71</v>
      </c>
      <c r="P214" t="s">
        <v>111</v>
      </c>
      <c r="Q214" t="s">
        <v>206</v>
      </c>
      <c r="R214" s="27">
        <v>5</v>
      </c>
      <c r="S214" s="1">
        <v>250000</v>
      </c>
      <c r="T214" s="1">
        <f ca="1">ROUND(T_EMPLOYEES[[#This Row],[EMP_CTC1]]/12, 0)</f>
        <v>20833</v>
      </c>
      <c r="U214" s="1">
        <v>150000</v>
      </c>
      <c r="V214" s="1" t="s">
        <v>207</v>
      </c>
      <c r="W214" s="1" t="s">
        <v>207</v>
      </c>
      <c r="X21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SumantaKumar Swain (1020467)</v>
      </c>
      <c r="Y214">
        <v>100000</v>
      </c>
      <c r="Z214" s="29">
        <f t="shared" ca="1" si="4"/>
        <v>40</v>
      </c>
      <c r="AA214">
        <f ca="1">IF(T_EMPLOYEES[[#This Row],[EMPLOYEE NUMBER]]="","",ROW(T_EMPLOYEES[[#This Row],[EMPLOYEE LABEL]])-ROW(T_EMPLOYEES[[#Headers],[EMPLOYEE LABEL]]))</f>
        <v>211</v>
      </c>
      <c r="AB214">
        <f ca="1">IF(T_EMPLOYEES[[#This Row],[EMPLOYEE NUMBER]]="","",IF(COUNTIF(T_EMPLOYEES[EMPLOYEE NUMBER],T_EMPLOYEES[[#This Row],[EMPLOYEE NUMBER]])&gt;1,1,0))</f>
        <v>0</v>
      </c>
      <c r="AC214">
        <f ca="1">IF(T_EMPLOYEES[[#This Row],[EMPLOYEE NUMBER]]="","",IF(AND(T_EMPLOYEES[[#This Row],[DATE OF BIRTH]]&gt;0,T_EMPLOYEES[[#This Row],[DATE OF BIRTH]]&lt;TODAY()),0,1))</f>
        <v>0</v>
      </c>
      <c r="AD214">
        <f ca="1">IF(T_EMPLOYEES[[#This Row],[EMPLOYEE NUMBER]]="","",IF(AND(T_EMPLOYEES[[#This Row],[START DATE]]&gt;0,T_EMPLOYEES[[#This Row],[START DATE]]&lt;TODAY()+60),0,1))</f>
        <v>0</v>
      </c>
      <c r="AE214">
        <f ca="1">IF(T_EMPLOYEES[[#This Row],[EMPLOYEE NUMBER]]="","",MATCH(T_EMPLOYEES[[#This Row],[GENDER]],L_GENDER,0))</f>
        <v>1</v>
      </c>
      <c r="AF214">
        <f ca="1">IF(T_EMPLOYEES[[#This Row],[EMPLOYEE NUMBER]]="","",MATCH(T_EMPLOYEES[[#This Row],[HIRE SOURCE]],L_HIRESOURCE,0))</f>
        <v>4</v>
      </c>
      <c r="AG214">
        <f ca="1">IF(T_EMPLOYEES[[#This Row],[EMPLOYEE NUMBER]]="","",MATCH(T_EMPLOYEES[[#This Row],[ETHNICITY]],L_ETHNICITY,0))</f>
        <v>3</v>
      </c>
      <c r="AH214">
        <f ca="1">IF(T_EMPLOYEES[[#This Row],[EMPLOYEE NUMBER]]="","",MATCH(T_EMPLOYEES[[#This Row],[LOCATION]],L_LOCATION,0))</f>
        <v>1</v>
      </c>
      <c r="AI214">
        <f ca="1">IF(T_EMPLOYEES[[#This Row],[EMPLOYEE NUMBER]]="","",MATCH(T_EMPLOYEES[[#This Row],[DEPARTMENT]],L_DEPARTMENT,0))</f>
        <v>11</v>
      </c>
      <c r="AJ214">
        <f ca="1">IF(T_EMPLOYEES[[#This Row],[EMPLOYEE NUMBER]]="","",MATCH(T_EMPLOYEES[[#This Row],[JOB TYPE]],L_JOBTYPE,0))</f>
        <v>2</v>
      </c>
      <c r="AK214">
        <f ca="1">IF(T_EMPLOYEES[[#This Row],[EMPLOYEE NUMBER]]="","",MATCH(T_EMPLOYEES[[#This Row],[JOB CATEGORY]],L_JOBCATEGORY,0))</f>
        <v>10</v>
      </c>
      <c r="AL214">
        <f ca="1">IF(T_EMPLOYEES[[#This Row],[EMPLOYEE NUMBER]]="","",MATCH(T_EMPLOYEES[[#This Row],[JOB LEVEL]],L_JOBLEVEL,0))</f>
        <v>4</v>
      </c>
      <c r="AM214">
        <f ca="1">IF(T_EMPLOYEES[[#This Row],[EMPLOYEE NUMBER]]="","",MATCH(T_EMPLOYEES[[#This Row],[JOB TITLE]],L_JOBTITLE,0))</f>
        <v>10</v>
      </c>
      <c r="AN214">
        <f ca="1">IF(T_EMPLOYEES[[#This Row],[EMPLOYEE NUMBER]]="","",MATCH(T_EMPLOYEES[[#This Row],[MANAGER]],L_EMPLABELS,0))</f>
        <v>6</v>
      </c>
      <c r="AO214">
        <f ca="1">IF(T_EMPLOYEES[[#This Row],[EMPLOYEE NUMBER]]="","",IF(T_EMPLOYEES[[#This Row],[ERROR]]="",0,1))</f>
        <v>0</v>
      </c>
      <c r="AP21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5" spans="1:42">
      <c r="A215" t="s">
        <v>831</v>
      </c>
      <c r="C215">
        <v>1026286</v>
      </c>
      <c r="D215" t="s">
        <v>832</v>
      </c>
      <c r="E215" s="26">
        <v>33667</v>
      </c>
      <c r="F215" s="26">
        <v>44438</v>
      </c>
      <c r="H215" t="s">
        <v>40</v>
      </c>
      <c r="I215" t="s">
        <v>54</v>
      </c>
      <c r="J215" t="s">
        <v>64</v>
      </c>
      <c r="K215" t="s">
        <v>30</v>
      </c>
      <c r="L215" s="27" t="s">
        <v>45</v>
      </c>
      <c r="M215" t="s">
        <v>46</v>
      </c>
      <c r="N215" t="s">
        <v>150</v>
      </c>
      <c r="O215" t="s">
        <v>60</v>
      </c>
      <c r="P215" t="s">
        <v>150</v>
      </c>
      <c r="Q215" t="s">
        <v>653</v>
      </c>
      <c r="R215">
        <v>4</v>
      </c>
      <c r="S215" s="1">
        <v>250000</v>
      </c>
      <c r="T215" s="1">
        <f ca="1">ROUND(T_EMPLOYEES[[#This Row],[EMP_CTC1]]/12, 0)</f>
        <v>20833</v>
      </c>
      <c r="U215" s="1">
        <v>150000</v>
      </c>
      <c r="V215" s="1" t="s">
        <v>207</v>
      </c>
      <c r="W215" s="1" t="s">
        <v>207</v>
      </c>
      <c r="X21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Soujanya  (1026286)</v>
      </c>
      <c r="Y215">
        <v>100000</v>
      </c>
      <c r="Z215" s="29">
        <f t="shared" ca="1" si="4"/>
        <v>40</v>
      </c>
      <c r="AA215">
        <f ca="1">IF(T_EMPLOYEES[[#This Row],[EMPLOYEE NUMBER]]="","",ROW(T_EMPLOYEES[[#This Row],[EMPLOYEE LABEL]])-ROW(T_EMPLOYEES[[#Headers],[EMPLOYEE LABEL]]))</f>
        <v>212</v>
      </c>
      <c r="AB215">
        <f ca="1">IF(T_EMPLOYEES[[#This Row],[EMPLOYEE NUMBER]]="","",IF(COUNTIF(T_EMPLOYEES[EMPLOYEE NUMBER],T_EMPLOYEES[[#This Row],[EMPLOYEE NUMBER]])&gt;1,1,0))</f>
        <v>0</v>
      </c>
      <c r="AC215">
        <f ca="1">IF(T_EMPLOYEES[[#This Row],[EMPLOYEE NUMBER]]="","",IF(AND(T_EMPLOYEES[[#This Row],[DATE OF BIRTH]]&gt;0,T_EMPLOYEES[[#This Row],[DATE OF BIRTH]]&lt;TODAY()),0,1))</f>
        <v>0</v>
      </c>
      <c r="AD215">
        <f ca="1">IF(T_EMPLOYEES[[#This Row],[EMPLOYEE NUMBER]]="","",IF(AND(T_EMPLOYEES[[#This Row],[START DATE]]&gt;0,T_EMPLOYEES[[#This Row],[START DATE]]&lt;TODAY()+60),0,1))</f>
        <v>0</v>
      </c>
      <c r="AE215">
        <f ca="1">IF(T_EMPLOYEES[[#This Row],[EMPLOYEE NUMBER]]="","",MATCH(T_EMPLOYEES[[#This Row],[GENDER]],L_GENDER,0))</f>
        <v>2</v>
      </c>
      <c r="AF215">
        <f ca="1">IF(T_EMPLOYEES[[#This Row],[EMPLOYEE NUMBER]]="","",MATCH(T_EMPLOYEES[[#This Row],[HIRE SOURCE]],L_HIRESOURCE,0))</f>
        <v>4</v>
      </c>
      <c r="AG215">
        <f ca="1">IF(T_EMPLOYEES[[#This Row],[EMPLOYEE NUMBER]]="","",MATCH(T_EMPLOYEES[[#This Row],[ETHNICITY]],L_ETHNICITY,0))</f>
        <v>3</v>
      </c>
      <c r="AH215">
        <f ca="1">IF(T_EMPLOYEES[[#This Row],[EMPLOYEE NUMBER]]="","",MATCH(T_EMPLOYEES[[#This Row],[LOCATION]],L_LOCATION,0))</f>
        <v>1</v>
      </c>
      <c r="AI215">
        <f ca="1">IF(T_EMPLOYEES[[#This Row],[EMPLOYEE NUMBER]]="","",MATCH(T_EMPLOYEES[[#This Row],[DEPARTMENT]],L_DEPARTMENT,0))</f>
        <v>2</v>
      </c>
      <c r="AJ215">
        <f ca="1">IF(T_EMPLOYEES[[#This Row],[EMPLOYEE NUMBER]]="","",MATCH(T_EMPLOYEES[[#This Row],[JOB TYPE]],L_JOBTYPE,0))</f>
        <v>2</v>
      </c>
      <c r="AK215">
        <f ca="1">IF(T_EMPLOYEES[[#This Row],[EMPLOYEE NUMBER]]="","",MATCH(T_EMPLOYEES[[#This Row],[JOB CATEGORY]],L_JOBCATEGORY,0))</f>
        <v>29</v>
      </c>
      <c r="AL215">
        <f ca="1">IF(T_EMPLOYEES[[#This Row],[EMPLOYEE NUMBER]]="","",MATCH(T_EMPLOYEES[[#This Row],[JOB LEVEL]],L_JOBLEVEL,0))</f>
        <v>3</v>
      </c>
      <c r="AM215">
        <f ca="1">IF(T_EMPLOYEES[[#This Row],[EMPLOYEE NUMBER]]="","",MATCH(T_EMPLOYEES[[#This Row],[JOB TITLE]],L_JOBTITLE,0))</f>
        <v>29</v>
      </c>
      <c r="AN215">
        <f ca="1">IF(T_EMPLOYEES[[#This Row],[EMPLOYEE NUMBER]]="","",MATCH(T_EMPLOYEES[[#This Row],[MANAGER]],L_EMPLABELS,0))</f>
        <v>7</v>
      </c>
      <c r="AO215">
        <f ca="1">IF(T_EMPLOYEES[[#This Row],[EMPLOYEE NUMBER]]="","",IF(T_EMPLOYEES[[#This Row],[ERROR]]="",0,1))</f>
        <v>0</v>
      </c>
      <c r="AP21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6" spans="1:42">
      <c r="A216" t="s">
        <v>833</v>
      </c>
      <c r="B216" t="s">
        <v>806</v>
      </c>
      <c r="C216">
        <v>1033799</v>
      </c>
      <c r="D216" t="s">
        <v>834</v>
      </c>
      <c r="E216" s="26">
        <v>33685</v>
      </c>
      <c r="F216" s="26">
        <v>45229</v>
      </c>
      <c r="H216" t="s">
        <v>40</v>
      </c>
      <c r="I216" t="s">
        <v>54</v>
      </c>
      <c r="J216" t="s">
        <v>64</v>
      </c>
      <c r="K216" t="s">
        <v>30</v>
      </c>
      <c r="L216" s="27" t="s">
        <v>45</v>
      </c>
      <c r="M216" t="s">
        <v>46</v>
      </c>
      <c r="N216" t="s">
        <v>111</v>
      </c>
      <c r="O216" t="s">
        <v>71</v>
      </c>
      <c r="P216" t="s">
        <v>111</v>
      </c>
      <c r="Q216" t="s">
        <v>211</v>
      </c>
      <c r="R216" s="27">
        <v>5</v>
      </c>
      <c r="S216" s="1">
        <v>250000</v>
      </c>
      <c r="T216" s="1">
        <f ca="1">ROUND(T_EMPLOYEES[[#This Row],[EMP_CTC1]]/12, 0)</f>
        <v>20833</v>
      </c>
      <c r="U216" s="1">
        <v>150000</v>
      </c>
      <c r="V216" s="1" t="s">
        <v>207</v>
      </c>
      <c r="W216" s="1" t="s">
        <v>207</v>
      </c>
      <c r="X21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Tripti Gupta (1033799)</v>
      </c>
      <c r="Y216">
        <v>100000</v>
      </c>
      <c r="Z216" s="29">
        <f t="shared" ca="1" si="4"/>
        <v>40</v>
      </c>
      <c r="AA216">
        <f ca="1">IF(T_EMPLOYEES[[#This Row],[EMPLOYEE NUMBER]]="","",ROW(T_EMPLOYEES[[#This Row],[EMPLOYEE LABEL]])-ROW(T_EMPLOYEES[[#Headers],[EMPLOYEE LABEL]]))</f>
        <v>213</v>
      </c>
      <c r="AB216">
        <f ca="1">IF(T_EMPLOYEES[[#This Row],[EMPLOYEE NUMBER]]="","",IF(COUNTIF(T_EMPLOYEES[EMPLOYEE NUMBER],T_EMPLOYEES[[#This Row],[EMPLOYEE NUMBER]])&gt;1,1,0))</f>
        <v>0</v>
      </c>
      <c r="AC216">
        <f ca="1">IF(T_EMPLOYEES[[#This Row],[EMPLOYEE NUMBER]]="","",IF(AND(T_EMPLOYEES[[#This Row],[DATE OF BIRTH]]&gt;0,T_EMPLOYEES[[#This Row],[DATE OF BIRTH]]&lt;TODAY()),0,1))</f>
        <v>0</v>
      </c>
      <c r="AD216">
        <f ca="1">IF(T_EMPLOYEES[[#This Row],[EMPLOYEE NUMBER]]="","",IF(AND(T_EMPLOYEES[[#This Row],[START DATE]]&gt;0,T_EMPLOYEES[[#This Row],[START DATE]]&lt;TODAY()+60),0,1))</f>
        <v>0</v>
      </c>
      <c r="AE216">
        <f ca="1">IF(T_EMPLOYEES[[#This Row],[EMPLOYEE NUMBER]]="","",MATCH(T_EMPLOYEES[[#This Row],[GENDER]],L_GENDER,0))</f>
        <v>2</v>
      </c>
      <c r="AF216">
        <f ca="1">IF(T_EMPLOYEES[[#This Row],[EMPLOYEE NUMBER]]="","",MATCH(T_EMPLOYEES[[#This Row],[HIRE SOURCE]],L_HIRESOURCE,0))</f>
        <v>4</v>
      </c>
      <c r="AG216">
        <f ca="1">IF(T_EMPLOYEES[[#This Row],[EMPLOYEE NUMBER]]="","",MATCH(T_EMPLOYEES[[#This Row],[ETHNICITY]],L_ETHNICITY,0))</f>
        <v>3</v>
      </c>
      <c r="AH216">
        <f ca="1">IF(T_EMPLOYEES[[#This Row],[EMPLOYEE NUMBER]]="","",MATCH(T_EMPLOYEES[[#This Row],[LOCATION]],L_LOCATION,0))</f>
        <v>1</v>
      </c>
      <c r="AI216">
        <f ca="1">IF(T_EMPLOYEES[[#This Row],[EMPLOYEE NUMBER]]="","",MATCH(T_EMPLOYEES[[#This Row],[DEPARTMENT]],L_DEPARTMENT,0))</f>
        <v>2</v>
      </c>
      <c r="AJ216">
        <f ca="1">IF(T_EMPLOYEES[[#This Row],[EMPLOYEE NUMBER]]="","",MATCH(T_EMPLOYEES[[#This Row],[JOB TYPE]],L_JOBTYPE,0))</f>
        <v>2</v>
      </c>
      <c r="AK216">
        <f ca="1">IF(T_EMPLOYEES[[#This Row],[EMPLOYEE NUMBER]]="","",MATCH(T_EMPLOYEES[[#This Row],[JOB CATEGORY]],L_JOBCATEGORY,0))</f>
        <v>10</v>
      </c>
      <c r="AL216">
        <f ca="1">IF(T_EMPLOYEES[[#This Row],[EMPLOYEE NUMBER]]="","",MATCH(T_EMPLOYEES[[#This Row],[JOB LEVEL]],L_JOBLEVEL,0))</f>
        <v>4</v>
      </c>
      <c r="AM216">
        <f ca="1">IF(T_EMPLOYEES[[#This Row],[EMPLOYEE NUMBER]]="","",MATCH(T_EMPLOYEES[[#This Row],[JOB TITLE]],L_JOBTITLE,0))</f>
        <v>10</v>
      </c>
      <c r="AN216">
        <f ca="1">IF(T_EMPLOYEES[[#This Row],[EMPLOYEE NUMBER]]="","",MATCH(T_EMPLOYEES[[#This Row],[MANAGER]],L_EMPLABELS,0))</f>
        <v>49</v>
      </c>
      <c r="AO216">
        <f ca="1">IF(T_EMPLOYEES[[#This Row],[EMPLOYEE NUMBER]]="","",IF(T_EMPLOYEES[[#This Row],[ERROR]]="",0,1))</f>
        <v>0</v>
      </c>
      <c r="AP21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7" spans="1:42">
      <c r="A217" t="s">
        <v>497</v>
      </c>
      <c r="B217" t="s">
        <v>835</v>
      </c>
      <c r="C217">
        <v>1021304</v>
      </c>
      <c r="D217" t="s">
        <v>836</v>
      </c>
      <c r="E217" s="26">
        <v>33106</v>
      </c>
      <c r="F217" s="26">
        <v>43444</v>
      </c>
      <c r="H217" t="s">
        <v>40</v>
      </c>
      <c r="I217" t="s">
        <v>54</v>
      </c>
      <c r="J217" t="s">
        <v>64</v>
      </c>
      <c r="K217" t="s">
        <v>30</v>
      </c>
      <c r="L217" s="27" t="s">
        <v>114</v>
      </c>
      <c r="M217" t="s">
        <v>46</v>
      </c>
      <c r="N217" t="s">
        <v>111</v>
      </c>
      <c r="O217" t="s">
        <v>71</v>
      </c>
      <c r="P217" t="s">
        <v>111</v>
      </c>
      <c r="Q217" t="s">
        <v>468</v>
      </c>
      <c r="R217">
        <v>5</v>
      </c>
      <c r="S217" s="1">
        <v>250000</v>
      </c>
      <c r="T217" s="1">
        <f ca="1">ROUND(T_EMPLOYEES[[#This Row],[EMP_CTC1]]/12, 0)</f>
        <v>20833</v>
      </c>
      <c r="U217" s="1">
        <v>150000</v>
      </c>
      <c r="V217" s="1" t="s">
        <v>207</v>
      </c>
      <c r="W217" s="1" t="s">
        <v>207</v>
      </c>
      <c r="X21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 Malar Vizhi (1021304)</v>
      </c>
      <c r="Y217">
        <v>100000</v>
      </c>
      <c r="Z217" s="29">
        <f t="shared" ca="1" si="4"/>
        <v>40</v>
      </c>
      <c r="AA217">
        <f ca="1">IF(T_EMPLOYEES[[#This Row],[EMPLOYEE NUMBER]]="","",ROW(T_EMPLOYEES[[#This Row],[EMPLOYEE LABEL]])-ROW(T_EMPLOYEES[[#Headers],[EMPLOYEE LABEL]]))</f>
        <v>214</v>
      </c>
      <c r="AB217">
        <f ca="1">IF(T_EMPLOYEES[[#This Row],[EMPLOYEE NUMBER]]="","",IF(COUNTIF(T_EMPLOYEES[EMPLOYEE NUMBER],T_EMPLOYEES[[#This Row],[EMPLOYEE NUMBER]])&gt;1,1,0))</f>
        <v>0</v>
      </c>
      <c r="AC217">
        <f ca="1">IF(T_EMPLOYEES[[#This Row],[EMPLOYEE NUMBER]]="","",IF(AND(T_EMPLOYEES[[#This Row],[DATE OF BIRTH]]&gt;0,T_EMPLOYEES[[#This Row],[DATE OF BIRTH]]&lt;TODAY()),0,1))</f>
        <v>0</v>
      </c>
      <c r="AD217">
        <f ca="1">IF(T_EMPLOYEES[[#This Row],[EMPLOYEE NUMBER]]="","",IF(AND(T_EMPLOYEES[[#This Row],[START DATE]]&gt;0,T_EMPLOYEES[[#This Row],[START DATE]]&lt;TODAY()+60),0,1))</f>
        <v>0</v>
      </c>
      <c r="AE217">
        <f ca="1">IF(T_EMPLOYEES[[#This Row],[EMPLOYEE NUMBER]]="","",MATCH(T_EMPLOYEES[[#This Row],[GENDER]],L_GENDER,0))</f>
        <v>2</v>
      </c>
      <c r="AF217">
        <f ca="1">IF(T_EMPLOYEES[[#This Row],[EMPLOYEE NUMBER]]="","",MATCH(T_EMPLOYEES[[#This Row],[HIRE SOURCE]],L_HIRESOURCE,0))</f>
        <v>4</v>
      </c>
      <c r="AG217">
        <f ca="1">IF(T_EMPLOYEES[[#This Row],[EMPLOYEE NUMBER]]="","",MATCH(T_EMPLOYEES[[#This Row],[ETHNICITY]],L_ETHNICITY,0))</f>
        <v>3</v>
      </c>
      <c r="AH217">
        <f ca="1">IF(T_EMPLOYEES[[#This Row],[EMPLOYEE NUMBER]]="","",MATCH(T_EMPLOYEES[[#This Row],[LOCATION]],L_LOCATION,0))</f>
        <v>1</v>
      </c>
      <c r="AI217">
        <f ca="1">IF(T_EMPLOYEES[[#This Row],[EMPLOYEE NUMBER]]="","",MATCH(T_EMPLOYEES[[#This Row],[DEPARTMENT]],L_DEPARTMENT,0))</f>
        <v>11</v>
      </c>
      <c r="AJ217">
        <f ca="1">IF(T_EMPLOYEES[[#This Row],[EMPLOYEE NUMBER]]="","",MATCH(T_EMPLOYEES[[#This Row],[JOB TYPE]],L_JOBTYPE,0))</f>
        <v>2</v>
      </c>
      <c r="AK217">
        <f ca="1">IF(T_EMPLOYEES[[#This Row],[EMPLOYEE NUMBER]]="","",MATCH(T_EMPLOYEES[[#This Row],[JOB CATEGORY]],L_JOBCATEGORY,0))</f>
        <v>10</v>
      </c>
      <c r="AL217">
        <f ca="1">IF(T_EMPLOYEES[[#This Row],[EMPLOYEE NUMBER]]="","",MATCH(T_EMPLOYEES[[#This Row],[JOB LEVEL]],L_JOBLEVEL,0))</f>
        <v>4</v>
      </c>
      <c r="AM217">
        <f ca="1">IF(T_EMPLOYEES[[#This Row],[EMPLOYEE NUMBER]]="","",MATCH(T_EMPLOYEES[[#This Row],[JOB TITLE]],L_JOBTITLE,0))</f>
        <v>10</v>
      </c>
      <c r="AN217">
        <f ca="1">IF(T_EMPLOYEES[[#This Row],[EMPLOYEE NUMBER]]="","",MATCH(T_EMPLOYEES[[#This Row],[MANAGER]],L_EMPLABELS,0))</f>
        <v>56</v>
      </c>
      <c r="AO217">
        <f ca="1">IF(T_EMPLOYEES[[#This Row],[EMPLOYEE NUMBER]]="","",IF(T_EMPLOYEES[[#This Row],[ERROR]]="",0,1))</f>
        <v>0</v>
      </c>
      <c r="AP21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8" spans="1:42">
      <c r="A218" t="s">
        <v>837</v>
      </c>
      <c r="B218" t="s">
        <v>838</v>
      </c>
      <c r="C218">
        <v>1025962</v>
      </c>
      <c r="D218" t="s">
        <v>839</v>
      </c>
      <c r="E218" s="26">
        <v>33726</v>
      </c>
      <c r="F218" s="26">
        <v>44407</v>
      </c>
      <c r="H218" t="s">
        <v>40</v>
      </c>
      <c r="I218" t="s">
        <v>54</v>
      </c>
      <c r="J218" t="s">
        <v>64</v>
      </c>
      <c r="K218" t="s">
        <v>43</v>
      </c>
      <c r="L218" s="27" t="s">
        <v>114</v>
      </c>
      <c r="M218" t="s">
        <v>46</v>
      </c>
      <c r="N218" t="s">
        <v>128</v>
      </c>
      <c r="O218" t="s">
        <v>60</v>
      </c>
      <c r="P218" t="s">
        <v>128</v>
      </c>
      <c r="Q218" t="s">
        <v>505</v>
      </c>
      <c r="R218" s="27">
        <v>4</v>
      </c>
      <c r="S218" s="1">
        <v>250000</v>
      </c>
      <c r="T218" s="1">
        <f ca="1">ROUND(T_EMPLOYEES[[#This Row],[EMP_CTC1]]/12, 0)</f>
        <v>20833</v>
      </c>
      <c r="U218" s="1">
        <v>150000</v>
      </c>
      <c r="V218" s="1" t="s">
        <v>207</v>
      </c>
      <c r="W218" s="1" t="s">
        <v>207</v>
      </c>
      <c r="X21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Katyayani Adda (1025962)</v>
      </c>
      <c r="Y218">
        <v>100000</v>
      </c>
      <c r="Z218" s="29">
        <f t="shared" ca="1" si="4"/>
        <v>40</v>
      </c>
      <c r="AA218">
        <f ca="1">IF(T_EMPLOYEES[[#This Row],[EMPLOYEE NUMBER]]="","",ROW(T_EMPLOYEES[[#This Row],[EMPLOYEE LABEL]])-ROW(T_EMPLOYEES[[#Headers],[EMPLOYEE LABEL]]))</f>
        <v>215</v>
      </c>
      <c r="AB218">
        <f ca="1">IF(T_EMPLOYEES[[#This Row],[EMPLOYEE NUMBER]]="","",IF(COUNTIF(T_EMPLOYEES[EMPLOYEE NUMBER],T_EMPLOYEES[[#This Row],[EMPLOYEE NUMBER]])&gt;1,1,0))</f>
        <v>0</v>
      </c>
      <c r="AC218">
        <f ca="1">IF(T_EMPLOYEES[[#This Row],[EMPLOYEE NUMBER]]="","",IF(AND(T_EMPLOYEES[[#This Row],[DATE OF BIRTH]]&gt;0,T_EMPLOYEES[[#This Row],[DATE OF BIRTH]]&lt;TODAY()),0,1))</f>
        <v>0</v>
      </c>
      <c r="AD218">
        <f ca="1">IF(T_EMPLOYEES[[#This Row],[EMPLOYEE NUMBER]]="","",IF(AND(T_EMPLOYEES[[#This Row],[START DATE]]&gt;0,T_EMPLOYEES[[#This Row],[START DATE]]&lt;TODAY()+60),0,1))</f>
        <v>0</v>
      </c>
      <c r="AE218">
        <f ca="1">IF(T_EMPLOYEES[[#This Row],[EMPLOYEE NUMBER]]="","",MATCH(T_EMPLOYEES[[#This Row],[GENDER]],L_GENDER,0))</f>
        <v>2</v>
      </c>
      <c r="AF218">
        <f ca="1">IF(T_EMPLOYEES[[#This Row],[EMPLOYEE NUMBER]]="","",MATCH(T_EMPLOYEES[[#This Row],[HIRE SOURCE]],L_HIRESOURCE,0))</f>
        <v>4</v>
      </c>
      <c r="AG218">
        <f ca="1">IF(T_EMPLOYEES[[#This Row],[EMPLOYEE NUMBER]]="","",MATCH(T_EMPLOYEES[[#This Row],[ETHNICITY]],L_ETHNICITY,0))</f>
        <v>3</v>
      </c>
      <c r="AH218">
        <f ca="1">IF(T_EMPLOYEES[[#This Row],[EMPLOYEE NUMBER]]="","",MATCH(T_EMPLOYEES[[#This Row],[LOCATION]],L_LOCATION,0))</f>
        <v>2</v>
      </c>
      <c r="AI218">
        <f ca="1">IF(T_EMPLOYEES[[#This Row],[EMPLOYEE NUMBER]]="","",MATCH(T_EMPLOYEES[[#This Row],[DEPARTMENT]],L_DEPARTMENT,0))</f>
        <v>11</v>
      </c>
      <c r="AJ218">
        <f ca="1">IF(T_EMPLOYEES[[#This Row],[EMPLOYEE NUMBER]]="","",MATCH(T_EMPLOYEES[[#This Row],[JOB TYPE]],L_JOBTYPE,0))</f>
        <v>2</v>
      </c>
      <c r="AK218">
        <f ca="1">IF(T_EMPLOYEES[[#This Row],[EMPLOYEE NUMBER]]="","",MATCH(T_EMPLOYEES[[#This Row],[JOB CATEGORY]],L_JOBCATEGORY,0))</f>
        <v>15</v>
      </c>
      <c r="AL218">
        <f ca="1">IF(T_EMPLOYEES[[#This Row],[EMPLOYEE NUMBER]]="","",MATCH(T_EMPLOYEES[[#This Row],[JOB LEVEL]],L_JOBLEVEL,0))</f>
        <v>3</v>
      </c>
      <c r="AM218">
        <f ca="1">IF(T_EMPLOYEES[[#This Row],[EMPLOYEE NUMBER]]="","",MATCH(T_EMPLOYEES[[#This Row],[JOB TITLE]],L_JOBTITLE,0))</f>
        <v>15</v>
      </c>
      <c r="AN218">
        <f ca="1">IF(T_EMPLOYEES[[#This Row],[EMPLOYEE NUMBER]]="","",MATCH(T_EMPLOYEES[[#This Row],[MANAGER]],L_EMPLABELS,0))</f>
        <v>57</v>
      </c>
      <c r="AO218">
        <f ca="1">IF(T_EMPLOYEES[[#This Row],[EMPLOYEE NUMBER]]="","",IF(T_EMPLOYEES[[#This Row],[ERROR]]="",0,1))</f>
        <v>0</v>
      </c>
      <c r="AP21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9" spans="1:42">
      <c r="A219" t="s">
        <v>840</v>
      </c>
      <c r="B219" t="s">
        <v>841</v>
      </c>
      <c r="C219">
        <v>1030389</v>
      </c>
      <c r="D219" t="s">
        <v>842</v>
      </c>
      <c r="E219" s="26">
        <v>33734</v>
      </c>
      <c r="F219" s="26">
        <v>44825</v>
      </c>
      <c r="H219" t="s">
        <v>27</v>
      </c>
      <c r="I219" t="s">
        <v>54</v>
      </c>
      <c r="J219" t="s">
        <v>64</v>
      </c>
      <c r="K219" t="s">
        <v>30</v>
      </c>
      <c r="L219" s="27" t="s">
        <v>45</v>
      </c>
      <c r="M219" t="s">
        <v>46</v>
      </c>
      <c r="N219" t="s">
        <v>125</v>
      </c>
      <c r="O219" t="s">
        <v>71</v>
      </c>
      <c r="P219" t="s">
        <v>125</v>
      </c>
      <c r="Q219" t="s">
        <v>215</v>
      </c>
      <c r="R219">
        <v>5</v>
      </c>
      <c r="S219" s="1">
        <v>250000</v>
      </c>
      <c r="T219" s="1">
        <f ca="1">ROUND(T_EMPLOYEES[[#This Row],[EMP_CTC1]]/12, 0)</f>
        <v>20833</v>
      </c>
      <c r="U219" s="1">
        <v>150000</v>
      </c>
      <c r="V219" s="1" t="s">
        <v>207</v>
      </c>
      <c r="W219" s="1" t="s">
        <v>207</v>
      </c>
      <c r="X21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 Mallikarjuna  Gooty (1030389)</v>
      </c>
      <c r="Y219">
        <v>100000</v>
      </c>
      <c r="Z219" s="29">
        <f t="shared" ca="1" si="4"/>
        <v>40</v>
      </c>
      <c r="AA219">
        <f ca="1">IF(T_EMPLOYEES[[#This Row],[EMPLOYEE NUMBER]]="","",ROW(T_EMPLOYEES[[#This Row],[EMPLOYEE LABEL]])-ROW(T_EMPLOYEES[[#Headers],[EMPLOYEE LABEL]]))</f>
        <v>216</v>
      </c>
      <c r="AB219">
        <f ca="1">IF(T_EMPLOYEES[[#This Row],[EMPLOYEE NUMBER]]="","",IF(COUNTIF(T_EMPLOYEES[EMPLOYEE NUMBER],T_EMPLOYEES[[#This Row],[EMPLOYEE NUMBER]])&gt;1,1,0))</f>
        <v>0</v>
      </c>
      <c r="AC219">
        <f ca="1">IF(T_EMPLOYEES[[#This Row],[EMPLOYEE NUMBER]]="","",IF(AND(T_EMPLOYEES[[#This Row],[DATE OF BIRTH]]&gt;0,T_EMPLOYEES[[#This Row],[DATE OF BIRTH]]&lt;TODAY()),0,1))</f>
        <v>0</v>
      </c>
      <c r="AD219">
        <f ca="1">IF(T_EMPLOYEES[[#This Row],[EMPLOYEE NUMBER]]="","",IF(AND(T_EMPLOYEES[[#This Row],[START DATE]]&gt;0,T_EMPLOYEES[[#This Row],[START DATE]]&lt;TODAY()+60),0,1))</f>
        <v>0</v>
      </c>
      <c r="AE219">
        <f ca="1">IF(T_EMPLOYEES[[#This Row],[EMPLOYEE NUMBER]]="","",MATCH(T_EMPLOYEES[[#This Row],[GENDER]],L_GENDER,0))</f>
        <v>1</v>
      </c>
      <c r="AF219">
        <f ca="1">IF(T_EMPLOYEES[[#This Row],[EMPLOYEE NUMBER]]="","",MATCH(T_EMPLOYEES[[#This Row],[HIRE SOURCE]],L_HIRESOURCE,0))</f>
        <v>4</v>
      </c>
      <c r="AG219">
        <f ca="1">IF(T_EMPLOYEES[[#This Row],[EMPLOYEE NUMBER]]="","",MATCH(T_EMPLOYEES[[#This Row],[ETHNICITY]],L_ETHNICITY,0))</f>
        <v>3</v>
      </c>
      <c r="AH219">
        <f ca="1">IF(T_EMPLOYEES[[#This Row],[EMPLOYEE NUMBER]]="","",MATCH(T_EMPLOYEES[[#This Row],[LOCATION]],L_LOCATION,0))</f>
        <v>1</v>
      </c>
      <c r="AI219">
        <f ca="1">IF(T_EMPLOYEES[[#This Row],[EMPLOYEE NUMBER]]="","",MATCH(T_EMPLOYEES[[#This Row],[DEPARTMENT]],L_DEPARTMENT,0))</f>
        <v>2</v>
      </c>
      <c r="AJ219">
        <f ca="1">IF(T_EMPLOYEES[[#This Row],[EMPLOYEE NUMBER]]="","",MATCH(T_EMPLOYEES[[#This Row],[JOB TYPE]],L_JOBTYPE,0))</f>
        <v>2</v>
      </c>
      <c r="AK219">
        <f ca="1">IF(T_EMPLOYEES[[#This Row],[EMPLOYEE NUMBER]]="","",MATCH(T_EMPLOYEES[[#This Row],[JOB CATEGORY]],L_JOBCATEGORY,0))</f>
        <v>14</v>
      </c>
      <c r="AL219">
        <f ca="1">IF(T_EMPLOYEES[[#This Row],[EMPLOYEE NUMBER]]="","",MATCH(T_EMPLOYEES[[#This Row],[JOB LEVEL]],L_JOBLEVEL,0))</f>
        <v>4</v>
      </c>
      <c r="AM219">
        <f ca="1">IF(T_EMPLOYEES[[#This Row],[EMPLOYEE NUMBER]]="","",MATCH(T_EMPLOYEES[[#This Row],[JOB TITLE]],L_JOBTITLE,0))</f>
        <v>14</v>
      </c>
      <c r="AN219">
        <f ca="1">IF(T_EMPLOYEES[[#This Row],[EMPLOYEE NUMBER]]="","",MATCH(T_EMPLOYEES[[#This Row],[MANAGER]],L_EMPLABELS,0))</f>
        <v>13</v>
      </c>
      <c r="AO219">
        <f ca="1">IF(T_EMPLOYEES[[#This Row],[EMPLOYEE NUMBER]]="","",IF(T_EMPLOYEES[[#This Row],[ERROR]]="",0,1))</f>
        <v>0</v>
      </c>
      <c r="AP21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0" spans="1:42">
      <c r="A220" t="s">
        <v>843</v>
      </c>
      <c r="B220" t="s">
        <v>844</v>
      </c>
      <c r="C220">
        <v>1030695</v>
      </c>
      <c r="D220" t="s">
        <v>845</v>
      </c>
      <c r="E220" s="26">
        <v>33737</v>
      </c>
      <c r="F220" s="26">
        <v>44855</v>
      </c>
      <c r="H220" t="s">
        <v>27</v>
      </c>
      <c r="I220" t="s">
        <v>54</v>
      </c>
      <c r="J220" t="s">
        <v>64</v>
      </c>
      <c r="K220" t="s">
        <v>30</v>
      </c>
      <c r="L220" s="27" t="s">
        <v>45</v>
      </c>
      <c r="M220" t="s">
        <v>46</v>
      </c>
      <c r="N220" t="s">
        <v>131</v>
      </c>
      <c r="O220" t="s">
        <v>60</v>
      </c>
      <c r="P220" t="s">
        <v>131</v>
      </c>
      <c r="Q220" t="s">
        <v>218</v>
      </c>
      <c r="R220" s="27">
        <v>4</v>
      </c>
      <c r="S220" s="1">
        <v>250000</v>
      </c>
      <c r="T220" s="1">
        <f ca="1">ROUND(T_EMPLOYEES[[#This Row],[EMP_CTC1]]/12, 0)</f>
        <v>20833</v>
      </c>
      <c r="U220" s="1">
        <v>150000</v>
      </c>
      <c r="V220" s="1" t="s">
        <v>207</v>
      </c>
      <c r="W220" s="1" t="s">
        <v>207</v>
      </c>
      <c r="X22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Mohammad Rashad (1030695)</v>
      </c>
      <c r="Y220">
        <v>100000</v>
      </c>
      <c r="Z220" s="29">
        <f t="shared" ca="1" si="4"/>
        <v>40</v>
      </c>
      <c r="AA220">
        <f ca="1">IF(T_EMPLOYEES[[#This Row],[EMPLOYEE NUMBER]]="","",ROW(T_EMPLOYEES[[#This Row],[EMPLOYEE LABEL]])-ROW(T_EMPLOYEES[[#Headers],[EMPLOYEE LABEL]]))</f>
        <v>217</v>
      </c>
      <c r="AB220">
        <f ca="1">IF(T_EMPLOYEES[[#This Row],[EMPLOYEE NUMBER]]="","",IF(COUNTIF(T_EMPLOYEES[EMPLOYEE NUMBER],T_EMPLOYEES[[#This Row],[EMPLOYEE NUMBER]])&gt;1,1,0))</f>
        <v>0</v>
      </c>
      <c r="AC220">
        <f ca="1">IF(T_EMPLOYEES[[#This Row],[EMPLOYEE NUMBER]]="","",IF(AND(T_EMPLOYEES[[#This Row],[DATE OF BIRTH]]&gt;0,T_EMPLOYEES[[#This Row],[DATE OF BIRTH]]&lt;TODAY()),0,1))</f>
        <v>0</v>
      </c>
      <c r="AD220">
        <f ca="1">IF(T_EMPLOYEES[[#This Row],[EMPLOYEE NUMBER]]="","",IF(AND(T_EMPLOYEES[[#This Row],[START DATE]]&gt;0,T_EMPLOYEES[[#This Row],[START DATE]]&lt;TODAY()+60),0,1))</f>
        <v>0</v>
      </c>
      <c r="AE220">
        <f ca="1">IF(T_EMPLOYEES[[#This Row],[EMPLOYEE NUMBER]]="","",MATCH(T_EMPLOYEES[[#This Row],[GENDER]],L_GENDER,0))</f>
        <v>1</v>
      </c>
      <c r="AF220">
        <f ca="1">IF(T_EMPLOYEES[[#This Row],[EMPLOYEE NUMBER]]="","",MATCH(T_EMPLOYEES[[#This Row],[HIRE SOURCE]],L_HIRESOURCE,0))</f>
        <v>4</v>
      </c>
      <c r="AG220">
        <f ca="1">IF(T_EMPLOYEES[[#This Row],[EMPLOYEE NUMBER]]="","",MATCH(T_EMPLOYEES[[#This Row],[ETHNICITY]],L_ETHNICITY,0))</f>
        <v>3</v>
      </c>
      <c r="AH220">
        <f ca="1">IF(T_EMPLOYEES[[#This Row],[EMPLOYEE NUMBER]]="","",MATCH(T_EMPLOYEES[[#This Row],[LOCATION]],L_LOCATION,0))</f>
        <v>1</v>
      </c>
      <c r="AI220">
        <f ca="1">IF(T_EMPLOYEES[[#This Row],[EMPLOYEE NUMBER]]="","",MATCH(T_EMPLOYEES[[#This Row],[DEPARTMENT]],L_DEPARTMENT,0))</f>
        <v>2</v>
      </c>
      <c r="AJ220">
        <f ca="1">IF(T_EMPLOYEES[[#This Row],[EMPLOYEE NUMBER]]="","",MATCH(T_EMPLOYEES[[#This Row],[JOB TYPE]],L_JOBTYPE,0))</f>
        <v>2</v>
      </c>
      <c r="AK220">
        <f ca="1">IF(T_EMPLOYEES[[#This Row],[EMPLOYEE NUMBER]]="","",MATCH(T_EMPLOYEES[[#This Row],[JOB CATEGORY]],L_JOBCATEGORY,0))</f>
        <v>16</v>
      </c>
      <c r="AL220">
        <f ca="1">IF(T_EMPLOYEES[[#This Row],[EMPLOYEE NUMBER]]="","",MATCH(T_EMPLOYEES[[#This Row],[JOB LEVEL]],L_JOBLEVEL,0))</f>
        <v>3</v>
      </c>
      <c r="AM220">
        <f ca="1">IF(T_EMPLOYEES[[#This Row],[EMPLOYEE NUMBER]]="","",MATCH(T_EMPLOYEES[[#This Row],[JOB TITLE]],L_JOBTITLE,0))</f>
        <v>16</v>
      </c>
      <c r="AN220">
        <f ca="1">IF(T_EMPLOYEES[[#This Row],[EMPLOYEE NUMBER]]="","",MATCH(T_EMPLOYEES[[#This Row],[MANAGER]],L_EMPLABELS,0))</f>
        <v>43</v>
      </c>
      <c r="AO220">
        <f ca="1">IF(T_EMPLOYEES[[#This Row],[EMPLOYEE NUMBER]]="","",IF(T_EMPLOYEES[[#This Row],[ERROR]]="",0,1))</f>
        <v>0</v>
      </c>
      <c r="AP22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1" spans="1:42">
      <c r="A221" t="s">
        <v>416</v>
      </c>
      <c r="B221" t="s">
        <v>407</v>
      </c>
      <c r="C221">
        <v>1024765</v>
      </c>
      <c r="D221" t="s">
        <v>846</v>
      </c>
      <c r="E221" s="26">
        <v>33740</v>
      </c>
      <c r="F221" s="26">
        <v>44265</v>
      </c>
      <c r="H221" t="s">
        <v>40</v>
      </c>
      <c r="I221" t="s">
        <v>54</v>
      </c>
      <c r="J221" t="s">
        <v>64</v>
      </c>
      <c r="K221" t="s">
        <v>55</v>
      </c>
      <c r="L221" s="27" t="s">
        <v>45</v>
      </c>
      <c r="M221" t="s">
        <v>46</v>
      </c>
      <c r="N221" t="s">
        <v>89</v>
      </c>
      <c r="O221" t="s">
        <v>60</v>
      </c>
      <c r="P221" t="s">
        <v>89</v>
      </c>
      <c r="Q221" t="s">
        <v>272</v>
      </c>
      <c r="R221">
        <v>4</v>
      </c>
      <c r="S221" s="1">
        <v>250000</v>
      </c>
      <c r="T221" s="1">
        <f ca="1">ROUND(T_EMPLOYEES[[#This Row],[EMP_CTC1]]/12, 0)</f>
        <v>20833</v>
      </c>
      <c r="U221" s="1">
        <v>150000</v>
      </c>
      <c r="V221" s="1" t="s">
        <v>207</v>
      </c>
      <c r="W221" s="1" t="s">
        <v>207</v>
      </c>
      <c r="X22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Sowjanya  S (1024765)</v>
      </c>
      <c r="Y221">
        <v>100000</v>
      </c>
      <c r="Z221" s="29">
        <f t="shared" ca="1" si="4"/>
        <v>40</v>
      </c>
      <c r="AA221">
        <f ca="1">IF(T_EMPLOYEES[[#This Row],[EMPLOYEE NUMBER]]="","",ROW(T_EMPLOYEES[[#This Row],[EMPLOYEE LABEL]])-ROW(T_EMPLOYEES[[#Headers],[EMPLOYEE LABEL]]))</f>
        <v>218</v>
      </c>
      <c r="AB221">
        <f ca="1">IF(T_EMPLOYEES[[#This Row],[EMPLOYEE NUMBER]]="","",IF(COUNTIF(T_EMPLOYEES[EMPLOYEE NUMBER],T_EMPLOYEES[[#This Row],[EMPLOYEE NUMBER]])&gt;1,1,0))</f>
        <v>0</v>
      </c>
      <c r="AC221">
        <f ca="1">IF(T_EMPLOYEES[[#This Row],[EMPLOYEE NUMBER]]="","",IF(AND(T_EMPLOYEES[[#This Row],[DATE OF BIRTH]]&gt;0,T_EMPLOYEES[[#This Row],[DATE OF BIRTH]]&lt;TODAY()),0,1))</f>
        <v>0</v>
      </c>
      <c r="AD221">
        <f ca="1">IF(T_EMPLOYEES[[#This Row],[EMPLOYEE NUMBER]]="","",IF(AND(T_EMPLOYEES[[#This Row],[START DATE]]&gt;0,T_EMPLOYEES[[#This Row],[START DATE]]&lt;TODAY()+60),0,1))</f>
        <v>0</v>
      </c>
      <c r="AE221">
        <f ca="1">IF(T_EMPLOYEES[[#This Row],[EMPLOYEE NUMBER]]="","",MATCH(T_EMPLOYEES[[#This Row],[GENDER]],L_GENDER,0))</f>
        <v>2</v>
      </c>
      <c r="AF221">
        <f ca="1">IF(T_EMPLOYEES[[#This Row],[EMPLOYEE NUMBER]]="","",MATCH(T_EMPLOYEES[[#This Row],[HIRE SOURCE]],L_HIRESOURCE,0))</f>
        <v>4</v>
      </c>
      <c r="AG221">
        <f ca="1">IF(T_EMPLOYEES[[#This Row],[EMPLOYEE NUMBER]]="","",MATCH(T_EMPLOYEES[[#This Row],[ETHNICITY]],L_ETHNICITY,0))</f>
        <v>3</v>
      </c>
      <c r="AH221">
        <f ca="1">IF(T_EMPLOYEES[[#This Row],[EMPLOYEE NUMBER]]="","",MATCH(T_EMPLOYEES[[#This Row],[LOCATION]],L_LOCATION,0))</f>
        <v>3</v>
      </c>
      <c r="AI221">
        <f ca="1">IF(T_EMPLOYEES[[#This Row],[EMPLOYEE NUMBER]]="","",MATCH(T_EMPLOYEES[[#This Row],[DEPARTMENT]],L_DEPARTMENT,0))</f>
        <v>2</v>
      </c>
      <c r="AJ221">
        <f ca="1">IF(T_EMPLOYEES[[#This Row],[EMPLOYEE NUMBER]]="","",MATCH(T_EMPLOYEES[[#This Row],[JOB TYPE]],L_JOBTYPE,0))</f>
        <v>2</v>
      </c>
      <c r="AK221">
        <f ca="1">IF(T_EMPLOYEES[[#This Row],[EMPLOYEE NUMBER]]="","",MATCH(T_EMPLOYEES[[#This Row],[JOB CATEGORY]],L_JOBCATEGORY,0))</f>
        <v>6</v>
      </c>
      <c r="AL221">
        <f ca="1">IF(T_EMPLOYEES[[#This Row],[EMPLOYEE NUMBER]]="","",MATCH(T_EMPLOYEES[[#This Row],[JOB LEVEL]],L_JOBLEVEL,0))</f>
        <v>3</v>
      </c>
      <c r="AM221">
        <f ca="1">IF(T_EMPLOYEES[[#This Row],[EMPLOYEE NUMBER]]="","",MATCH(T_EMPLOYEES[[#This Row],[JOB TITLE]],L_JOBTITLE,0))</f>
        <v>6</v>
      </c>
      <c r="AN221">
        <f ca="1">IF(T_EMPLOYEES[[#This Row],[EMPLOYEE NUMBER]]="","",MATCH(T_EMPLOYEES[[#This Row],[MANAGER]],L_EMPLABELS,0))</f>
        <v>62</v>
      </c>
      <c r="AO221">
        <f ca="1">IF(T_EMPLOYEES[[#This Row],[EMPLOYEE NUMBER]]="","",IF(T_EMPLOYEES[[#This Row],[ERROR]]="",0,1))</f>
        <v>0</v>
      </c>
      <c r="AP22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2" spans="1:42">
      <c r="A222" t="s">
        <v>847</v>
      </c>
      <c r="B222" t="s">
        <v>517</v>
      </c>
      <c r="C222">
        <v>1022031</v>
      </c>
      <c r="D222" t="s">
        <v>848</v>
      </c>
      <c r="E222" s="26">
        <v>33742</v>
      </c>
      <c r="F222" s="26">
        <v>43598</v>
      </c>
      <c r="H222" t="s">
        <v>27</v>
      </c>
      <c r="I222" t="s">
        <v>54</v>
      </c>
      <c r="J222" t="s">
        <v>64</v>
      </c>
      <c r="K222" t="s">
        <v>30</v>
      </c>
      <c r="L222" s="27" t="s">
        <v>45</v>
      </c>
      <c r="M222" t="s">
        <v>46</v>
      </c>
      <c r="N222" t="s">
        <v>152</v>
      </c>
      <c r="O222" t="s">
        <v>60</v>
      </c>
      <c r="P222" t="s">
        <v>152</v>
      </c>
      <c r="Q222" t="s">
        <v>684</v>
      </c>
      <c r="R222" s="27">
        <v>4</v>
      </c>
      <c r="S222" s="1">
        <v>250000</v>
      </c>
      <c r="T222" s="1">
        <f ca="1">ROUND(T_EMPLOYEES[[#This Row],[EMP_CTC1]]/12, 0)</f>
        <v>20833</v>
      </c>
      <c r="U222" s="1">
        <v>150000</v>
      </c>
      <c r="V222" s="1" t="s">
        <v>207</v>
      </c>
      <c r="W222" s="1" t="s">
        <v>207</v>
      </c>
      <c r="X22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Abinash Panda (1022031)</v>
      </c>
      <c r="Y222">
        <v>100000</v>
      </c>
      <c r="Z222" s="29">
        <f t="shared" ca="1" si="4"/>
        <v>40</v>
      </c>
      <c r="AA222">
        <f ca="1">IF(T_EMPLOYEES[[#This Row],[EMPLOYEE NUMBER]]="","",ROW(T_EMPLOYEES[[#This Row],[EMPLOYEE LABEL]])-ROW(T_EMPLOYEES[[#Headers],[EMPLOYEE LABEL]]))</f>
        <v>219</v>
      </c>
      <c r="AB222">
        <f ca="1">IF(T_EMPLOYEES[[#This Row],[EMPLOYEE NUMBER]]="","",IF(COUNTIF(T_EMPLOYEES[EMPLOYEE NUMBER],T_EMPLOYEES[[#This Row],[EMPLOYEE NUMBER]])&gt;1,1,0))</f>
        <v>0</v>
      </c>
      <c r="AC222">
        <f ca="1">IF(T_EMPLOYEES[[#This Row],[EMPLOYEE NUMBER]]="","",IF(AND(T_EMPLOYEES[[#This Row],[DATE OF BIRTH]]&gt;0,T_EMPLOYEES[[#This Row],[DATE OF BIRTH]]&lt;TODAY()),0,1))</f>
        <v>0</v>
      </c>
      <c r="AD222">
        <f ca="1">IF(T_EMPLOYEES[[#This Row],[EMPLOYEE NUMBER]]="","",IF(AND(T_EMPLOYEES[[#This Row],[START DATE]]&gt;0,T_EMPLOYEES[[#This Row],[START DATE]]&lt;TODAY()+60),0,1))</f>
        <v>0</v>
      </c>
      <c r="AE222">
        <f ca="1">IF(T_EMPLOYEES[[#This Row],[EMPLOYEE NUMBER]]="","",MATCH(T_EMPLOYEES[[#This Row],[GENDER]],L_GENDER,0))</f>
        <v>1</v>
      </c>
      <c r="AF222">
        <f ca="1">IF(T_EMPLOYEES[[#This Row],[EMPLOYEE NUMBER]]="","",MATCH(T_EMPLOYEES[[#This Row],[HIRE SOURCE]],L_HIRESOURCE,0))</f>
        <v>4</v>
      </c>
      <c r="AG222">
        <f ca="1">IF(T_EMPLOYEES[[#This Row],[EMPLOYEE NUMBER]]="","",MATCH(T_EMPLOYEES[[#This Row],[ETHNICITY]],L_ETHNICITY,0))</f>
        <v>3</v>
      </c>
      <c r="AH222">
        <f ca="1">IF(T_EMPLOYEES[[#This Row],[EMPLOYEE NUMBER]]="","",MATCH(T_EMPLOYEES[[#This Row],[LOCATION]],L_LOCATION,0))</f>
        <v>1</v>
      </c>
      <c r="AI222">
        <f ca="1">IF(T_EMPLOYEES[[#This Row],[EMPLOYEE NUMBER]]="","",MATCH(T_EMPLOYEES[[#This Row],[DEPARTMENT]],L_DEPARTMENT,0))</f>
        <v>2</v>
      </c>
      <c r="AJ222">
        <f ca="1">IF(T_EMPLOYEES[[#This Row],[EMPLOYEE NUMBER]]="","",MATCH(T_EMPLOYEES[[#This Row],[JOB TYPE]],L_JOBTYPE,0))</f>
        <v>2</v>
      </c>
      <c r="AK222">
        <f ca="1">IF(T_EMPLOYEES[[#This Row],[EMPLOYEE NUMBER]]="","",MATCH(T_EMPLOYEES[[#This Row],[JOB CATEGORY]],L_JOBCATEGORY,0))</f>
        <v>31</v>
      </c>
      <c r="AL222">
        <f ca="1">IF(T_EMPLOYEES[[#This Row],[EMPLOYEE NUMBER]]="","",MATCH(T_EMPLOYEES[[#This Row],[JOB LEVEL]],L_JOBLEVEL,0))</f>
        <v>3</v>
      </c>
      <c r="AM222">
        <f ca="1">IF(T_EMPLOYEES[[#This Row],[EMPLOYEE NUMBER]]="","",MATCH(T_EMPLOYEES[[#This Row],[JOB TITLE]],L_JOBTITLE,0))</f>
        <v>31</v>
      </c>
      <c r="AN222">
        <f ca="1">IF(T_EMPLOYEES[[#This Row],[EMPLOYEE NUMBER]]="","",MATCH(T_EMPLOYEES[[#This Row],[MANAGER]],L_EMPLABELS,0))</f>
        <v>232</v>
      </c>
      <c r="AO222">
        <f ca="1">IF(T_EMPLOYEES[[#This Row],[EMPLOYEE NUMBER]]="","",IF(T_EMPLOYEES[[#This Row],[ERROR]]="",0,1))</f>
        <v>0</v>
      </c>
      <c r="AP22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3" spans="1:42">
      <c r="A223" t="s">
        <v>849</v>
      </c>
      <c r="B223" t="s">
        <v>293</v>
      </c>
      <c r="C223">
        <v>1025502</v>
      </c>
      <c r="D223" t="s">
        <v>850</v>
      </c>
      <c r="E223" s="26">
        <v>33757</v>
      </c>
      <c r="F223" s="26">
        <v>44358</v>
      </c>
      <c r="H223" t="s">
        <v>27</v>
      </c>
      <c r="I223" t="s">
        <v>54</v>
      </c>
      <c r="J223" t="s">
        <v>64</v>
      </c>
      <c r="K223" t="s">
        <v>30</v>
      </c>
      <c r="L223" s="27" t="s">
        <v>45</v>
      </c>
      <c r="M223" t="s">
        <v>46</v>
      </c>
      <c r="N223" t="s">
        <v>89</v>
      </c>
      <c r="O223" t="s">
        <v>60</v>
      </c>
      <c r="P223" t="s">
        <v>89</v>
      </c>
      <c r="Q223" t="s">
        <v>851</v>
      </c>
      <c r="R223">
        <v>4</v>
      </c>
      <c r="S223" s="1">
        <v>250000</v>
      </c>
      <c r="T223" s="1">
        <f ca="1">ROUND(T_EMPLOYEES[[#This Row],[EMP_CTC1]]/12, 0)</f>
        <v>20833</v>
      </c>
      <c r="U223" s="1">
        <v>150000</v>
      </c>
      <c r="V223" s="1" t="s">
        <v>207</v>
      </c>
      <c r="W223" s="1" t="s">
        <v>207</v>
      </c>
      <c r="X22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Sonu Kumar (1025502)</v>
      </c>
      <c r="Y223">
        <v>100000</v>
      </c>
      <c r="Z223" s="29">
        <f t="shared" ca="1" si="4"/>
        <v>40</v>
      </c>
      <c r="AA223">
        <f ca="1">IF(T_EMPLOYEES[[#This Row],[EMPLOYEE NUMBER]]="","",ROW(T_EMPLOYEES[[#This Row],[EMPLOYEE LABEL]])-ROW(T_EMPLOYEES[[#Headers],[EMPLOYEE LABEL]]))</f>
        <v>220</v>
      </c>
      <c r="AB223">
        <f ca="1">IF(T_EMPLOYEES[[#This Row],[EMPLOYEE NUMBER]]="","",IF(COUNTIF(T_EMPLOYEES[EMPLOYEE NUMBER],T_EMPLOYEES[[#This Row],[EMPLOYEE NUMBER]])&gt;1,1,0))</f>
        <v>0</v>
      </c>
      <c r="AC223">
        <f ca="1">IF(T_EMPLOYEES[[#This Row],[EMPLOYEE NUMBER]]="","",IF(AND(T_EMPLOYEES[[#This Row],[DATE OF BIRTH]]&gt;0,T_EMPLOYEES[[#This Row],[DATE OF BIRTH]]&lt;TODAY()),0,1))</f>
        <v>0</v>
      </c>
      <c r="AD223">
        <f ca="1">IF(T_EMPLOYEES[[#This Row],[EMPLOYEE NUMBER]]="","",IF(AND(T_EMPLOYEES[[#This Row],[START DATE]]&gt;0,T_EMPLOYEES[[#This Row],[START DATE]]&lt;TODAY()+60),0,1))</f>
        <v>0</v>
      </c>
      <c r="AE223">
        <f ca="1">IF(T_EMPLOYEES[[#This Row],[EMPLOYEE NUMBER]]="","",MATCH(T_EMPLOYEES[[#This Row],[GENDER]],L_GENDER,0))</f>
        <v>1</v>
      </c>
      <c r="AF223">
        <f ca="1">IF(T_EMPLOYEES[[#This Row],[EMPLOYEE NUMBER]]="","",MATCH(T_EMPLOYEES[[#This Row],[HIRE SOURCE]],L_HIRESOURCE,0))</f>
        <v>4</v>
      </c>
      <c r="AG223">
        <f ca="1">IF(T_EMPLOYEES[[#This Row],[EMPLOYEE NUMBER]]="","",MATCH(T_EMPLOYEES[[#This Row],[ETHNICITY]],L_ETHNICITY,0))</f>
        <v>3</v>
      </c>
      <c r="AH223">
        <f ca="1">IF(T_EMPLOYEES[[#This Row],[EMPLOYEE NUMBER]]="","",MATCH(T_EMPLOYEES[[#This Row],[LOCATION]],L_LOCATION,0))</f>
        <v>1</v>
      </c>
      <c r="AI223">
        <f ca="1">IF(T_EMPLOYEES[[#This Row],[EMPLOYEE NUMBER]]="","",MATCH(T_EMPLOYEES[[#This Row],[DEPARTMENT]],L_DEPARTMENT,0))</f>
        <v>2</v>
      </c>
      <c r="AJ223">
        <f ca="1">IF(T_EMPLOYEES[[#This Row],[EMPLOYEE NUMBER]]="","",MATCH(T_EMPLOYEES[[#This Row],[JOB TYPE]],L_JOBTYPE,0))</f>
        <v>2</v>
      </c>
      <c r="AK223">
        <f ca="1">IF(T_EMPLOYEES[[#This Row],[EMPLOYEE NUMBER]]="","",MATCH(T_EMPLOYEES[[#This Row],[JOB CATEGORY]],L_JOBCATEGORY,0))</f>
        <v>6</v>
      </c>
      <c r="AL223">
        <f ca="1">IF(T_EMPLOYEES[[#This Row],[EMPLOYEE NUMBER]]="","",MATCH(T_EMPLOYEES[[#This Row],[JOB LEVEL]],L_JOBLEVEL,0))</f>
        <v>3</v>
      </c>
      <c r="AM223">
        <f ca="1">IF(T_EMPLOYEES[[#This Row],[EMPLOYEE NUMBER]]="","",MATCH(T_EMPLOYEES[[#This Row],[JOB TITLE]],L_JOBTITLE,0))</f>
        <v>6</v>
      </c>
      <c r="AN223">
        <f ca="1">IF(T_EMPLOYEES[[#This Row],[EMPLOYEE NUMBER]]="","",MATCH(T_EMPLOYEES[[#This Row],[MANAGER]],L_EMPLABELS,0))</f>
        <v>271</v>
      </c>
      <c r="AO223">
        <f ca="1">IF(T_EMPLOYEES[[#This Row],[EMPLOYEE NUMBER]]="","",IF(T_EMPLOYEES[[#This Row],[ERROR]]="",0,1))</f>
        <v>0</v>
      </c>
      <c r="AP22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4" spans="1:42">
      <c r="A224" t="s">
        <v>63</v>
      </c>
      <c r="B224" t="s">
        <v>820</v>
      </c>
      <c r="C224">
        <v>1028565</v>
      </c>
      <c r="D224" t="s">
        <v>852</v>
      </c>
      <c r="E224" s="26">
        <v>33759</v>
      </c>
      <c r="F224" s="26">
        <v>44631</v>
      </c>
      <c r="H224" t="s">
        <v>27</v>
      </c>
      <c r="I224" t="s">
        <v>54</v>
      </c>
      <c r="J224" t="s">
        <v>64</v>
      </c>
      <c r="K224" t="s">
        <v>43</v>
      </c>
      <c r="L224" s="27" t="s">
        <v>45</v>
      </c>
      <c r="M224" t="s">
        <v>46</v>
      </c>
      <c r="N224" t="s">
        <v>148</v>
      </c>
      <c r="O224" t="s">
        <v>48</v>
      </c>
      <c r="P224" t="s">
        <v>148</v>
      </c>
      <c r="Q224" t="s">
        <v>272</v>
      </c>
      <c r="R224" s="27">
        <v>4</v>
      </c>
      <c r="S224" s="1">
        <v>250000</v>
      </c>
      <c r="T224" s="1">
        <f ca="1">ROUND(T_EMPLOYEES[[#This Row],[EMP_CTC1]]/12, 0)</f>
        <v>20833</v>
      </c>
      <c r="U224" s="1">
        <v>150000</v>
      </c>
      <c r="V224" s="1" t="s">
        <v>207</v>
      </c>
      <c r="W224" s="1" t="s">
        <v>207</v>
      </c>
      <c r="X22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 Ganapathi (1028565)</v>
      </c>
      <c r="Y224">
        <v>100000</v>
      </c>
      <c r="Z224" s="29">
        <f t="shared" ca="1" si="4"/>
        <v>40</v>
      </c>
      <c r="AA224">
        <f ca="1">IF(T_EMPLOYEES[[#This Row],[EMPLOYEE NUMBER]]="","",ROW(T_EMPLOYEES[[#This Row],[EMPLOYEE LABEL]])-ROW(T_EMPLOYEES[[#Headers],[EMPLOYEE LABEL]]))</f>
        <v>221</v>
      </c>
      <c r="AB224">
        <f ca="1">IF(T_EMPLOYEES[[#This Row],[EMPLOYEE NUMBER]]="","",IF(COUNTIF(T_EMPLOYEES[EMPLOYEE NUMBER],T_EMPLOYEES[[#This Row],[EMPLOYEE NUMBER]])&gt;1,1,0))</f>
        <v>0</v>
      </c>
      <c r="AC224">
        <f ca="1">IF(T_EMPLOYEES[[#This Row],[EMPLOYEE NUMBER]]="","",IF(AND(T_EMPLOYEES[[#This Row],[DATE OF BIRTH]]&gt;0,T_EMPLOYEES[[#This Row],[DATE OF BIRTH]]&lt;TODAY()),0,1))</f>
        <v>0</v>
      </c>
      <c r="AD224">
        <f ca="1">IF(T_EMPLOYEES[[#This Row],[EMPLOYEE NUMBER]]="","",IF(AND(T_EMPLOYEES[[#This Row],[START DATE]]&gt;0,T_EMPLOYEES[[#This Row],[START DATE]]&lt;TODAY()+60),0,1))</f>
        <v>0</v>
      </c>
      <c r="AE224">
        <f ca="1">IF(T_EMPLOYEES[[#This Row],[EMPLOYEE NUMBER]]="","",MATCH(T_EMPLOYEES[[#This Row],[GENDER]],L_GENDER,0))</f>
        <v>1</v>
      </c>
      <c r="AF224">
        <f ca="1">IF(T_EMPLOYEES[[#This Row],[EMPLOYEE NUMBER]]="","",MATCH(T_EMPLOYEES[[#This Row],[HIRE SOURCE]],L_HIRESOURCE,0))</f>
        <v>4</v>
      </c>
      <c r="AG224">
        <f ca="1">IF(T_EMPLOYEES[[#This Row],[EMPLOYEE NUMBER]]="","",MATCH(T_EMPLOYEES[[#This Row],[ETHNICITY]],L_ETHNICITY,0))</f>
        <v>3</v>
      </c>
      <c r="AH224">
        <f ca="1">IF(T_EMPLOYEES[[#This Row],[EMPLOYEE NUMBER]]="","",MATCH(T_EMPLOYEES[[#This Row],[LOCATION]],L_LOCATION,0))</f>
        <v>2</v>
      </c>
      <c r="AI224">
        <f ca="1">IF(T_EMPLOYEES[[#This Row],[EMPLOYEE NUMBER]]="","",MATCH(T_EMPLOYEES[[#This Row],[DEPARTMENT]],L_DEPARTMENT,0))</f>
        <v>2</v>
      </c>
      <c r="AJ224">
        <f ca="1">IF(T_EMPLOYEES[[#This Row],[EMPLOYEE NUMBER]]="","",MATCH(T_EMPLOYEES[[#This Row],[JOB TYPE]],L_JOBTYPE,0))</f>
        <v>2</v>
      </c>
      <c r="AK224">
        <f ca="1">IF(T_EMPLOYEES[[#This Row],[EMPLOYEE NUMBER]]="","",MATCH(T_EMPLOYEES[[#This Row],[JOB CATEGORY]],L_JOBCATEGORY,0))</f>
        <v>27</v>
      </c>
      <c r="AL224">
        <f ca="1">IF(T_EMPLOYEES[[#This Row],[EMPLOYEE NUMBER]]="","",MATCH(T_EMPLOYEES[[#This Row],[JOB LEVEL]],L_JOBLEVEL,0))</f>
        <v>2</v>
      </c>
      <c r="AM224">
        <f ca="1">IF(T_EMPLOYEES[[#This Row],[EMPLOYEE NUMBER]]="","",MATCH(T_EMPLOYEES[[#This Row],[JOB TITLE]],L_JOBTITLE,0))</f>
        <v>27</v>
      </c>
      <c r="AN224">
        <f ca="1">IF(T_EMPLOYEES[[#This Row],[EMPLOYEE NUMBER]]="","",MATCH(T_EMPLOYEES[[#This Row],[MANAGER]],L_EMPLABELS,0))</f>
        <v>62</v>
      </c>
      <c r="AO224">
        <f ca="1">IF(T_EMPLOYEES[[#This Row],[EMPLOYEE NUMBER]]="","",IF(T_EMPLOYEES[[#This Row],[ERROR]]="",0,1))</f>
        <v>0</v>
      </c>
      <c r="AP22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5" spans="1:42">
      <c r="A225" t="s">
        <v>853</v>
      </c>
      <c r="B225" t="s">
        <v>854</v>
      </c>
      <c r="C225">
        <v>1030694</v>
      </c>
      <c r="D225" t="s">
        <v>855</v>
      </c>
      <c r="E225" s="26">
        <v>33763</v>
      </c>
      <c r="F225" s="26">
        <v>44855</v>
      </c>
      <c r="H225" t="s">
        <v>40</v>
      </c>
      <c r="I225" t="s">
        <v>54</v>
      </c>
      <c r="J225" t="s">
        <v>64</v>
      </c>
      <c r="K225" t="s">
        <v>30</v>
      </c>
      <c r="L225" s="27" t="s">
        <v>45</v>
      </c>
      <c r="M225" t="s">
        <v>46</v>
      </c>
      <c r="N225" t="s">
        <v>128</v>
      </c>
      <c r="O225" t="s">
        <v>60</v>
      </c>
      <c r="P225" t="s">
        <v>128</v>
      </c>
      <c r="Q225" t="s">
        <v>608</v>
      </c>
      <c r="R225">
        <v>4</v>
      </c>
      <c r="S225" s="1">
        <v>250000</v>
      </c>
      <c r="T225" s="1">
        <f ca="1">ROUND(T_EMPLOYEES[[#This Row],[EMP_CTC1]]/12, 0)</f>
        <v>20833</v>
      </c>
      <c r="U225" s="1">
        <v>150000</v>
      </c>
      <c r="V225" s="1" t="s">
        <v>207</v>
      </c>
      <c r="W225" s="1" t="s">
        <v>207</v>
      </c>
      <c r="X22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Boilla  ChanduPriya (1030694)</v>
      </c>
      <c r="Y225">
        <v>100000</v>
      </c>
      <c r="Z225" s="29">
        <f t="shared" ca="1" si="4"/>
        <v>40</v>
      </c>
      <c r="AA225">
        <f ca="1">IF(T_EMPLOYEES[[#This Row],[EMPLOYEE NUMBER]]="","",ROW(T_EMPLOYEES[[#This Row],[EMPLOYEE LABEL]])-ROW(T_EMPLOYEES[[#Headers],[EMPLOYEE LABEL]]))</f>
        <v>222</v>
      </c>
      <c r="AB225">
        <f ca="1">IF(T_EMPLOYEES[[#This Row],[EMPLOYEE NUMBER]]="","",IF(COUNTIF(T_EMPLOYEES[EMPLOYEE NUMBER],T_EMPLOYEES[[#This Row],[EMPLOYEE NUMBER]])&gt;1,1,0))</f>
        <v>0</v>
      </c>
      <c r="AC225">
        <f ca="1">IF(T_EMPLOYEES[[#This Row],[EMPLOYEE NUMBER]]="","",IF(AND(T_EMPLOYEES[[#This Row],[DATE OF BIRTH]]&gt;0,T_EMPLOYEES[[#This Row],[DATE OF BIRTH]]&lt;TODAY()),0,1))</f>
        <v>0</v>
      </c>
      <c r="AD225">
        <f ca="1">IF(T_EMPLOYEES[[#This Row],[EMPLOYEE NUMBER]]="","",IF(AND(T_EMPLOYEES[[#This Row],[START DATE]]&gt;0,T_EMPLOYEES[[#This Row],[START DATE]]&lt;TODAY()+60),0,1))</f>
        <v>0</v>
      </c>
      <c r="AE225">
        <f ca="1">IF(T_EMPLOYEES[[#This Row],[EMPLOYEE NUMBER]]="","",MATCH(T_EMPLOYEES[[#This Row],[GENDER]],L_GENDER,0))</f>
        <v>2</v>
      </c>
      <c r="AF225">
        <f ca="1">IF(T_EMPLOYEES[[#This Row],[EMPLOYEE NUMBER]]="","",MATCH(T_EMPLOYEES[[#This Row],[HIRE SOURCE]],L_HIRESOURCE,0))</f>
        <v>4</v>
      </c>
      <c r="AG225">
        <f ca="1">IF(T_EMPLOYEES[[#This Row],[EMPLOYEE NUMBER]]="","",MATCH(T_EMPLOYEES[[#This Row],[ETHNICITY]],L_ETHNICITY,0))</f>
        <v>3</v>
      </c>
      <c r="AH225">
        <f ca="1">IF(T_EMPLOYEES[[#This Row],[EMPLOYEE NUMBER]]="","",MATCH(T_EMPLOYEES[[#This Row],[LOCATION]],L_LOCATION,0))</f>
        <v>1</v>
      </c>
      <c r="AI225">
        <f ca="1">IF(T_EMPLOYEES[[#This Row],[EMPLOYEE NUMBER]]="","",MATCH(T_EMPLOYEES[[#This Row],[DEPARTMENT]],L_DEPARTMENT,0))</f>
        <v>2</v>
      </c>
      <c r="AJ225">
        <f ca="1">IF(T_EMPLOYEES[[#This Row],[EMPLOYEE NUMBER]]="","",MATCH(T_EMPLOYEES[[#This Row],[JOB TYPE]],L_JOBTYPE,0))</f>
        <v>2</v>
      </c>
      <c r="AK225">
        <f ca="1">IF(T_EMPLOYEES[[#This Row],[EMPLOYEE NUMBER]]="","",MATCH(T_EMPLOYEES[[#This Row],[JOB CATEGORY]],L_JOBCATEGORY,0))</f>
        <v>15</v>
      </c>
      <c r="AL225">
        <f ca="1">IF(T_EMPLOYEES[[#This Row],[EMPLOYEE NUMBER]]="","",MATCH(T_EMPLOYEES[[#This Row],[JOB LEVEL]],L_JOBLEVEL,0))</f>
        <v>3</v>
      </c>
      <c r="AM225">
        <f ca="1">IF(T_EMPLOYEES[[#This Row],[EMPLOYEE NUMBER]]="","",MATCH(T_EMPLOYEES[[#This Row],[JOB TITLE]],L_JOBTITLE,0))</f>
        <v>15</v>
      </c>
      <c r="AN225">
        <f ca="1">IF(T_EMPLOYEES[[#This Row],[EMPLOYEE NUMBER]]="","",MATCH(T_EMPLOYEES[[#This Row],[MANAGER]],L_EMPLABELS,0))</f>
        <v>105</v>
      </c>
      <c r="AO225">
        <f ca="1">IF(T_EMPLOYEES[[#This Row],[EMPLOYEE NUMBER]]="","",IF(T_EMPLOYEES[[#This Row],[ERROR]]="",0,1))</f>
        <v>0</v>
      </c>
      <c r="AP22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6" spans="1:42">
      <c r="A226" t="s">
        <v>410</v>
      </c>
      <c r="B226" t="s">
        <v>856</v>
      </c>
      <c r="C226">
        <v>1031853</v>
      </c>
      <c r="D226" t="s">
        <v>857</v>
      </c>
      <c r="E226" s="26">
        <v>33763</v>
      </c>
      <c r="F226" s="26">
        <v>44914</v>
      </c>
      <c r="H226" t="s">
        <v>27</v>
      </c>
      <c r="I226" t="s">
        <v>54</v>
      </c>
      <c r="J226" t="s">
        <v>64</v>
      </c>
      <c r="K226" t="s">
        <v>43</v>
      </c>
      <c r="L226" s="27" t="s">
        <v>45</v>
      </c>
      <c r="M226" t="s">
        <v>46</v>
      </c>
      <c r="N226" t="s">
        <v>155</v>
      </c>
      <c r="O226" t="s">
        <v>71</v>
      </c>
      <c r="P226" t="s">
        <v>155</v>
      </c>
      <c r="Q226" t="s">
        <v>288</v>
      </c>
      <c r="R226" s="27">
        <v>5</v>
      </c>
      <c r="S226" s="1">
        <v>250000</v>
      </c>
      <c r="T226" s="1">
        <f ca="1">ROUND(T_EMPLOYEES[[#This Row],[EMP_CTC1]]/12, 0)</f>
        <v>20833</v>
      </c>
      <c r="U226" s="1">
        <v>150000</v>
      </c>
      <c r="V226" s="1" t="s">
        <v>207</v>
      </c>
      <c r="W226" s="1" t="s">
        <v>207</v>
      </c>
      <c r="X22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 Jagannathgowd (1031853)</v>
      </c>
      <c r="Y226">
        <v>100000</v>
      </c>
      <c r="Z226" s="29">
        <f t="shared" ca="1" si="4"/>
        <v>40</v>
      </c>
      <c r="AA226">
        <f ca="1">IF(T_EMPLOYEES[[#This Row],[EMPLOYEE NUMBER]]="","",ROW(T_EMPLOYEES[[#This Row],[EMPLOYEE LABEL]])-ROW(T_EMPLOYEES[[#Headers],[EMPLOYEE LABEL]]))</f>
        <v>223</v>
      </c>
      <c r="AB226">
        <f ca="1">IF(T_EMPLOYEES[[#This Row],[EMPLOYEE NUMBER]]="","",IF(COUNTIF(T_EMPLOYEES[EMPLOYEE NUMBER],T_EMPLOYEES[[#This Row],[EMPLOYEE NUMBER]])&gt;1,1,0))</f>
        <v>0</v>
      </c>
      <c r="AC226">
        <f ca="1">IF(T_EMPLOYEES[[#This Row],[EMPLOYEE NUMBER]]="","",IF(AND(T_EMPLOYEES[[#This Row],[DATE OF BIRTH]]&gt;0,T_EMPLOYEES[[#This Row],[DATE OF BIRTH]]&lt;TODAY()),0,1))</f>
        <v>0</v>
      </c>
      <c r="AD226">
        <f ca="1">IF(T_EMPLOYEES[[#This Row],[EMPLOYEE NUMBER]]="","",IF(AND(T_EMPLOYEES[[#This Row],[START DATE]]&gt;0,T_EMPLOYEES[[#This Row],[START DATE]]&lt;TODAY()+60),0,1))</f>
        <v>0</v>
      </c>
      <c r="AE226">
        <f ca="1">IF(T_EMPLOYEES[[#This Row],[EMPLOYEE NUMBER]]="","",MATCH(T_EMPLOYEES[[#This Row],[GENDER]],L_GENDER,0))</f>
        <v>1</v>
      </c>
      <c r="AF226">
        <f ca="1">IF(T_EMPLOYEES[[#This Row],[EMPLOYEE NUMBER]]="","",MATCH(T_EMPLOYEES[[#This Row],[HIRE SOURCE]],L_HIRESOURCE,0))</f>
        <v>4</v>
      </c>
      <c r="AG226">
        <f ca="1">IF(T_EMPLOYEES[[#This Row],[EMPLOYEE NUMBER]]="","",MATCH(T_EMPLOYEES[[#This Row],[ETHNICITY]],L_ETHNICITY,0))</f>
        <v>3</v>
      </c>
      <c r="AH226">
        <f ca="1">IF(T_EMPLOYEES[[#This Row],[EMPLOYEE NUMBER]]="","",MATCH(T_EMPLOYEES[[#This Row],[LOCATION]],L_LOCATION,0))</f>
        <v>2</v>
      </c>
      <c r="AI226">
        <f ca="1">IF(T_EMPLOYEES[[#This Row],[EMPLOYEE NUMBER]]="","",MATCH(T_EMPLOYEES[[#This Row],[DEPARTMENT]],L_DEPARTMENT,0))</f>
        <v>2</v>
      </c>
      <c r="AJ226">
        <f ca="1">IF(T_EMPLOYEES[[#This Row],[EMPLOYEE NUMBER]]="","",MATCH(T_EMPLOYEES[[#This Row],[JOB TYPE]],L_JOBTYPE,0))</f>
        <v>2</v>
      </c>
      <c r="AK226">
        <f ca="1">IF(T_EMPLOYEES[[#This Row],[EMPLOYEE NUMBER]]="","",MATCH(T_EMPLOYEES[[#This Row],[JOB CATEGORY]],L_JOBCATEGORY,0))</f>
        <v>34</v>
      </c>
      <c r="AL226">
        <f ca="1">IF(T_EMPLOYEES[[#This Row],[EMPLOYEE NUMBER]]="","",MATCH(T_EMPLOYEES[[#This Row],[JOB LEVEL]],L_JOBLEVEL,0))</f>
        <v>4</v>
      </c>
      <c r="AM226">
        <f ca="1">IF(T_EMPLOYEES[[#This Row],[EMPLOYEE NUMBER]]="","",MATCH(T_EMPLOYEES[[#This Row],[JOB TITLE]],L_JOBTITLE,0))</f>
        <v>34</v>
      </c>
      <c r="AN226">
        <f ca="1">IF(T_EMPLOYEES[[#This Row],[EMPLOYEE NUMBER]]="","",MATCH(T_EMPLOYEES[[#This Row],[MANAGER]],L_EMPLABELS,0))</f>
        <v>52</v>
      </c>
      <c r="AO226">
        <f ca="1">IF(T_EMPLOYEES[[#This Row],[EMPLOYEE NUMBER]]="","",IF(T_EMPLOYEES[[#This Row],[ERROR]]="",0,1))</f>
        <v>0</v>
      </c>
      <c r="AP22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7" spans="1:42">
      <c r="A227" t="s">
        <v>858</v>
      </c>
      <c r="B227" t="s">
        <v>859</v>
      </c>
      <c r="C227">
        <v>1026220</v>
      </c>
      <c r="D227" t="s">
        <v>860</v>
      </c>
      <c r="E227" s="26">
        <v>33786</v>
      </c>
      <c r="F227" s="26">
        <v>44431</v>
      </c>
      <c r="H227" t="s">
        <v>27</v>
      </c>
      <c r="I227" t="s">
        <v>54</v>
      </c>
      <c r="J227" t="s">
        <v>64</v>
      </c>
      <c r="K227" t="s">
        <v>30</v>
      </c>
      <c r="L227" s="27" t="s">
        <v>110</v>
      </c>
      <c r="M227" t="s">
        <v>46</v>
      </c>
      <c r="N227" t="s">
        <v>89</v>
      </c>
      <c r="O227" t="s">
        <v>60</v>
      </c>
      <c r="P227" t="s">
        <v>89</v>
      </c>
      <c r="Q227" t="s">
        <v>861</v>
      </c>
      <c r="R227">
        <v>4</v>
      </c>
      <c r="S227" s="1">
        <v>250000</v>
      </c>
      <c r="T227" s="1">
        <f ca="1">ROUND(T_EMPLOYEES[[#This Row],[EMP_CTC1]]/12, 0)</f>
        <v>20833</v>
      </c>
      <c r="U227" s="1">
        <v>150000</v>
      </c>
      <c r="V227" s="1" t="s">
        <v>207</v>
      </c>
      <c r="W227" s="1" t="s">
        <v>207</v>
      </c>
      <c r="X22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Lakku Hari Krishna Manikanta (1026220)</v>
      </c>
      <c r="Y227">
        <v>100000</v>
      </c>
      <c r="Z227" s="29">
        <f t="shared" ca="1" si="4"/>
        <v>40</v>
      </c>
      <c r="AA227">
        <f ca="1">IF(T_EMPLOYEES[[#This Row],[EMPLOYEE NUMBER]]="","",ROW(T_EMPLOYEES[[#This Row],[EMPLOYEE LABEL]])-ROW(T_EMPLOYEES[[#Headers],[EMPLOYEE LABEL]]))</f>
        <v>224</v>
      </c>
      <c r="AB227">
        <f ca="1">IF(T_EMPLOYEES[[#This Row],[EMPLOYEE NUMBER]]="","",IF(COUNTIF(T_EMPLOYEES[EMPLOYEE NUMBER],T_EMPLOYEES[[#This Row],[EMPLOYEE NUMBER]])&gt;1,1,0))</f>
        <v>0</v>
      </c>
      <c r="AC227">
        <f ca="1">IF(T_EMPLOYEES[[#This Row],[EMPLOYEE NUMBER]]="","",IF(AND(T_EMPLOYEES[[#This Row],[DATE OF BIRTH]]&gt;0,T_EMPLOYEES[[#This Row],[DATE OF BIRTH]]&lt;TODAY()),0,1))</f>
        <v>0</v>
      </c>
      <c r="AD227">
        <f ca="1">IF(T_EMPLOYEES[[#This Row],[EMPLOYEE NUMBER]]="","",IF(AND(T_EMPLOYEES[[#This Row],[START DATE]]&gt;0,T_EMPLOYEES[[#This Row],[START DATE]]&lt;TODAY()+60),0,1))</f>
        <v>0</v>
      </c>
      <c r="AE227">
        <f ca="1">IF(T_EMPLOYEES[[#This Row],[EMPLOYEE NUMBER]]="","",MATCH(T_EMPLOYEES[[#This Row],[GENDER]],L_GENDER,0))</f>
        <v>1</v>
      </c>
      <c r="AF227">
        <f ca="1">IF(T_EMPLOYEES[[#This Row],[EMPLOYEE NUMBER]]="","",MATCH(T_EMPLOYEES[[#This Row],[HIRE SOURCE]],L_HIRESOURCE,0))</f>
        <v>4</v>
      </c>
      <c r="AG227">
        <f ca="1">IF(T_EMPLOYEES[[#This Row],[EMPLOYEE NUMBER]]="","",MATCH(T_EMPLOYEES[[#This Row],[ETHNICITY]],L_ETHNICITY,0))</f>
        <v>3</v>
      </c>
      <c r="AH227">
        <f ca="1">IF(T_EMPLOYEES[[#This Row],[EMPLOYEE NUMBER]]="","",MATCH(T_EMPLOYEES[[#This Row],[LOCATION]],L_LOCATION,0))</f>
        <v>1</v>
      </c>
      <c r="AI227">
        <f ca="1">IF(T_EMPLOYEES[[#This Row],[EMPLOYEE NUMBER]]="","",MATCH(T_EMPLOYEES[[#This Row],[DEPARTMENT]],L_DEPARTMENT,0))</f>
        <v>10</v>
      </c>
      <c r="AJ227">
        <f ca="1">IF(T_EMPLOYEES[[#This Row],[EMPLOYEE NUMBER]]="","",MATCH(T_EMPLOYEES[[#This Row],[JOB TYPE]],L_JOBTYPE,0))</f>
        <v>2</v>
      </c>
      <c r="AK227">
        <f ca="1">IF(T_EMPLOYEES[[#This Row],[EMPLOYEE NUMBER]]="","",MATCH(T_EMPLOYEES[[#This Row],[JOB CATEGORY]],L_JOBCATEGORY,0))</f>
        <v>6</v>
      </c>
      <c r="AL227">
        <f ca="1">IF(T_EMPLOYEES[[#This Row],[EMPLOYEE NUMBER]]="","",MATCH(T_EMPLOYEES[[#This Row],[JOB LEVEL]],L_JOBLEVEL,0))</f>
        <v>3</v>
      </c>
      <c r="AM227">
        <f ca="1">IF(T_EMPLOYEES[[#This Row],[EMPLOYEE NUMBER]]="","",MATCH(T_EMPLOYEES[[#This Row],[JOB TITLE]],L_JOBTITLE,0))</f>
        <v>6</v>
      </c>
      <c r="AN227">
        <f ca="1">IF(T_EMPLOYEES[[#This Row],[EMPLOYEE NUMBER]]="","",MATCH(T_EMPLOYEES[[#This Row],[MANAGER]],L_EMPLABELS,0))</f>
        <v>130</v>
      </c>
      <c r="AO227">
        <f ca="1">IF(T_EMPLOYEES[[#This Row],[EMPLOYEE NUMBER]]="","",IF(T_EMPLOYEES[[#This Row],[ERROR]]="",0,1))</f>
        <v>0</v>
      </c>
      <c r="AP22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8" spans="1:42">
      <c r="A228" t="s">
        <v>285</v>
      </c>
      <c r="B228" t="s">
        <v>862</v>
      </c>
      <c r="C228">
        <v>1033644</v>
      </c>
      <c r="D228" t="s">
        <v>863</v>
      </c>
      <c r="E228" s="26">
        <v>33800</v>
      </c>
      <c r="F228" s="26">
        <v>45203</v>
      </c>
      <c r="H228" t="s">
        <v>27</v>
      </c>
      <c r="I228" t="s">
        <v>54</v>
      </c>
      <c r="J228" t="s">
        <v>64</v>
      </c>
      <c r="K228" t="s">
        <v>55</v>
      </c>
      <c r="L228" s="27" t="s">
        <v>45</v>
      </c>
      <c r="M228" t="s">
        <v>46</v>
      </c>
      <c r="N228" t="s">
        <v>81</v>
      </c>
      <c r="O228" t="s">
        <v>82</v>
      </c>
      <c r="P228" t="s">
        <v>81</v>
      </c>
      <c r="Q228" t="s">
        <v>333</v>
      </c>
      <c r="R228" s="27">
        <v>7</v>
      </c>
      <c r="S228" s="1">
        <v>250000</v>
      </c>
      <c r="T228" s="1">
        <f ca="1">ROUND(T_EMPLOYEES[[#This Row],[EMP_CTC1]]/12, 0)</f>
        <v>20833</v>
      </c>
      <c r="U228" s="1">
        <v>150000</v>
      </c>
      <c r="V228" s="1" t="s">
        <v>207</v>
      </c>
      <c r="W228" s="1" t="s">
        <v>207</v>
      </c>
      <c r="X22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Sreekanth  Venigalla (1033644)</v>
      </c>
      <c r="Y228">
        <v>100000</v>
      </c>
      <c r="Z228" s="29">
        <f t="shared" ca="1" si="4"/>
        <v>40</v>
      </c>
      <c r="AA228">
        <f ca="1">IF(T_EMPLOYEES[[#This Row],[EMPLOYEE NUMBER]]="","",ROW(T_EMPLOYEES[[#This Row],[EMPLOYEE LABEL]])-ROW(T_EMPLOYEES[[#Headers],[EMPLOYEE LABEL]]))</f>
        <v>225</v>
      </c>
      <c r="AB228">
        <f ca="1">IF(T_EMPLOYEES[[#This Row],[EMPLOYEE NUMBER]]="","",IF(COUNTIF(T_EMPLOYEES[EMPLOYEE NUMBER],T_EMPLOYEES[[#This Row],[EMPLOYEE NUMBER]])&gt;1,1,0))</f>
        <v>0</v>
      </c>
      <c r="AC228">
        <f ca="1">IF(T_EMPLOYEES[[#This Row],[EMPLOYEE NUMBER]]="","",IF(AND(T_EMPLOYEES[[#This Row],[DATE OF BIRTH]]&gt;0,T_EMPLOYEES[[#This Row],[DATE OF BIRTH]]&lt;TODAY()),0,1))</f>
        <v>0</v>
      </c>
      <c r="AD228">
        <f ca="1">IF(T_EMPLOYEES[[#This Row],[EMPLOYEE NUMBER]]="","",IF(AND(T_EMPLOYEES[[#This Row],[START DATE]]&gt;0,T_EMPLOYEES[[#This Row],[START DATE]]&lt;TODAY()+60),0,1))</f>
        <v>0</v>
      </c>
      <c r="AE228">
        <f ca="1">IF(T_EMPLOYEES[[#This Row],[EMPLOYEE NUMBER]]="","",MATCH(T_EMPLOYEES[[#This Row],[GENDER]],L_GENDER,0))</f>
        <v>1</v>
      </c>
      <c r="AF228">
        <f ca="1">IF(T_EMPLOYEES[[#This Row],[EMPLOYEE NUMBER]]="","",MATCH(T_EMPLOYEES[[#This Row],[HIRE SOURCE]],L_HIRESOURCE,0))</f>
        <v>4</v>
      </c>
      <c r="AG228">
        <f ca="1">IF(T_EMPLOYEES[[#This Row],[EMPLOYEE NUMBER]]="","",MATCH(T_EMPLOYEES[[#This Row],[ETHNICITY]],L_ETHNICITY,0))</f>
        <v>3</v>
      </c>
      <c r="AH228">
        <f ca="1">IF(T_EMPLOYEES[[#This Row],[EMPLOYEE NUMBER]]="","",MATCH(T_EMPLOYEES[[#This Row],[LOCATION]],L_LOCATION,0))</f>
        <v>3</v>
      </c>
      <c r="AI228">
        <f ca="1">IF(T_EMPLOYEES[[#This Row],[EMPLOYEE NUMBER]]="","",MATCH(T_EMPLOYEES[[#This Row],[DEPARTMENT]],L_DEPARTMENT,0))</f>
        <v>2</v>
      </c>
      <c r="AJ228">
        <f ca="1">IF(T_EMPLOYEES[[#This Row],[EMPLOYEE NUMBER]]="","",MATCH(T_EMPLOYEES[[#This Row],[JOB TYPE]],L_JOBTYPE,0))</f>
        <v>2</v>
      </c>
      <c r="AK228">
        <f ca="1">IF(T_EMPLOYEES[[#This Row],[EMPLOYEE NUMBER]]="","",MATCH(T_EMPLOYEES[[#This Row],[JOB CATEGORY]],L_JOBCATEGORY,0))</f>
        <v>5</v>
      </c>
      <c r="AL228">
        <f ca="1">IF(T_EMPLOYEES[[#This Row],[EMPLOYEE NUMBER]]="","",MATCH(T_EMPLOYEES[[#This Row],[JOB LEVEL]],L_JOBLEVEL,0))</f>
        <v>5</v>
      </c>
      <c r="AM228">
        <f ca="1">IF(T_EMPLOYEES[[#This Row],[EMPLOYEE NUMBER]]="","",MATCH(T_EMPLOYEES[[#This Row],[JOB TITLE]],L_JOBTITLE,0))</f>
        <v>5</v>
      </c>
      <c r="AN228">
        <f ca="1">IF(T_EMPLOYEES[[#This Row],[EMPLOYEE NUMBER]]="","",MATCH(T_EMPLOYEES[[#This Row],[MANAGER]],L_EMPLABELS,0))</f>
        <v>17</v>
      </c>
      <c r="AO228">
        <f ca="1">IF(T_EMPLOYEES[[#This Row],[EMPLOYEE NUMBER]]="","",IF(T_EMPLOYEES[[#This Row],[ERROR]]="",0,1))</f>
        <v>0</v>
      </c>
      <c r="AP22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9" spans="1:42">
      <c r="A229" t="s">
        <v>864</v>
      </c>
      <c r="B229" t="s">
        <v>865</v>
      </c>
      <c r="C229">
        <v>1026788</v>
      </c>
      <c r="D229" t="s">
        <v>866</v>
      </c>
      <c r="E229" s="26">
        <v>33811</v>
      </c>
      <c r="F229" s="26">
        <v>44473</v>
      </c>
      <c r="H229" t="s">
        <v>27</v>
      </c>
      <c r="I229" t="s">
        <v>54</v>
      </c>
      <c r="J229" t="s">
        <v>64</v>
      </c>
      <c r="K229" t="s">
        <v>30</v>
      </c>
      <c r="L229" s="27" t="s">
        <v>45</v>
      </c>
      <c r="M229" t="s">
        <v>46</v>
      </c>
      <c r="N229" t="s">
        <v>125</v>
      </c>
      <c r="O229" t="s">
        <v>71</v>
      </c>
      <c r="P229" t="s">
        <v>125</v>
      </c>
      <c r="Q229" t="s">
        <v>418</v>
      </c>
      <c r="R229">
        <v>5</v>
      </c>
      <c r="S229" s="1">
        <v>250000</v>
      </c>
      <c r="T229" s="1">
        <f ca="1">ROUND(T_EMPLOYEES[[#This Row],[EMP_CTC1]]/12, 0)</f>
        <v>20833</v>
      </c>
      <c r="U229" s="1">
        <v>150000</v>
      </c>
      <c r="V229" s="1" t="s">
        <v>207</v>
      </c>
      <c r="W229" s="1" t="s">
        <v>207</v>
      </c>
      <c r="X22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Banuka  Hari Prasad (1026788)</v>
      </c>
      <c r="Y229">
        <v>100000</v>
      </c>
      <c r="Z229" s="29">
        <f t="shared" ca="1" si="4"/>
        <v>40</v>
      </c>
      <c r="AA229">
        <f ca="1">IF(T_EMPLOYEES[[#This Row],[EMPLOYEE NUMBER]]="","",ROW(T_EMPLOYEES[[#This Row],[EMPLOYEE LABEL]])-ROW(T_EMPLOYEES[[#Headers],[EMPLOYEE LABEL]]))</f>
        <v>226</v>
      </c>
      <c r="AB229">
        <f ca="1">IF(T_EMPLOYEES[[#This Row],[EMPLOYEE NUMBER]]="","",IF(COUNTIF(T_EMPLOYEES[EMPLOYEE NUMBER],T_EMPLOYEES[[#This Row],[EMPLOYEE NUMBER]])&gt;1,1,0))</f>
        <v>0</v>
      </c>
      <c r="AC229">
        <f ca="1">IF(T_EMPLOYEES[[#This Row],[EMPLOYEE NUMBER]]="","",IF(AND(T_EMPLOYEES[[#This Row],[DATE OF BIRTH]]&gt;0,T_EMPLOYEES[[#This Row],[DATE OF BIRTH]]&lt;TODAY()),0,1))</f>
        <v>0</v>
      </c>
      <c r="AD229">
        <f ca="1">IF(T_EMPLOYEES[[#This Row],[EMPLOYEE NUMBER]]="","",IF(AND(T_EMPLOYEES[[#This Row],[START DATE]]&gt;0,T_EMPLOYEES[[#This Row],[START DATE]]&lt;TODAY()+60),0,1))</f>
        <v>0</v>
      </c>
      <c r="AE229">
        <f ca="1">IF(T_EMPLOYEES[[#This Row],[EMPLOYEE NUMBER]]="","",MATCH(T_EMPLOYEES[[#This Row],[GENDER]],L_GENDER,0))</f>
        <v>1</v>
      </c>
      <c r="AF229">
        <f ca="1">IF(T_EMPLOYEES[[#This Row],[EMPLOYEE NUMBER]]="","",MATCH(T_EMPLOYEES[[#This Row],[HIRE SOURCE]],L_HIRESOURCE,0))</f>
        <v>4</v>
      </c>
      <c r="AG229">
        <f ca="1">IF(T_EMPLOYEES[[#This Row],[EMPLOYEE NUMBER]]="","",MATCH(T_EMPLOYEES[[#This Row],[ETHNICITY]],L_ETHNICITY,0))</f>
        <v>3</v>
      </c>
      <c r="AH229">
        <f ca="1">IF(T_EMPLOYEES[[#This Row],[EMPLOYEE NUMBER]]="","",MATCH(T_EMPLOYEES[[#This Row],[LOCATION]],L_LOCATION,0))</f>
        <v>1</v>
      </c>
      <c r="AI229">
        <f ca="1">IF(T_EMPLOYEES[[#This Row],[EMPLOYEE NUMBER]]="","",MATCH(T_EMPLOYEES[[#This Row],[DEPARTMENT]],L_DEPARTMENT,0))</f>
        <v>2</v>
      </c>
      <c r="AJ229">
        <f ca="1">IF(T_EMPLOYEES[[#This Row],[EMPLOYEE NUMBER]]="","",MATCH(T_EMPLOYEES[[#This Row],[JOB TYPE]],L_JOBTYPE,0))</f>
        <v>2</v>
      </c>
      <c r="AK229">
        <f ca="1">IF(T_EMPLOYEES[[#This Row],[EMPLOYEE NUMBER]]="","",MATCH(T_EMPLOYEES[[#This Row],[JOB CATEGORY]],L_JOBCATEGORY,0))</f>
        <v>14</v>
      </c>
      <c r="AL229">
        <f ca="1">IF(T_EMPLOYEES[[#This Row],[EMPLOYEE NUMBER]]="","",MATCH(T_EMPLOYEES[[#This Row],[JOB LEVEL]],L_JOBLEVEL,0))</f>
        <v>4</v>
      </c>
      <c r="AM229">
        <f ca="1">IF(T_EMPLOYEES[[#This Row],[EMPLOYEE NUMBER]]="","",MATCH(T_EMPLOYEES[[#This Row],[JOB TITLE]],L_JOBTITLE,0))</f>
        <v>14</v>
      </c>
      <c r="AN229">
        <f ca="1">IF(T_EMPLOYEES[[#This Row],[EMPLOYEE NUMBER]]="","",MATCH(T_EMPLOYEES[[#This Row],[MANAGER]],L_EMPLABELS,0))</f>
        <v>120</v>
      </c>
      <c r="AO229">
        <f ca="1">IF(T_EMPLOYEES[[#This Row],[EMPLOYEE NUMBER]]="","",IF(T_EMPLOYEES[[#This Row],[ERROR]]="",0,1))</f>
        <v>0</v>
      </c>
      <c r="AP22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0" spans="1:42">
      <c r="A230" t="s">
        <v>867</v>
      </c>
      <c r="B230" t="s">
        <v>868</v>
      </c>
      <c r="C230">
        <v>1028014</v>
      </c>
      <c r="D230" t="s">
        <v>869</v>
      </c>
      <c r="E230" s="26">
        <v>33826</v>
      </c>
      <c r="F230" s="26">
        <v>44573</v>
      </c>
      <c r="H230" t="s">
        <v>27</v>
      </c>
      <c r="I230" t="s">
        <v>54</v>
      </c>
      <c r="J230" t="s">
        <v>64</v>
      </c>
      <c r="K230" t="s">
        <v>30</v>
      </c>
      <c r="L230" s="27" t="s">
        <v>45</v>
      </c>
      <c r="M230" t="s">
        <v>46</v>
      </c>
      <c r="N230" t="s">
        <v>89</v>
      </c>
      <c r="O230" t="s">
        <v>60</v>
      </c>
      <c r="P230" t="s">
        <v>89</v>
      </c>
      <c r="Q230" t="s">
        <v>769</v>
      </c>
      <c r="R230" s="27">
        <v>4</v>
      </c>
      <c r="S230" s="1">
        <v>250000</v>
      </c>
      <c r="T230" s="1">
        <f ca="1">ROUND(T_EMPLOYEES[[#This Row],[EMP_CTC1]]/12, 0)</f>
        <v>20833</v>
      </c>
      <c r="U230" s="1">
        <v>150000</v>
      </c>
      <c r="V230" s="1" t="s">
        <v>207</v>
      </c>
      <c r="W230" s="1" t="s">
        <v>207</v>
      </c>
      <c r="X23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Pinnenty Shyamsundar (1028014)</v>
      </c>
      <c r="Y230">
        <v>100000</v>
      </c>
      <c r="Z230" s="29">
        <f t="shared" ca="1" si="4"/>
        <v>40</v>
      </c>
      <c r="AA230">
        <f ca="1">IF(T_EMPLOYEES[[#This Row],[EMPLOYEE NUMBER]]="","",ROW(T_EMPLOYEES[[#This Row],[EMPLOYEE LABEL]])-ROW(T_EMPLOYEES[[#Headers],[EMPLOYEE LABEL]]))</f>
        <v>227</v>
      </c>
      <c r="AB230">
        <f ca="1">IF(T_EMPLOYEES[[#This Row],[EMPLOYEE NUMBER]]="","",IF(COUNTIF(T_EMPLOYEES[EMPLOYEE NUMBER],T_EMPLOYEES[[#This Row],[EMPLOYEE NUMBER]])&gt;1,1,0))</f>
        <v>0</v>
      </c>
      <c r="AC230">
        <f ca="1">IF(T_EMPLOYEES[[#This Row],[EMPLOYEE NUMBER]]="","",IF(AND(T_EMPLOYEES[[#This Row],[DATE OF BIRTH]]&gt;0,T_EMPLOYEES[[#This Row],[DATE OF BIRTH]]&lt;TODAY()),0,1))</f>
        <v>0</v>
      </c>
      <c r="AD230">
        <f ca="1">IF(T_EMPLOYEES[[#This Row],[EMPLOYEE NUMBER]]="","",IF(AND(T_EMPLOYEES[[#This Row],[START DATE]]&gt;0,T_EMPLOYEES[[#This Row],[START DATE]]&lt;TODAY()+60),0,1))</f>
        <v>0</v>
      </c>
      <c r="AE230">
        <f ca="1">IF(T_EMPLOYEES[[#This Row],[EMPLOYEE NUMBER]]="","",MATCH(T_EMPLOYEES[[#This Row],[GENDER]],L_GENDER,0))</f>
        <v>1</v>
      </c>
      <c r="AF230">
        <f ca="1">IF(T_EMPLOYEES[[#This Row],[EMPLOYEE NUMBER]]="","",MATCH(T_EMPLOYEES[[#This Row],[HIRE SOURCE]],L_HIRESOURCE,0))</f>
        <v>4</v>
      </c>
      <c r="AG230">
        <f ca="1">IF(T_EMPLOYEES[[#This Row],[EMPLOYEE NUMBER]]="","",MATCH(T_EMPLOYEES[[#This Row],[ETHNICITY]],L_ETHNICITY,0))</f>
        <v>3</v>
      </c>
      <c r="AH230">
        <f ca="1">IF(T_EMPLOYEES[[#This Row],[EMPLOYEE NUMBER]]="","",MATCH(T_EMPLOYEES[[#This Row],[LOCATION]],L_LOCATION,0))</f>
        <v>1</v>
      </c>
      <c r="AI230">
        <f ca="1">IF(T_EMPLOYEES[[#This Row],[EMPLOYEE NUMBER]]="","",MATCH(T_EMPLOYEES[[#This Row],[DEPARTMENT]],L_DEPARTMENT,0))</f>
        <v>2</v>
      </c>
      <c r="AJ230">
        <f ca="1">IF(T_EMPLOYEES[[#This Row],[EMPLOYEE NUMBER]]="","",MATCH(T_EMPLOYEES[[#This Row],[JOB TYPE]],L_JOBTYPE,0))</f>
        <v>2</v>
      </c>
      <c r="AK230">
        <f ca="1">IF(T_EMPLOYEES[[#This Row],[EMPLOYEE NUMBER]]="","",MATCH(T_EMPLOYEES[[#This Row],[JOB CATEGORY]],L_JOBCATEGORY,0))</f>
        <v>6</v>
      </c>
      <c r="AL230">
        <f ca="1">IF(T_EMPLOYEES[[#This Row],[EMPLOYEE NUMBER]]="","",MATCH(T_EMPLOYEES[[#This Row],[JOB LEVEL]],L_JOBLEVEL,0))</f>
        <v>3</v>
      </c>
      <c r="AM230">
        <f ca="1">IF(T_EMPLOYEES[[#This Row],[EMPLOYEE NUMBER]]="","",MATCH(T_EMPLOYEES[[#This Row],[JOB TITLE]],L_JOBTITLE,0))</f>
        <v>6</v>
      </c>
      <c r="AN230">
        <f ca="1">IF(T_EMPLOYEES[[#This Row],[EMPLOYEE NUMBER]]="","",MATCH(T_EMPLOYEES[[#This Row],[MANAGER]],L_EMPLABELS,0))</f>
        <v>226</v>
      </c>
      <c r="AO230">
        <f ca="1">IF(T_EMPLOYEES[[#This Row],[EMPLOYEE NUMBER]]="","",IF(T_EMPLOYEES[[#This Row],[ERROR]]="",0,1))</f>
        <v>0</v>
      </c>
      <c r="AP23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1" spans="1:42">
      <c r="A231" t="s">
        <v>870</v>
      </c>
      <c r="B231" t="s">
        <v>871</v>
      </c>
      <c r="C231">
        <v>1028685</v>
      </c>
      <c r="D231" t="s">
        <v>872</v>
      </c>
      <c r="E231" s="26">
        <v>33828</v>
      </c>
      <c r="F231" s="26">
        <v>44648</v>
      </c>
      <c r="H231" t="s">
        <v>27</v>
      </c>
      <c r="I231" t="s">
        <v>54</v>
      </c>
      <c r="J231" t="s">
        <v>64</v>
      </c>
      <c r="K231" t="s">
        <v>30</v>
      </c>
      <c r="L231" s="27" t="s">
        <v>45</v>
      </c>
      <c r="M231" t="s">
        <v>46</v>
      </c>
      <c r="N231" t="s">
        <v>154</v>
      </c>
      <c r="O231" t="s">
        <v>71</v>
      </c>
      <c r="P231" t="s">
        <v>154</v>
      </c>
      <c r="Q231" t="s">
        <v>218</v>
      </c>
      <c r="R231">
        <v>5</v>
      </c>
      <c r="S231" s="1">
        <v>250000</v>
      </c>
      <c r="T231" s="1">
        <f ca="1">ROUND(T_EMPLOYEES[[#This Row],[EMP_CTC1]]/12, 0)</f>
        <v>20833</v>
      </c>
      <c r="U231" s="1">
        <v>150000</v>
      </c>
      <c r="V231" s="1" t="s">
        <v>207</v>
      </c>
      <c r="W231" s="1" t="s">
        <v>207</v>
      </c>
      <c r="X23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Arpit Mathur (1028685)</v>
      </c>
      <c r="Y231">
        <v>100000</v>
      </c>
      <c r="Z231" s="29">
        <f t="shared" ca="1" si="4"/>
        <v>40</v>
      </c>
      <c r="AA231">
        <f ca="1">IF(T_EMPLOYEES[[#This Row],[EMPLOYEE NUMBER]]="","",ROW(T_EMPLOYEES[[#This Row],[EMPLOYEE LABEL]])-ROW(T_EMPLOYEES[[#Headers],[EMPLOYEE LABEL]]))</f>
        <v>228</v>
      </c>
      <c r="AB231">
        <f ca="1">IF(T_EMPLOYEES[[#This Row],[EMPLOYEE NUMBER]]="","",IF(COUNTIF(T_EMPLOYEES[EMPLOYEE NUMBER],T_EMPLOYEES[[#This Row],[EMPLOYEE NUMBER]])&gt;1,1,0))</f>
        <v>0</v>
      </c>
      <c r="AC231">
        <f ca="1">IF(T_EMPLOYEES[[#This Row],[EMPLOYEE NUMBER]]="","",IF(AND(T_EMPLOYEES[[#This Row],[DATE OF BIRTH]]&gt;0,T_EMPLOYEES[[#This Row],[DATE OF BIRTH]]&lt;TODAY()),0,1))</f>
        <v>0</v>
      </c>
      <c r="AD231">
        <f ca="1">IF(T_EMPLOYEES[[#This Row],[EMPLOYEE NUMBER]]="","",IF(AND(T_EMPLOYEES[[#This Row],[START DATE]]&gt;0,T_EMPLOYEES[[#This Row],[START DATE]]&lt;TODAY()+60),0,1))</f>
        <v>0</v>
      </c>
      <c r="AE231">
        <f ca="1">IF(T_EMPLOYEES[[#This Row],[EMPLOYEE NUMBER]]="","",MATCH(T_EMPLOYEES[[#This Row],[GENDER]],L_GENDER,0))</f>
        <v>1</v>
      </c>
      <c r="AF231">
        <f ca="1">IF(T_EMPLOYEES[[#This Row],[EMPLOYEE NUMBER]]="","",MATCH(T_EMPLOYEES[[#This Row],[HIRE SOURCE]],L_HIRESOURCE,0))</f>
        <v>4</v>
      </c>
      <c r="AG231">
        <f ca="1">IF(T_EMPLOYEES[[#This Row],[EMPLOYEE NUMBER]]="","",MATCH(T_EMPLOYEES[[#This Row],[ETHNICITY]],L_ETHNICITY,0))</f>
        <v>3</v>
      </c>
      <c r="AH231">
        <f ca="1">IF(T_EMPLOYEES[[#This Row],[EMPLOYEE NUMBER]]="","",MATCH(T_EMPLOYEES[[#This Row],[LOCATION]],L_LOCATION,0))</f>
        <v>1</v>
      </c>
      <c r="AI231">
        <f ca="1">IF(T_EMPLOYEES[[#This Row],[EMPLOYEE NUMBER]]="","",MATCH(T_EMPLOYEES[[#This Row],[DEPARTMENT]],L_DEPARTMENT,0))</f>
        <v>2</v>
      </c>
      <c r="AJ231">
        <f ca="1">IF(T_EMPLOYEES[[#This Row],[EMPLOYEE NUMBER]]="","",MATCH(T_EMPLOYEES[[#This Row],[JOB TYPE]],L_JOBTYPE,0))</f>
        <v>2</v>
      </c>
      <c r="AK231">
        <f ca="1">IF(T_EMPLOYEES[[#This Row],[EMPLOYEE NUMBER]]="","",MATCH(T_EMPLOYEES[[#This Row],[JOB CATEGORY]],L_JOBCATEGORY,0))</f>
        <v>33</v>
      </c>
      <c r="AL231">
        <f ca="1">IF(T_EMPLOYEES[[#This Row],[EMPLOYEE NUMBER]]="","",MATCH(T_EMPLOYEES[[#This Row],[JOB LEVEL]],L_JOBLEVEL,0))</f>
        <v>4</v>
      </c>
      <c r="AM231">
        <f ca="1">IF(T_EMPLOYEES[[#This Row],[EMPLOYEE NUMBER]]="","",MATCH(T_EMPLOYEES[[#This Row],[JOB TITLE]],L_JOBTITLE,0))</f>
        <v>33</v>
      </c>
      <c r="AN231">
        <f ca="1">IF(T_EMPLOYEES[[#This Row],[EMPLOYEE NUMBER]]="","",MATCH(T_EMPLOYEES[[#This Row],[MANAGER]],L_EMPLABELS,0))</f>
        <v>43</v>
      </c>
      <c r="AO231">
        <f ca="1">IF(T_EMPLOYEES[[#This Row],[EMPLOYEE NUMBER]]="","",IF(T_EMPLOYEES[[#This Row],[ERROR]]="",0,1))</f>
        <v>0</v>
      </c>
      <c r="AP23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2" spans="1:42">
      <c r="A232" t="s">
        <v>873</v>
      </c>
      <c r="B232" t="s">
        <v>874</v>
      </c>
      <c r="C232">
        <v>1026535</v>
      </c>
      <c r="D232" t="s">
        <v>875</v>
      </c>
      <c r="E232" s="26">
        <v>33889</v>
      </c>
      <c r="F232" s="26">
        <v>44463</v>
      </c>
      <c r="H232" t="s">
        <v>27</v>
      </c>
      <c r="I232" t="s">
        <v>54</v>
      </c>
      <c r="J232" t="s">
        <v>64</v>
      </c>
      <c r="K232" t="s">
        <v>43</v>
      </c>
      <c r="L232" s="27" t="s">
        <v>45</v>
      </c>
      <c r="M232" t="s">
        <v>46</v>
      </c>
      <c r="N232" t="s">
        <v>89</v>
      </c>
      <c r="O232" t="s">
        <v>60</v>
      </c>
      <c r="P232" t="s">
        <v>89</v>
      </c>
      <c r="Q232" t="s">
        <v>418</v>
      </c>
      <c r="R232" s="27">
        <v>4</v>
      </c>
      <c r="S232" s="1">
        <v>250000</v>
      </c>
      <c r="T232" s="1">
        <f ca="1">ROUND(T_EMPLOYEES[[#This Row],[EMP_CTC1]]/12, 0)</f>
        <v>20833</v>
      </c>
      <c r="U232" s="1">
        <v>150000</v>
      </c>
      <c r="V232" s="1" t="s">
        <v>207</v>
      </c>
      <c r="W232" s="1" t="s">
        <v>207</v>
      </c>
      <c r="X23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Sarikonda Chandra Sekhar Raju (1026535)</v>
      </c>
      <c r="Y232">
        <v>100000</v>
      </c>
      <c r="Z232" s="29">
        <f t="shared" ca="1" si="4"/>
        <v>40</v>
      </c>
      <c r="AA232">
        <f ca="1">IF(T_EMPLOYEES[[#This Row],[EMPLOYEE NUMBER]]="","",ROW(T_EMPLOYEES[[#This Row],[EMPLOYEE LABEL]])-ROW(T_EMPLOYEES[[#Headers],[EMPLOYEE LABEL]]))</f>
        <v>229</v>
      </c>
      <c r="AB232">
        <f ca="1">IF(T_EMPLOYEES[[#This Row],[EMPLOYEE NUMBER]]="","",IF(COUNTIF(T_EMPLOYEES[EMPLOYEE NUMBER],T_EMPLOYEES[[#This Row],[EMPLOYEE NUMBER]])&gt;1,1,0))</f>
        <v>0</v>
      </c>
      <c r="AC232">
        <f ca="1">IF(T_EMPLOYEES[[#This Row],[EMPLOYEE NUMBER]]="","",IF(AND(T_EMPLOYEES[[#This Row],[DATE OF BIRTH]]&gt;0,T_EMPLOYEES[[#This Row],[DATE OF BIRTH]]&lt;TODAY()),0,1))</f>
        <v>0</v>
      </c>
      <c r="AD232">
        <f ca="1">IF(T_EMPLOYEES[[#This Row],[EMPLOYEE NUMBER]]="","",IF(AND(T_EMPLOYEES[[#This Row],[START DATE]]&gt;0,T_EMPLOYEES[[#This Row],[START DATE]]&lt;TODAY()+60),0,1))</f>
        <v>0</v>
      </c>
      <c r="AE232">
        <f ca="1">IF(T_EMPLOYEES[[#This Row],[EMPLOYEE NUMBER]]="","",MATCH(T_EMPLOYEES[[#This Row],[GENDER]],L_GENDER,0))</f>
        <v>1</v>
      </c>
      <c r="AF232">
        <f ca="1">IF(T_EMPLOYEES[[#This Row],[EMPLOYEE NUMBER]]="","",MATCH(T_EMPLOYEES[[#This Row],[HIRE SOURCE]],L_HIRESOURCE,0))</f>
        <v>4</v>
      </c>
      <c r="AG232">
        <f ca="1">IF(T_EMPLOYEES[[#This Row],[EMPLOYEE NUMBER]]="","",MATCH(T_EMPLOYEES[[#This Row],[ETHNICITY]],L_ETHNICITY,0))</f>
        <v>3</v>
      </c>
      <c r="AH232">
        <f ca="1">IF(T_EMPLOYEES[[#This Row],[EMPLOYEE NUMBER]]="","",MATCH(T_EMPLOYEES[[#This Row],[LOCATION]],L_LOCATION,0))</f>
        <v>2</v>
      </c>
      <c r="AI232">
        <f ca="1">IF(T_EMPLOYEES[[#This Row],[EMPLOYEE NUMBER]]="","",MATCH(T_EMPLOYEES[[#This Row],[DEPARTMENT]],L_DEPARTMENT,0))</f>
        <v>2</v>
      </c>
      <c r="AJ232">
        <f ca="1">IF(T_EMPLOYEES[[#This Row],[EMPLOYEE NUMBER]]="","",MATCH(T_EMPLOYEES[[#This Row],[JOB TYPE]],L_JOBTYPE,0))</f>
        <v>2</v>
      </c>
      <c r="AK232">
        <f ca="1">IF(T_EMPLOYEES[[#This Row],[EMPLOYEE NUMBER]]="","",MATCH(T_EMPLOYEES[[#This Row],[JOB CATEGORY]],L_JOBCATEGORY,0))</f>
        <v>6</v>
      </c>
      <c r="AL232">
        <f ca="1">IF(T_EMPLOYEES[[#This Row],[EMPLOYEE NUMBER]]="","",MATCH(T_EMPLOYEES[[#This Row],[JOB LEVEL]],L_JOBLEVEL,0))</f>
        <v>3</v>
      </c>
      <c r="AM232">
        <f ca="1">IF(T_EMPLOYEES[[#This Row],[EMPLOYEE NUMBER]]="","",MATCH(T_EMPLOYEES[[#This Row],[JOB TITLE]],L_JOBTITLE,0))</f>
        <v>6</v>
      </c>
      <c r="AN232">
        <f ca="1">IF(T_EMPLOYEES[[#This Row],[EMPLOYEE NUMBER]]="","",MATCH(T_EMPLOYEES[[#This Row],[MANAGER]],L_EMPLABELS,0))</f>
        <v>120</v>
      </c>
      <c r="AO232">
        <f ca="1">IF(T_EMPLOYEES[[#This Row],[EMPLOYEE NUMBER]]="","",IF(T_EMPLOYEES[[#This Row],[ERROR]]="",0,1))</f>
        <v>0</v>
      </c>
      <c r="AP23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3" spans="1:42">
      <c r="A233" t="s">
        <v>51</v>
      </c>
      <c r="B233" t="s">
        <v>876</v>
      </c>
      <c r="C233">
        <v>1033722</v>
      </c>
      <c r="D233" t="s">
        <v>877</v>
      </c>
      <c r="E233" s="26">
        <v>33928</v>
      </c>
      <c r="F233" s="26">
        <v>45212</v>
      </c>
      <c r="H233" t="s">
        <v>40</v>
      </c>
      <c r="I233" t="s">
        <v>54</v>
      </c>
      <c r="J233" t="s">
        <v>64</v>
      </c>
      <c r="K233" t="s">
        <v>43</v>
      </c>
      <c r="L233" s="27" t="s">
        <v>45</v>
      </c>
      <c r="M233" t="s">
        <v>46</v>
      </c>
      <c r="N233" t="s">
        <v>128</v>
      </c>
      <c r="O233" t="s">
        <v>60</v>
      </c>
      <c r="P233" t="s">
        <v>128</v>
      </c>
      <c r="Q233" t="s">
        <v>804</v>
      </c>
      <c r="R233">
        <v>4</v>
      </c>
      <c r="S233" s="1">
        <v>250000</v>
      </c>
      <c r="T233" s="1">
        <f ca="1">ROUND(T_EMPLOYEES[[#This Row],[EMP_CTC1]]/12, 0)</f>
        <v>20833</v>
      </c>
      <c r="U233" s="1">
        <v>150000</v>
      </c>
      <c r="V233" s="1" t="s">
        <v>207</v>
      </c>
      <c r="W233" s="1" t="s">
        <v>207</v>
      </c>
      <c r="X23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  Santhanapriyalakshmi (1033722)</v>
      </c>
      <c r="Y233">
        <v>100000</v>
      </c>
      <c r="Z233" s="29">
        <f t="shared" ca="1" si="4"/>
        <v>40</v>
      </c>
      <c r="AA233">
        <f ca="1">IF(T_EMPLOYEES[[#This Row],[EMPLOYEE NUMBER]]="","",ROW(T_EMPLOYEES[[#This Row],[EMPLOYEE LABEL]])-ROW(T_EMPLOYEES[[#Headers],[EMPLOYEE LABEL]]))</f>
        <v>230</v>
      </c>
      <c r="AB233">
        <f ca="1">IF(T_EMPLOYEES[[#This Row],[EMPLOYEE NUMBER]]="","",IF(COUNTIF(T_EMPLOYEES[EMPLOYEE NUMBER],T_EMPLOYEES[[#This Row],[EMPLOYEE NUMBER]])&gt;1,1,0))</f>
        <v>0</v>
      </c>
      <c r="AC233">
        <f ca="1">IF(T_EMPLOYEES[[#This Row],[EMPLOYEE NUMBER]]="","",IF(AND(T_EMPLOYEES[[#This Row],[DATE OF BIRTH]]&gt;0,T_EMPLOYEES[[#This Row],[DATE OF BIRTH]]&lt;TODAY()),0,1))</f>
        <v>0</v>
      </c>
      <c r="AD233">
        <f ca="1">IF(T_EMPLOYEES[[#This Row],[EMPLOYEE NUMBER]]="","",IF(AND(T_EMPLOYEES[[#This Row],[START DATE]]&gt;0,T_EMPLOYEES[[#This Row],[START DATE]]&lt;TODAY()+60),0,1))</f>
        <v>0</v>
      </c>
      <c r="AE233">
        <f ca="1">IF(T_EMPLOYEES[[#This Row],[EMPLOYEE NUMBER]]="","",MATCH(T_EMPLOYEES[[#This Row],[GENDER]],L_GENDER,0))</f>
        <v>2</v>
      </c>
      <c r="AF233">
        <f ca="1">IF(T_EMPLOYEES[[#This Row],[EMPLOYEE NUMBER]]="","",MATCH(T_EMPLOYEES[[#This Row],[HIRE SOURCE]],L_HIRESOURCE,0))</f>
        <v>4</v>
      </c>
      <c r="AG233">
        <f ca="1">IF(T_EMPLOYEES[[#This Row],[EMPLOYEE NUMBER]]="","",MATCH(T_EMPLOYEES[[#This Row],[ETHNICITY]],L_ETHNICITY,0))</f>
        <v>3</v>
      </c>
      <c r="AH233">
        <f ca="1">IF(T_EMPLOYEES[[#This Row],[EMPLOYEE NUMBER]]="","",MATCH(T_EMPLOYEES[[#This Row],[LOCATION]],L_LOCATION,0))</f>
        <v>2</v>
      </c>
      <c r="AI233">
        <f ca="1">IF(T_EMPLOYEES[[#This Row],[EMPLOYEE NUMBER]]="","",MATCH(T_EMPLOYEES[[#This Row],[DEPARTMENT]],L_DEPARTMENT,0))</f>
        <v>2</v>
      </c>
      <c r="AJ233">
        <f ca="1">IF(T_EMPLOYEES[[#This Row],[EMPLOYEE NUMBER]]="","",MATCH(T_EMPLOYEES[[#This Row],[JOB TYPE]],L_JOBTYPE,0))</f>
        <v>2</v>
      </c>
      <c r="AK233">
        <f ca="1">IF(T_EMPLOYEES[[#This Row],[EMPLOYEE NUMBER]]="","",MATCH(T_EMPLOYEES[[#This Row],[JOB CATEGORY]],L_JOBCATEGORY,0))</f>
        <v>15</v>
      </c>
      <c r="AL233">
        <f ca="1">IF(T_EMPLOYEES[[#This Row],[EMPLOYEE NUMBER]]="","",MATCH(T_EMPLOYEES[[#This Row],[JOB LEVEL]],L_JOBLEVEL,0))</f>
        <v>3</v>
      </c>
      <c r="AM233">
        <f ca="1">IF(T_EMPLOYEES[[#This Row],[EMPLOYEE NUMBER]]="","",MATCH(T_EMPLOYEES[[#This Row],[JOB TITLE]],L_JOBTITLE,0))</f>
        <v>15</v>
      </c>
      <c r="AN233">
        <f ca="1">IF(T_EMPLOYEES[[#This Row],[EMPLOYEE NUMBER]]="","",MATCH(T_EMPLOYEES[[#This Row],[MANAGER]],L_EMPLABELS,0))</f>
        <v>31</v>
      </c>
      <c r="AO233">
        <f ca="1">IF(T_EMPLOYEES[[#This Row],[EMPLOYEE NUMBER]]="","",IF(T_EMPLOYEES[[#This Row],[ERROR]]="",0,1))</f>
        <v>0</v>
      </c>
      <c r="AP23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4" spans="1:42">
      <c r="A234" t="s">
        <v>878</v>
      </c>
      <c r="B234" t="s">
        <v>879</v>
      </c>
      <c r="C234">
        <v>1029743</v>
      </c>
      <c r="D234" t="s">
        <v>880</v>
      </c>
      <c r="E234" s="26">
        <v>33961</v>
      </c>
      <c r="F234" s="26">
        <v>44777</v>
      </c>
      <c r="H234" t="s">
        <v>27</v>
      </c>
      <c r="I234" t="s">
        <v>54</v>
      </c>
      <c r="J234" t="s">
        <v>64</v>
      </c>
      <c r="K234" t="s">
        <v>30</v>
      </c>
      <c r="L234" s="27" t="s">
        <v>45</v>
      </c>
      <c r="M234" t="s">
        <v>46</v>
      </c>
      <c r="N234" t="s">
        <v>148</v>
      </c>
      <c r="O234" t="s">
        <v>48</v>
      </c>
      <c r="P234" t="s">
        <v>148</v>
      </c>
      <c r="Q234" t="s">
        <v>272</v>
      </c>
      <c r="R234" s="27">
        <v>4</v>
      </c>
      <c r="S234" s="1">
        <v>250000</v>
      </c>
      <c r="T234" s="1">
        <f ca="1">ROUND(T_EMPLOYEES[[#This Row],[EMP_CTC1]]/12, 0)</f>
        <v>20833</v>
      </c>
      <c r="U234" s="1">
        <v>150000</v>
      </c>
      <c r="V234" s="1" t="s">
        <v>207</v>
      </c>
      <c r="W234" s="1" t="s">
        <v>207</v>
      </c>
      <c r="X23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Guduru Suneel Kumar (1029743)</v>
      </c>
      <c r="Y234">
        <v>100000</v>
      </c>
      <c r="Z234" s="29">
        <f t="shared" ca="1" si="4"/>
        <v>40</v>
      </c>
      <c r="AA234">
        <f ca="1">IF(T_EMPLOYEES[[#This Row],[EMPLOYEE NUMBER]]="","",ROW(T_EMPLOYEES[[#This Row],[EMPLOYEE LABEL]])-ROW(T_EMPLOYEES[[#Headers],[EMPLOYEE LABEL]]))</f>
        <v>231</v>
      </c>
      <c r="AB234">
        <f ca="1">IF(T_EMPLOYEES[[#This Row],[EMPLOYEE NUMBER]]="","",IF(COUNTIF(T_EMPLOYEES[EMPLOYEE NUMBER],T_EMPLOYEES[[#This Row],[EMPLOYEE NUMBER]])&gt;1,1,0))</f>
        <v>0</v>
      </c>
      <c r="AC234">
        <f ca="1">IF(T_EMPLOYEES[[#This Row],[EMPLOYEE NUMBER]]="","",IF(AND(T_EMPLOYEES[[#This Row],[DATE OF BIRTH]]&gt;0,T_EMPLOYEES[[#This Row],[DATE OF BIRTH]]&lt;TODAY()),0,1))</f>
        <v>0</v>
      </c>
      <c r="AD234">
        <f ca="1">IF(T_EMPLOYEES[[#This Row],[EMPLOYEE NUMBER]]="","",IF(AND(T_EMPLOYEES[[#This Row],[START DATE]]&gt;0,T_EMPLOYEES[[#This Row],[START DATE]]&lt;TODAY()+60),0,1))</f>
        <v>0</v>
      </c>
      <c r="AE234">
        <f ca="1">IF(T_EMPLOYEES[[#This Row],[EMPLOYEE NUMBER]]="","",MATCH(T_EMPLOYEES[[#This Row],[GENDER]],L_GENDER,0))</f>
        <v>1</v>
      </c>
      <c r="AF234">
        <f ca="1">IF(T_EMPLOYEES[[#This Row],[EMPLOYEE NUMBER]]="","",MATCH(T_EMPLOYEES[[#This Row],[HIRE SOURCE]],L_HIRESOURCE,0))</f>
        <v>4</v>
      </c>
      <c r="AG234">
        <f ca="1">IF(T_EMPLOYEES[[#This Row],[EMPLOYEE NUMBER]]="","",MATCH(T_EMPLOYEES[[#This Row],[ETHNICITY]],L_ETHNICITY,0))</f>
        <v>3</v>
      </c>
      <c r="AH234">
        <f ca="1">IF(T_EMPLOYEES[[#This Row],[EMPLOYEE NUMBER]]="","",MATCH(T_EMPLOYEES[[#This Row],[LOCATION]],L_LOCATION,0))</f>
        <v>1</v>
      </c>
      <c r="AI234">
        <f ca="1">IF(T_EMPLOYEES[[#This Row],[EMPLOYEE NUMBER]]="","",MATCH(T_EMPLOYEES[[#This Row],[DEPARTMENT]],L_DEPARTMENT,0))</f>
        <v>2</v>
      </c>
      <c r="AJ234">
        <f ca="1">IF(T_EMPLOYEES[[#This Row],[EMPLOYEE NUMBER]]="","",MATCH(T_EMPLOYEES[[#This Row],[JOB TYPE]],L_JOBTYPE,0))</f>
        <v>2</v>
      </c>
      <c r="AK234">
        <f ca="1">IF(T_EMPLOYEES[[#This Row],[EMPLOYEE NUMBER]]="","",MATCH(T_EMPLOYEES[[#This Row],[JOB CATEGORY]],L_JOBCATEGORY,0))</f>
        <v>27</v>
      </c>
      <c r="AL234">
        <f ca="1">IF(T_EMPLOYEES[[#This Row],[EMPLOYEE NUMBER]]="","",MATCH(T_EMPLOYEES[[#This Row],[JOB LEVEL]],L_JOBLEVEL,0))</f>
        <v>2</v>
      </c>
      <c r="AM234">
        <f ca="1">IF(T_EMPLOYEES[[#This Row],[EMPLOYEE NUMBER]]="","",MATCH(T_EMPLOYEES[[#This Row],[JOB TITLE]],L_JOBTITLE,0))</f>
        <v>27</v>
      </c>
      <c r="AN234">
        <f ca="1">IF(T_EMPLOYEES[[#This Row],[EMPLOYEE NUMBER]]="","",MATCH(T_EMPLOYEES[[#This Row],[MANAGER]],L_EMPLABELS,0))</f>
        <v>62</v>
      </c>
      <c r="AO234">
        <f ca="1">IF(T_EMPLOYEES[[#This Row],[EMPLOYEE NUMBER]]="","",IF(T_EMPLOYEES[[#This Row],[ERROR]]="",0,1))</f>
        <v>0</v>
      </c>
      <c r="AP23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5" spans="1:42">
      <c r="A235" t="s">
        <v>500</v>
      </c>
      <c r="B235" t="s">
        <v>881</v>
      </c>
      <c r="C235">
        <v>1020112</v>
      </c>
      <c r="D235" t="s">
        <v>882</v>
      </c>
      <c r="E235" s="26">
        <v>33989</v>
      </c>
      <c r="F235" s="26">
        <v>43102</v>
      </c>
      <c r="H235" t="s">
        <v>40</v>
      </c>
      <c r="I235" t="s">
        <v>54</v>
      </c>
      <c r="J235" t="s">
        <v>64</v>
      </c>
      <c r="K235" t="s">
        <v>30</v>
      </c>
      <c r="L235" s="27" t="s">
        <v>45</v>
      </c>
      <c r="M235" t="s">
        <v>46</v>
      </c>
      <c r="N235" t="s">
        <v>145</v>
      </c>
      <c r="O235" t="s">
        <v>71</v>
      </c>
      <c r="P235" t="s">
        <v>145</v>
      </c>
      <c r="Q235" t="s">
        <v>211</v>
      </c>
      <c r="R235">
        <v>5</v>
      </c>
      <c r="S235" s="1">
        <v>250000</v>
      </c>
      <c r="T235" s="1">
        <f ca="1">ROUND(T_EMPLOYEES[[#This Row],[EMP_CTC1]]/12, 0)</f>
        <v>20833</v>
      </c>
      <c r="U235" s="1">
        <v>150000</v>
      </c>
      <c r="V235" s="1" t="s">
        <v>207</v>
      </c>
      <c r="W235" s="1" t="s">
        <v>207</v>
      </c>
      <c r="X23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Neha  Rajput (1020112)</v>
      </c>
      <c r="Y235">
        <v>100000</v>
      </c>
      <c r="Z235" s="29">
        <f t="shared" ca="1" si="4"/>
        <v>40</v>
      </c>
      <c r="AA235">
        <f ca="1">IF(T_EMPLOYEES[[#This Row],[EMPLOYEE NUMBER]]="","",ROW(T_EMPLOYEES[[#This Row],[EMPLOYEE LABEL]])-ROW(T_EMPLOYEES[[#Headers],[EMPLOYEE LABEL]]))</f>
        <v>232</v>
      </c>
      <c r="AB235">
        <f ca="1">IF(T_EMPLOYEES[[#This Row],[EMPLOYEE NUMBER]]="","",IF(COUNTIF(T_EMPLOYEES[EMPLOYEE NUMBER],T_EMPLOYEES[[#This Row],[EMPLOYEE NUMBER]])&gt;1,1,0))</f>
        <v>0</v>
      </c>
      <c r="AC235">
        <f ca="1">IF(T_EMPLOYEES[[#This Row],[EMPLOYEE NUMBER]]="","",IF(AND(T_EMPLOYEES[[#This Row],[DATE OF BIRTH]]&gt;0,T_EMPLOYEES[[#This Row],[DATE OF BIRTH]]&lt;TODAY()),0,1))</f>
        <v>0</v>
      </c>
      <c r="AD235">
        <f ca="1">IF(T_EMPLOYEES[[#This Row],[EMPLOYEE NUMBER]]="","",IF(AND(T_EMPLOYEES[[#This Row],[START DATE]]&gt;0,T_EMPLOYEES[[#This Row],[START DATE]]&lt;TODAY()+60),0,1))</f>
        <v>0</v>
      </c>
      <c r="AE235">
        <f ca="1">IF(T_EMPLOYEES[[#This Row],[EMPLOYEE NUMBER]]="","",MATCH(T_EMPLOYEES[[#This Row],[GENDER]],L_GENDER,0))</f>
        <v>2</v>
      </c>
      <c r="AF235">
        <f ca="1">IF(T_EMPLOYEES[[#This Row],[EMPLOYEE NUMBER]]="","",MATCH(T_EMPLOYEES[[#This Row],[HIRE SOURCE]],L_HIRESOURCE,0))</f>
        <v>4</v>
      </c>
      <c r="AG235">
        <f ca="1">IF(T_EMPLOYEES[[#This Row],[EMPLOYEE NUMBER]]="","",MATCH(T_EMPLOYEES[[#This Row],[ETHNICITY]],L_ETHNICITY,0))</f>
        <v>3</v>
      </c>
      <c r="AH235">
        <f ca="1">IF(T_EMPLOYEES[[#This Row],[EMPLOYEE NUMBER]]="","",MATCH(T_EMPLOYEES[[#This Row],[LOCATION]],L_LOCATION,0))</f>
        <v>1</v>
      </c>
      <c r="AI235">
        <f ca="1">IF(T_EMPLOYEES[[#This Row],[EMPLOYEE NUMBER]]="","",MATCH(T_EMPLOYEES[[#This Row],[DEPARTMENT]],L_DEPARTMENT,0))</f>
        <v>2</v>
      </c>
      <c r="AJ235">
        <f ca="1">IF(T_EMPLOYEES[[#This Row],[EMPLOYEE NUMBER]]="","",MATCH(T_EMPLOYEES[[#This Row],[JOB TYPE]],L_JOBTYPE,0))</f>
        <v>2</v>
      </c>
      <c r="AK235">
        <f ca="1">IF(T_EMPLOYEES[[#This Row],[EMPLOYEE NUMBER]]="","",MATCH(T_EMPLOYEES[[#This Row],[JOB CATEGORY]],L_JOBCATEGORY,0))</f>
        <v>24</v>
      </c>
      <c r="AL235">
        <f ca="1">IF(T_EMPLOYEES[[#This Row],[EMPLOYEE NUMBER]]="","",MATCH(T_EMPLOYEES[[#This Row],[JOB LEVEL]],L_JOBLEVEL,0))</f>
        <v>4</v>
      </c>
      <c r="AM235">
        <f ca="1">IF(T_EMPLOYEES[[#This Row],[EMPLOYEE NUMBER]]="","",MATCH(T_EMPLOYEES[[#This Row],[JOB TITLE]],L_JOBTITLE,0))</f>
        <v>24</v>
      </c>
      <c r="AN235">
        <f ca="1">IF(T_EMPLOYEES[[#This Row],[EMPLOYEE NUMBER]]="","",MATCH(T_EMPLOYEES[[#This Row],[MANAGER]],L_EMPLABELS,0))</f>
        <v>49</v>
      </c>
      <c r="AO235">
        <f ca="1">IF(T_EMPLOYEES[[#This Row],[EMPLOYEE NUMBER]]="","",IF(T_EMPLOYEES[[#This Row],[ERROR]]="",0,1))</f>
        <v>0</v>
      </c>
      <c r="AP23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6" spans="1:42">
      <c r="A236" t="s">
        <v>883</v>
      </c>
      <c r="B236" t="s">
        <v>884</v>
      </c>
      <c r="C236">
        <v>1022328</v>
      </c>
      <c r="D236" t="s">
        <v>885</v>
      </c>
      <c r="E236" s="26">
        <v>33989</v>
      </c>
      <c r="F236" s="26">
        <v>43649</v>
      </c>
      <c r="H236" t="s">
        <v>40</v>
      </c>
      <c r="I236" t="s">
        <v>54</v>
      </c>
      <c r="J236" t="s">
        <v>64</v>
      </c>
      <c r="K236" t="s">
        <v>43</v>
      </c>
      <c r="L236" s="27" t="s">
        <v>45</v>
      </c>
      <c r="M236" t="s">
        <v>46</v>
      </c>
      <c r="N236" t="s">
        <v>125</v>
      </c>
      <c r="O236" t="s">
        <v>71</v>
      </c>
      <c r="P236" t="s">
        <v>125</v>
      </c>
      <c r="Q236" t="s">
        <v>549</v>
      </c>
      <c r="R236" s="27">
        <v>5</v>
      </c>
      <c r="S236" s="1">
        <v>250000</v>
      </c>
      <c r="T236" s="1">
        <f ca="1">ROUND(T_EMPLOYEES[[#This Row],[EMP_CTC1]]/12, 0)</f>
        <v>20833</v>
      </c>
      <c r="U236" s="1">
        <v>150000</v>
      </c>
      <c r="V236" s="1" t="s">
        <v>207</v>
      </c>
      <c r="W236" s="1" t="s">
        <v>207</v>
      </c>
      <c r="X23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Dasika Tejaswi (1022328)</v>
      </c>
      <c r="Y236">
        <v>100000</v>
      </c>
      <c r="Z236" s="29">
        <f t="shared" ca="1" si="4"/>
        <v>40</v>
      </c>
      <c r="AA236">
        <f ca="1">IF(T_EMPLOYEES[[#This Row],[EMPLOYEE NUMBER]]="","",ROW(T_EMPLOYEES[[#This Row],[EMPLOYEE LABEL]])-ROW(T_EMPLOYEES[[#Headers],[EMPLOYEE LABEL]]))</f>
        <v>233</v>
      </c>
      <c r="AB236">
        <f ca="1">IF(T_EMPLOYEES[[#This Row],[EMPLOYEE NUMBER]]="","",IF(COUNTIF(T_EMPLOYEES[EMPLOYEE NUMBER],T_EMPLOYEES[[#This Row],[EMPLOYEE NUMBER]])&gt;1,1,0))</f>
        <v>0</v>
      </c>
      <c r="AC236">
        <f ca="1">IF(T_EMPLOYEES[[#This Row],[EMPLOYEE NUMBER]]="","",IF(AND(T_EMPLOYEES[[#This Row],[DATE OF BIRTH]]&gt;0,T_EMPLOYEES[[#This Row],[DATE OF BIRTH]]&lt;TODAY()),0,1))</f>
        <v>0</v>
      </c>
      <c r="AD236">
        <f ca="1">IF(T_EMPLOYEES[[#This Row],[EMPLOYEE NUMBER]]="","",IF(AND(T_EMPLOYEES[[#This Row],[START DATE]]&gt;0,T_EMPLOYEES[[#This Row],[START DATE]]&lt;TODAY()+60),0,1))</f>
        <v>0</v>
      </c>
      <c r="AE236">
        <f ca="1">IF(T_EMPLOYEES[[#This Row],[EMPLOYEE NUMBER]]="","",MATCH(T_EMPLOYEES[[#This Row],[GENDER]],L_GENDER,0))</f>
        <v>2</v>
      </c>
      <c r="AF236">
        <f ca="1">IF(T_EMPLOYEES[[#This Row],[EMPLOYEE NUMBER]]="","",MATCH(T_EMPLOYEES[[#This Row],[HIRE SOURCE]],L_HIRESOURCE,0))</f>
        <v>4</v>
      </c>
      <c r="AG236">
        <f ca="1">IF(T_EMPLOYEES[[#This Row],[EMPLOYEE NUMBER]]="","",MATCH(T_EMPLOYEES[[#This Row],[ETHNICITY]],L_ETHNICITY,0))</f>
        <v>3</v>
      </c>
      <c r="AH236">
        <f ca="1">IF(T_EMPLOYEES[[#This Row],[EMPLOYEE NUMBER]]="","",MATCH(T_EMPLOYEES[[#This Row],[LOCATION]],L_LOCATION,0))</f>
        <v>2</v>
      </c>
      <c r="AI236">
        <f ca="1">IF(T_EMPLOYEES[[#This Row],[EMPLOYEE NUMBER]]="","",MATCH(T_EMPLOYEES[[#This Row],[DEPARTMENT]],L_DEPARTMENT,0))</f>
        <v>2</v>
      </c>
      <c r="AJ236">
        <f ca="1">IF(T_EMPLOYEES[[#This Row],[EMPLOYEE NUMBER]]="","",MATCH(T_EMPLOYEES[[#This Row],[JOB TYPE]],L_JOBTYPE,0))</f>
        <v>2</v>
      </c>
      <c r="AK236">
        <f ca="1">IF(T_EMPLOYEES[[#This Row],[EMPLOYEE NUMBER]]="","",MATCH(T_EMPLOYEES[[#This Row],[JOB CATEGORY]],L_JOBCATEGORY,0))</f>
        <v>14</v>
      </c>
      <c r="AL236">
        <f ca="1">IF(T_EMPLOYEES[[#This Row],[EMPLOYEE NUMBER]]="","",MATCH(T_EMPLOYEES[[#This Row],[JOB LEVEL]],L_JOBLEVEL,0))</f>
        <v>4</v>
      </c>
      <c r="AM236">
        <f ca="1">IF(T_EMPLOYEES[[#This Row],[EMPLOYEE NUMBER]]="","",MATCH(T_EMPLOYEES[[#This Row],[JOB TITLE]],L_JOBTITLE,0))</f>
        <v>14</v>
      </c>
      <c r="AN236">
        <f ca="1">IF(T_EMPLOYEES[[#This Row],[EMPLOYEE NUMBER]]="","",MATCH(T_EMPLOYEES[[#This Row],[MANAGER]],L_EMPLABELS,0))</f>
        <v>50</v>
      </c>
      <c r="AO236">
        <f ca="1">IF(T_EMPLOYEES[[#This Row],[EMPLOYEE NUMBER]]="","",IF(T_EMPLOYEES[[#This Row],[ERROR]]="",0,1))</f>
        <v>0</v>
      </c>
      <c r="AP23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7" spans="1:42">
      <c r="A237" t="s">
        <v>886</v>
      </c>
      <c r="B237" t="s">
        <v>887</v>
      </c>
      <c r="C237">
        <v>1031858</v>
      </c>
      <c r="D237" t="s">
        <v>888</v>
      </c>
      <c r="E237" s="26">
        <v>33999</v>
      </c>
      <c r="F237" s="26">
        <v>44914</v>
      </c>
      <c r="H237" t="s">
        <v>27</v>
      </c>
      <c r="I237" t="s">
        <v>54</v>
      </c>
      <c r="J237" t="s">
        <v>64</v>
      </c>
      <c r="K237" t="s">
        <v>43</v>
      </c>
      <c r="L237" s="27" t="s">
        <v>45</v>
      </c>
      <c r="M237" t="s">
        <v>46</v>
      </c>
      <c r="N237" t="s">
        <v>128</v>
      </c>
      <c r="O237" t="s">
        <v>60</v>
      </c>
      <c r="P237" t="s">
        <v>128</v>
      </c>
      <c r="Q237" t="s">
        <v>377</v>
      </c>
      <c r="R237">
        <v>4</v>
      </c>
      <c r="S237" s="1">
        <v>250000</v>
      </c>
      <c r="T237" s="1">
        <f ca="1">ROUND(T_EMPLOYEES[[#This Row],[EMP_CTC1]]/12, 0)</f>
        <v>20833</v>
      </c>
      <c r="U237" s="1">
        <v>150000</v>
      </c>
      <c r="V237" s="1" t="s">
        <v>207</v>
      </c>
      <c r="W237" s="1" t="s">
        <v>207</v>
      </c>
      <c r="X23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Harish Kommanaveni (1031858)</v>
      </c>
      <c r="Y237">
        <v>100000</v>
      </c>
      <c r="Z237" s="29">
        <f t="shared" ca="1" si="4"/>
        <v>40</v>
      </c>
      <c r="AA237">
        <f ca="1">IF(T_EMPLOYEES[[#This Row],[EMPLOYEE NUMBER]]="","",ROW(T_EMPLOYEES[[#This Row],[EMPLOYEE LABEL]])-ROW(T_EMPLOYEES[[#Headers],[EMPLOYEE LABEL]]))</f>
        <v>234</v>
      </c>
      <c r="AB237">
        <f ca="1">IF(T_EMPLOYEES[[#This Row],[EMPLOYEE NUMBER]]="","",IF(COUNTIF(T_EMPLOYEES[EMPLOYEE NUMBER],T_EMPLOYEES[[#This Row],[EMPLOYEE NUMBER]])&gt;1,1,0))</f>
        <v>0</v>
      </c>
      <c r="AC237">
        <f ca="1">IF(T_EMPLOYEES[[#This Row],[EMPLOYEE NUMBER]]="","",IF(AND(T_EMPLOYEES[[#This Row],[DATE OF BIRTH]]&gt;0,T_EMPLOYEES[[#This Row],[DATE OF BIRTH]]&lt;TODAY()),0,1))</f>
        <v>0</v>
      </c>
      <c r="AD237">
        <f ca="1">IF(T_EMPLOYEES[[#This Row],[EMPLOYEE NUMBER]]="","",IF(AND(T_EMPLOYEES[[#This Row],[START DATE]]&gt;0,T_EMPLOYEES[[#This Row],[START DATE]]&lt;TODAY()+60),0,1))</f>
        <v>0</v>
      </c>
      <c r="AE237">
        <f ca="1">IF(T_EMPLOYEES[[#This Row],[EMPLOYEE NUMBER]]="","",MATCH(T_EMPLOYEES[[#This Row],[GENDER]],L_GENDER,0))</f>
        <v>1</v>
      </c>
      <c r="AF237">
        <f ca="1">IF(T_EMPLOYEES[[#This Row],[EMPLOYEE NUMBER]]="","",MATCH(T_EMPLOYEES[[#This Row],[HIRE SOURCE]],L_HIRESOURCE,0))</f>
        <v>4</v>
      </c>
      <c r="AG237">
        <f ca="1">IF(T_EMPLOYEES[[#This Row],[EMPLOYEE NUMBER]]="","",MATCH(T_EMPLOYEES[[#This Row],[ETHNICITY]],L_ETHNICITY,0))</f>
        <v>3</v>
      </c>
      <c r="AH237">
        <f ca="1">IF(T_EMPLOYEES[[#This Row],[EMPLOYEE NUMBER]]="","",MATCH(T_EMPLOYEES[[#This Row],[LOCATION]],L_LOCATION,0))</f>
        <v>2</v>
      </c>
      <c r="AI237">
        <f ca="1">IF(T_EMPLOYEES[[#This Row],[EMPLOYEE NUMBER]]="","",MATCH(T_EMPLOYEES[[#This Row],[DEPARTMENT]],L_DEPARTMENT,0))</f>
        <v>2</v>
      </c>
      <c r="AJ237">
        <f ca="1">IF(T_EMPLOYEES[[#This Row],[EMPLOYEE NUMBER]]="","",MATCH(T_EMPLOYEES[[#This Row],[JOB TYPE]],L_JOBTYPE,0))</f>
        <v>2</v>
      </c>
      <c r="AK237">
        <f ca="1">IF(T_EMPLOYEES[[#This Row],[EMPLOYEE NUMBER]]="","",MATCH(T_EMPLOYEES[[#This Row],[JOB CATEGORY]],L_JOBCATEGORY,0))</f>
        <v>15</v>
      </c>
      <c r="AL237">
        <f ca="1">IF(T_EMPLOYEES[[#This Row],[EMPLOYEE NUMBER]]="","",MATCH(T_EMPLOYEES[[#This Row],[JOB LEVEL]],L_JOBLEVEL,0))</f>
        <v>3</v>
      </c>
      <c r="AM237">
        <f ca="1">IF(T_EMPLOYEES[[#This Row],[EMPLOYEE NUMBER]]="","",MATCH(T_EMPLOYEES[[#This Row],[JOB TITLE]],L_JOBTITLE,0))</f>
        <v>15</v>
      </c>
      <c r="AN237">
        <f ca="1">IF(T_EMPLOYEES[[#This Row],[EMPLOYEE NUMBER]]="","",MATCH(T_EMPLOYEES[[#This Row],[MANAGER]],L_EMPLABELS,0))</f>
        <v>64</v>
      </c>
      <c r="AO237">
        <f ca="1">IF(T_EMPLOYEES[[#This Row],[EMPLOYEE NUMBER]]="","",IF(T_EMPLOYEES[[#This Row],[ERROR]]="",0,1))</f>
        <v>0</v>
      </c>
      <c r="AP23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8" spans="1:42">
      <c r="A238" t="s">
        <v>889</v>
      </c>
      <c r="B238" t="s">
        <v>293</v>
      </c>
      <c r="C238">
        <v>1031874</v>
      </c>
      <c r="D238" t="s">
        <v>890</v>
      </c>
      <c r="E238" s="26">
        <v>34001</v>
      </c>
      <c r="F238" s="26">
        <v>44914</v>
      </c>
      <c r="H238" t="s">
        <v>27</v>
      </c>
      <c r="I238" t="s">
        <v>54</v>
      </c>
      <c r="J238" t="s">
        <v>64</v>
      </c>
      <c r="K238" t="s">
        <v>30</v>
      </c>
      <c r="L238" s="27" t="s">
        <v>45</v>
      </c>
      <c r="M238" t="s">
        <v>46</v>
      </c>
      <c r="N238" t="s">
        <v>111</v>
      </c>
      <c r="O238" t="s">
        <v>71</v>
      </c>
      <c r="P238" t="s">
        <v>111</v>
      </c>
      <c r="Q238" t="s">
        <v>377</v>
      </c>
      <c r="R238" s="27">
        <v>5</v>
      </c>
      <c r="S238" s="1">
        <v>250000</v>
      </c>
      <c r="T238" s="1">
        <f ca="1">ROUND(T_EMPLOYEES[[#This Row],[EMP_CTC1]]/12, 0)</f>
        <v>20833</v>
      </c>
      <c r="U238" s="1">
        <v>150000</v>
      </c>
      <c r="V238" s="1" t="s">
        <v>207</v>
      </c>
      <c r="W238" s="1" t="s">
        <v>207</v>
      </c>
      <c r="X23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Dinesh Kumar (1031874)</v>
      </c>
      <c r="Y238">
        <v>100000</v>
      </c>
      <c r="Z238" s="29">
        <f t="shared" ca="1" si="4"/>
        <v>40</v>
      </c>
      <c r="AA238">
        <f ca="1">IF(T_EMPLOYEES[[#This Row],[EMPLOYEE NUMBER]]="","",ROW(T_EMPLOYEES[[#This Row],[EMPLOYEE LABEL]])-ROW(T_EMPLOYEES[[#Headers],[EMPLOYEE LABEL]]))</f>
        <v>235</v>
      </c>
      <c r="AB238">
        <f ca="1">IF(T_EMPLOYEES[[#This Row],[EMPLOYEE NUMBER]]="","",IF(COUNTIF(T_EMPLOYEES[EMPLOYEE NUMBER],T_EMPLOYEES[[#This Row],[EMPLOYEE NUMBER]])&gt;1,1,0))</f>
        <v>0</v>
      </c>
      <c r="AC238">
        <f ca="1">IF(T_EMPLOYEES[[#This Row],[EMPLOYEE NUMBER]]="","",IF(AND(T_EMPLOYEES[[#This Row],[DATE OF BIRTH]]&gt;0,T_EMPLOYEES[[#This Row],[DATE OF BIRTH]]&lt;TODAY()),0,1))</f>
        <v>0</v>
      </c>
      <c r="AD238">
        <f ca="1">IF(T_EMPLOYEES[[#This Row],[EMPLOYEE NUMBER]]="","",IF(AND(T_EMPLOYEES[[#This Row],[START DATE]]&gt;0,T_EMPLOYEES[[#This Row],[START DATE]]&lt;TODAY()+60),0,1))</f>
        <v>0</v>
      </c>
      <c r="AE238">
        <f ca="1">IF(T_EMPLOYEES[[#This Row],[EMPLOYEE NUMBER]]="","",MATCH(T_EMPLOYEES[[#This Row],[GENDER]],L_GENDER,0))</f>
        <v>1</v>
      </c>
      <c r="AF238">
        <f ca="1">IF(T_EMPLOYEES[[#This Row],[EMPLOYEE NUMBER]]="","",MATCH(T_EMPLOYEES[[#This Row],[HIRE SOURCE]],L_HIRESOURCE,0))</f>
        <v>4</v>
      </c>
      <c r="AG238">
        <f ca="1">IF(T_EMPLOYEES[[#This Row],[EMPLOYEE NUMBER]]="","",MATCH(T_EMPLOYEES[[#This Row],[ETHNICITY]],L_ETHNICITY,0))</f>
        <v>3</v>
      </c>
      <c r="AH238">
        <f ca="1">IF(T_EMPLOYEES[[#This Row],[EMPLOYEE NUMBER]]="","",MATCH(T_EMPLOYEES[[#This Row],[LOCATION]],L_LOCATION,0))</f>
        <v>1</v>
      </c>
      <c r="AI238">
        <f ca="1">IF(T_EMPLOYEES[[#This Row],[EMPLOYEE NUMBER]]="","",MATCH(T_EMPLOYEES[[#This Row],[DEPARTMENT]],L_DEPARTMENT,0))</f>
        <v>2</v>
      </c>
      <c r="AJ238">
        <f ca="1">IF(T_EMPLOYEES[[#This Row],[EMPLOYEE NUMBER]]="","",MATCH(T_EMPLOYEES[[#This Row],[JOB TYPE]],L_JOBTYPE,0))</f>
        <v>2</v>
      </c>
      <c r="AK238">
        <f ca="1">IF(T_EMPLOYEES[[#This Row],[EMPLOYEE NUMBER]]="","",MATCH(T_EMPLOYEES[[#This Row],[JOB CATEGORY]],L_JOBCATEGORY,0))</f>
        <v>10</v>
      </c>
      <c r="AL238">
        <f ca="1">IF(T_EMPLOYEES[[#This Row],[EMPLOYEE NUMBER]]="","",MATCH(T_EMPLOYEES[[#This Row],[JOB LEVEL]],L_JOBLEVEL,0))</f>
        <v>4</v>
      </c>
      <c r="AM238">
        <f ca="1">IF(T_EMPLOYEES[[#This Row],[EMPLOYEE NUMBER]]="","",MATCH(T_EMPLOYEES[[#This Row],[JOB TITLE]],L_JOBTITLE,0))</f>
        <v>10</v>
      </c>
      <c r="AN238">
        <f ca="1">IF(T_EMPLOYEES[[#This Row],[EMPLOYEE NUMBER]]="","",MATCH(T_EMPLOYEES[[#This Row],[MANAGER]],L_EMPLABELS,0))</f>
        <v>64</v>
      </c>
      <c r="AO238">
        <f ca="1">IF(T_EMPLOYEES[[#This Row],[EMPLOYEE NUMBER]]="","",IF(T_EMPLOYEES[[#This Row],[ERROR]]="",0,1))</f>
        <v>0</v>
      </c>
      <c r="AP23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9" spans="1:42">
      <c r="A239" t="s">
        <v>891</v>
      </c>
      <c r="B239" t="s">
        <v>892</v>
      </c>
      <c r="C239">
        <v>1033941</v>
      </c>
      <c r="D239" t="s">
        <v>893</v>
      </c>
      <c r="E239" s="26">
        <v>34018</v>
      </c>
      <c r="F239" s="26">
        <v>45254</v>
      </c>
      <c r="H239" t="s">
        <v>27</v>
      </c>
      <c r="I239" t="s">
        <v>54</v>
      </c>
      <c r="J239" t="s">
        <v>64</v>
      </c>
      <c r="K239" t="s">
        <v>43</v>
      </c>
      <c r="L239" s="27" t="s">
        <v>45</v>
      </c>
      <c r="M239" t="s">
        <v>46</v>
      </c>
      <c r="N239" t="s">
        <v>131</v>
      </c>
      <c r="O239" t="s">
        <v>60</v>
      </c>
      <c r="P239" t="s">
        <v>131</v>
      </c>
      <c r="Q239" t="s">
        <v>373</v>
      </c>
      <c r="R239">
        <v>4</v>
      </c>
      <c r="S239" s="1">
        <v>250000</v>
      </c>
      <c r="T239" s="1">
        <f ca="1">ROUND(T_EMPLOYEES[[#This Row],[EMP_CTC1]]/12, 0)</f>
        <v>20833</v>
      </c>
      <c r="U239" s="1">
        <v>150000</v>
      </c>
      <c r="V239" s="1" t="s">
        <v>207</v>
      </c>
      <c r="W239" s="1" t="s">
        <v>207</v>
      </c>
      <c r="X23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Mohd Nizamuddin Siddiqi (1033941)</v>
      </c>
      <c r="Y239">
        <v>100000</v>
      </c>
      <c r="Z239" s="29">
        <f t="shared" ca="1" si="4"/>
        <v>40</v>
      </c>
      <c r="AA239">
        <f ca="1">IF(T_EMPLOYEES[[#This Row],[EMPLOYEE NUMBER]]="","",ROW(T_EMPLOYEES[[#This Row],[EMPLOYEE LABEL]])-ROW(T_EMPLOYEES[[#Headers],[EMPLOYEE LABEL]]))</f>
        <v>236</v>
      </c>
      <c r="AB239">
        <f ca="1">IF(T_EMPLOYEES[[#This Row],[EMPLOYEE NUMBER]]="","",IF(COUNTIF(T_EMPLOYEES[EMPLOYEE NUMBER],T_EMPLOYEES[[#This Row],[EMPLOYEE NUMBER]])&gt;1,1,0))</f>
        <v>0</v>
      </c>
      <c r="AC239">
        <f ca="1">IF(T_EMPLOYEES[[#This Row],[EMPLOYEE NUMBER]]="","",IF(AND(T_EMPLOYEES[[#This Row],[DATE OF BIRTH]]&gt;0,T_EMPLOYEES[[#This Row],[DATE OF BIRTH]]&lt;TODAY()),0,1))</f>
        <v>0</v>
      </c>
      <c r="AD239">
        <f ca="1">IF(T_EMPLOYEES[[#This Row],[EMPLOYEE NUMBER]]="","",IF(AND(T_EMPLOYEES[[#This Row],[START DATE]]&gt;0,T_EMPLOYEES[[#This Row],[START DATE]]&lt;TODAY()+60),0,1))</f>
        <v>0</v>
      </c>
      <c r="AE239">
        <f ca="1">IF(T_EMPLOYEES[[#This Row],[EMPLOYEE NUMBER]]="","",MATCH(T_EMPLOYEES[[#This Row],[GENDER]],L_GENDER,0))</f>
        <v>1</v>
      </c>
      <c r="AF239">
        <f ca="1">IF(T_EMPLOYEES[[#This Row],[EMPLOYEE NUMBER]]="","",MATCH(T_EMPLOYEES[[#This Row],[HIRE SOURCE]],L_HIRESOURCE,0))</f>
        <v>4</v>
      </c>
      <c r="AG239">
        <f ca="1">IF(T_EMPLOYEES[[#This Row],[EMPLOYEE NUMBER]]="","",MATCH(T_EMPLOYEES[[#This Row],[ETHNICITY]],L_ETHNICITY,0))</f>
        <v>3</v>
      </c>
      <c r="AH239">
        <f ca="1">IF(T_EMPLOYEES[[#This Row],[EMPLOYEE NUMBER]]="","",MATCH(T_EMPLOYEES[[#This Row],[LOCATION]],L_LOCATION,0))</f>
        <v>2</v>
      </c>
      <c r="AI239">
        <f ca="1">IF(T_EMPLOYEES[[#This Row],[EMPLOYEE NUMBER]]="","",MATCH(T_EMPLOYEES[[#This Row],[DEPARTMENT]],L_DEPARTMENT,0))</f>
        <v>2</v>
      </c>
      <c r="AJ239">
        <f ca="1">IF(T_EMPLOYEES[[#This Row],[EMPLOYEE NUMBER]]="","",MATCH(T_EMPLOYEES[[#This Row],[JOB TYPE]],L_JOBTYPE,0))</f>
        <v>2</v>
      </c>
      <c r="AK239">
        <f ca="1">IF(T_EMPLOYEES[[#This Row],[EMPLOYEE NUMBER]]="","",MATCH(T_EMPLOYEES[[#This Row],[JOB CATEGORY]],L_JOBCATEGORY,0))</f>
        <v>16</v>
      </c>
      <c r="AL239">
        <f ca="1">IF(T_EMPLOYEES[[#This Row],[EMPLOYEE NUMBER]]="","",MATCH(T_EMPLOYEES[[#This Row],[JOB LEVEL]],L_JOBLEVEL,0))</f>
        <v>3</v>
      </c>
      <c r="AM239">
        <f ca="1">IF(T_EMPLOYEES[[#This Row],[EMPLOYEE NUMBER]]="","",MATCH(T_EMPLOYEES[[#This Row],[JOB TITLE]],L_JOBTITLE,0))</f>
        <v>16</v>
      </c>
      <c r="AN239">
        <f ca="1">IF(T_EMPLOYEES[[#This Row],[EMPLOYEE NUMBER]]="","",MATCH(T_EMPLOYEES[[#This Row],[MANAGER]],L_EMPLABELS,0))</f>
        <v>9</v>
      </c>
      <c r="AO239">
        <f ca="1">IF(T_EMPLOYEES[[#This Row],[EMPLOYEE NUMBER]]="","",IF(T_EMPLOYEES[[#This Row],[ERROR]]="",0,1))</f>
        <v>0</v>
      </c>
      <c r="AP23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0" spans="1:42">
      <c r="A240" t="s">
        <v>894</v>
      </c>
      <c r="B240" t="s">
        <v>895</v>
      </c>
      <c r="C240">
        <v>1025948</v>
      </c>
      <c r="D240" t="s">
        <v>896</v>
      </c>
      <c r="E240" s="26">
        <v>34042</v>
      </c>
      <c r="F240" s="26">
        <v>44405</v>
      </c>
      <c r="H240" t="s">
        <v>27</v>
      </c>
      <c r="I240" t="s">
        <v>54</v>
      </c>
      <c r="J240" t="s">
        <v>64</v>
      </c>
      <c r="K240" t="s">
        <v>43</v>
      </c>
      <c r="L240" s="27" t="s">
        <v>45</v>
      </c>
      <c r="M240" t="s">
        <v>46</v>
      </c>
      <c r="N240" t="s">
        <v>89</v>
      </c>
      <c r="O240" t="s">
        <v>60</v>
      </c>
      <c r="P240" t="s">
        <v>89</v>
      </c>
      <c r="Q240" t="s">
        <v>222</v>
      </c>
      <c r="R240" s="27">
        <v>4</v>
      </c>
      <c r="S240" s="1">
        <v>250000</v>
      </c>
      <c r="T240" s="1">
        <f ca="1">ROUND(T_EMPLOYEES[[#This Row],[EMP_CTC1]]/12, 0)</f>
        <v>20833</v>
      </c>
      <c r="U240" s="1">
        <v>150000</v>
      </c>
      <c r="V240" s="1" t="s">
        <v>207</v>
      </c>
      <c r="W240" s="1" t="s">
        <v>207</v>
      </c>
      <c r="X24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Prajwal  Nayak (1025948)</v>
      </c>
      <c r="Y240">
        <v>100000</v>
      </c>
      <c r="Z240" s="29">
        <f t="shared" ca="1" si="4"/>
        <v>40</v>
      </c>
      <c r="AA240">
        <f ca="1">IF(T_EMPLOYEES[[#This Row],[EMPLOYEE NUMBER]]="","",ROW(T_EMPLOYEES[[#This Row],[EMPLOYEE LABEL]])-ROW(T_EMPLOYEES[[#Headers],[EMPLOYEE LABEL]]))</f>
        <v>237</v>
      </c>
      <c r="AB240">
        <f ca="1">IF(T_EMPLOYEES[[#This Row],[EMPLOYEE NUMBER]]="","",IF(COUNTIF(T_EMPLOYEES[EMPLOYEE NUMBER],T_EMPLOYEES[[#This Row],[EMPLOYEE NUMBER]])&gt;1,1,0))</f>
        <v>0</v>
      </c>
      <c r="AC240">
        <f ca="1">IF(T_EMPLOYEES[[#This Row],[EMPLOYEE NUMBER]]="","",IF(AND(T_EMPLOYEES[[#This Row],[DATE OF BIRTH]]&gt;0,T_EMPLOYEES[[#This Row],[DATE OF BIRTH]]&lt;TODAY()),0,1))</f>
        <v>0</v>
      </c>
      <c r="AD240">
        <f ca="1">IF(T_EMPLOYEES[[#This Row],[EMPLOYEE NUMBER]]="","",IF(AND(T_EMPLOYEES[[#This Row],[START DATE]]&gt;0,T_EMPLOYEES[[#This Row],[START DATE]]&lt;TODAY()+60),0,1))</f>
        <v>0</v>
      </c>
      <c r="AE240">
        <f ca="1">IF(T_EMPLOYEES[[#This Row],[EMPLOYEE NUMBER]]="","",MATCH(T_EMPLOYEES[[#This Row],[GENDER]],L_GENDER,0))</f>
        <v>1</v>
      </c>
      <c r="AF240">
        <f ca="1">IF(T_EMPLOYEES[[#This Row],[EMPLOYEE NUMBER]]="","",MATCH(T_EMPLOYEES[[#This Row],[HIRE SOURCE]],L_HIRESOURCE,0))</f>
        <v>4</v>
      </c>
      <c r="AG240">
        <f ca="1">IF(T_EMPLOYEES[[#This Row],[EMPLOYEE NUMBER]]="","",MATCH(T_EMPLOYEES[[#This Row],[ETHNICITY]],L_ETHNICITY,0))</f>
        <v>3</v>
      </c>
      <c r="AH240">
        <f ca="1">IF(T_EMPLOYEES[[#This Row],[EMPLOYEE NUMBER]]="","",MATCH(T_EMPLOYEES[[#This Row],[LOCATION]],L_LOCATION,0))</f>
        <v>2</v>
      </c>
      <c r="AI240">
        <f ca="1">IF(T_EMPLOYEES[[#This Row],[EMPLOYEE NUMBER]]="","",MATCH(T_EMPLOYEES[[#This Row],[DEPARTMENT]],L_DEPARTMENT,0))</f>
        <v>2</v>
      </c>
      <c r="AJ240">
        <f ca="1">IF(T_EMPLOYEES[[#This Row],[EMPLOYEE NUMBER]]="","",MATCH(T_EMPLOYEES[[#This Row],[JOB TYPE]],L_JOBTYPE,0))</f>
        <v>2</v>
      </c>
      <c r="AK240">
        <f ca="1">IF(T_EMPLOYEES[[#This Row],[EMPLOYEE NUMBER]]="","",MATCH(T_EMPLOYEES[[#This Row],[JOB CATEGORY]],L_JOBCATEGORY,0))</f>
        <v>6</v>
      </c>
      <c r="AL240">
        <f ca="1">IF(T_EMPLOYEES[[#This Row],[EMPLOYEE NUMBER]]="","",MATCH(T_EMPLOYEES[[#This Row],[JOB LEVEL]],L_JOBLEVEL,0))</f>
        <v>3</v>
      </c>
      <c r="AM240">
        <f ca="1">IF(T_EMPLOYEES[[#This Row],[EMPLOYEE NUMBER]]="","",MATCH(T_EMPLOYEES[[#This Row],[JOB TITLE]],L_JOBTITLE,0))</f>
        <v>6</v>
      </c>
      <c r="AN240">
        <f ca="1">IF(T_EMPLOYEES[[#This Row],[EMPLOYEE NUMBER]]="","",MATCH(T_EMPLOYEES[[#This Row],[MANAGER]],L_EMPLABELS,0))</f>
        <v>69</v>
      </c>
      <c r="AO240">
        <f ca="1">IF(T_EMPLOYEES[[#This Row],[EMPLOYEE NUMBER]]="","",IF(T_EMPLOYEES[[#This Row],[ERROR]]="",0,1))</f>
        <v>0</v>
      </c>
      <c r="AP24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1" spans="1:42">
      <c r="A241" t="s">
        <v>897</v>
      </c>
      <c r="B241" t="s">
        <v>898</v>
      </c>
      <c r="C241">
        <v>1029841</v>
      </c>
      <c r="D241" t="s">
        <v>899</v>
      </c>
      <c r="E241" s="26">
        <v>34059</v>
      </c>
      <c r="F241" s="26">
        <v>44789</v>
      </c>
      <c r="H241" t="s">
        <v>27</v>
      </c>
      <c r="I241" t="s">
        <v>54</v>
      </c>
      <c r="J241" t="s">
        <v>64</v>
      </c>
      <c r="K241" t="s">
        <v>30</v>
      </c>
      <c r="L241" s="27" t="s">
        <v>45</v>
      </c>
      <c r="M241" t="s">
        <v>46</v>
      </c>
      <c r="N241" t="s">
        <v>128</v>
      </c>
      <c r="O241" t="s">
        <v>60</v>
      </c>
      <c r="P241" t="s">
        <v>128</v>
      </c>
      <c r="Q241" t="s">
        <v>311</v>
      </c>
      <c r="R241">
        <v>4</v>
      </c>
      <c r="S241" s="1">
        <v>250000</v>
      </c>
      <c r="T241" s="1">
        <f ca="1">ROUND(T_EMPLOYEES[[#This Row],[EMP_CTC1]]/12, 0)</f>
        <v>20833</v>
      </c>
      <c r="U241" s="1">
        <v>150000</v>
      </c>
      <c r="V241" s="1" t="s">
        <v>207</v>
      </c>
      <c r="W241" s="1" t="s">
        <v>207</v>
      </c>
      <c r="X24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Vasam Ranjith Raj (1029841)</v>
      </c>
      <c r="Y241">
        <v>100000</v>
      </c>
      <c r="Z241" s="29">
        <f t="shared" ca="1" si="4"/>
        <v>40</v>
      </c>
      <c r="AA241">
        <f ca="1">IF(T_EMPLOYEES[[#This Row],[EMPLOYEE NUMBER]]="","",ROW(T_EMPLOYEES[[#This Row],[EMPLOYEE LABEL]])-ROW(T_EMPLOYEES[[#Headers],[EMPLOYEE LABEL]]))</f>
        <v>238</v>
      </c>
      <c r="AB241">
        <f ca="1">IF(T_EMPLOYEES[[#This Row],[EMPLOYEE NUMBER]]="","",IF(COUNTIF(T_EMPLOYEES[EMPLOYEE NUMBER],T_EMPLOYEES[[#This Row],[EMPLOYEE NUMBER]])&gt;1,1,0))</f>
        <v>0</v>
      </c>
      <c r="AC241">
        <f ca="1">IF(T_EMPLOYEES[[#This Row],[EMPLOYEE NUMBER]]="","",IF(AND(T_EMPLOYEES[[#This Row],[DATE OF BIRTH]]&gt;0,T_EMPLOYEES[[#This Row],[DATE OF BIRTH]]&lt;TODAY()),0,1))</f>
        <v>0</v>
      </c>
      <c r="AD241">
        <f ca="1">IF(T_EMPLOYEES[[#This Row],[EMPLOYEE NUMBER]]="","",IF(AND(T_EMPLOYEES[[#This Row],[START DATE]]&gt;0,T_EMPLOYEES[[#This Row],[START DATE]]&lt;TODAY()+60),0,1))</f>
        <v>0</v>
      </c>
      <c r="AE241">
        <f ca="1">IF(T_EMPLOYEES[[#This Row],[EMPLOYEE NUMBER]]="","",MATCH(T_EMPLOYEES[[#This Row],[GENDER]],L_GENDER,0))</f>
        <v>1</v>
      </c>
      <c r="AF241">
        <f ca="1">IF(T_EMPLOYEES[[#This Row],[EMPLOYEE NUMBER]]="","",MATCH(T_EMPLOYEES[[#This Row],[HIRE SOURCE]],L_HIRESOURCE,0))</f>
        <v>4</v>
      </c>
      <c r="AG241">
        <f ca="1">IF(T_EMPLOYEES[[#This Row],[EMPLOYEE NUMBER]]="","",MATCH(T_EMPLOYEES[[#This Row],[ETHNICITY]],L_ETHNICITY,0))</f>
        <v>3</v>
      </c>
      <c r="AH241">
        <f ca="1">IF(T_EMPLOYEES[[#This Row],[EMPLOYEE NUMBER]]="","",MATCH(T_EMPLOYEES[[#This Row],[LOCATION]],L_LOCATION,0))</f>
        <v>1</v>
      </c>
      <c r="AI241">
        <f ca="1">IF(T_EMPLOYEES[[#This Row],[EMPLOYEE NUMBER]]="","",MATCH(T_EMPLOYEES[[#This Row],[DEPARTMENT]],L_DEPARTMENT,0))</f>
        <v>2</v>
      </c>
      <c r="AJ241">
        <f ca="1">IF(T_EMPLOYEES[[#This Row],[EMPLOYEE NUMBER]]="","",MATCH(T_EMPLOYEES[[#This Row],[JOB TYPE]],L_JOBTYPE,0))</f>
        <v>2</v>
      </c>
      <c r="AK241">
        <f ca="1">IF(T_EMPLOYEES[[#This Row],[EMPLOYEE NUMBER]]="","",MATCH(T_EMPLOYEES[[#This Row],[JOB CATEGORY]],L_JOBCATEGORY,0))</f>
        <v>15</v>
      </c>
      <c r="AL241">
        <f ca="1">IF(T_EMPLOYEES[[#This Row],[EMPLOYEE NUMBER]]="","",MATCH(T_EMPLOYEES[[#This Row],[JOB LEVEL]],L_JOBLEVEL,0))</f>
        <v>3</v>
      </c>
      <c r="AM241">
        <f ca="1">IF(T_EMPLOYEES[[#This Row],[EMPLOYEE NUMBER]]="","",MATCH(T_EMPLOYEES[[#This Row],[JOB TITLE]],L_JOBTITLE,0))</f>
        <v>15</v>
      </c>
      <c r="AN241">
        <f ca="1">IF(T_EMPLOYEES[[#This Row],[EMPLOYEE NUMBER]]="","",MATCH(T_EMPLOYEES[[#This Row],[MANAGER]],L_EMPLABELS,0))</f>
        <v>2</v>
      </c>
      <c r="AO241">
        <f ca="1">IF(T_EMPLOYEES[[#This Row],[EMPLOYEE NUMBER]]="","",IF(T_EMPLOYEES[[#This Row],[ERROR]]="",0,1))</f>
        <v>0</v>
      </c>
      <c r="AP24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2" spans="1:42">
      <c r="A242" t="s">
        <v>900</v>
      </c>
      <c r="B242" t="s">
        <v>682</v>
      </c>
      <c r="C242">
        <v>1024783</v>
      </c>
      <c r="D242" t="s">
        <v>901</v>
      </c>
      <c r="E242" s="26">
        <v>33626</v>
      </c>
      <c r="F242" s="26">
        <v>44270</v>
      </c>
      <c r="H242" t="s">
        <v>27</v>
      </c>
      <c r="I242" t="s">
        <v>54</v>
      </c>
      <c r="J242" t="s">
        <v>64</v>
      </c>
      <c r="K242" t="s">
        <v>30</v>
      </c>
      <c r="L242" s="27" t="s">
        <v>114</v>
      </c>
      <c r="M242" t="s">
        <v>46</v>
      </c>
      <c r="N242" t="s">
        <v>128</v>
      </c>
      <c r="O242" t="s">
        <v>60</v>
      </c>
      <c r="P242" t="s">
        <v>128</v>
      </c>
      <c r="Q242" t="s">
        <v>468</v>
      </c>
      <c r="R242" s="27">
        <v>4</v>
      </c>
      <c r="S242" s="1">
        <v>250000</v>
      </c>
      <c r="T242" s="1">
        <f ca="1">ROUND(T_EMPLOYEES[[#This Row],[EMP_CTC1]]/12, 0)</f>
        <v>20833</v>
      </c>
      <c r="U242" s="1">
        <v>150000</v>
      </c>
      <c r="V242" s="1" t="s">
        <v>207</v>
      </c>
      <c r="W242" s="1" t="s">
        <v>207</v>
      </c>
      <c r="X24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Murali  V (1024783)</v>
      </c>
      <c r="Y242">
        <v>100000</v>
      </c>
      <c r="Z242" s="29">
        <f t="shared" ca="1" si="4"/>
        <v>40</v>
      </c>
      <c r="AA242">
        <f ca="1">IF(T_EMPLOYEES[[#This Row],[EMPLOYEE NUMBER]]="","",ROW(T_EMPLOYEES[[#This Row],[EMPLOYEE LABEL]])-ROW(T_EMPLOYEES[[#Headers],[EMPLOYEE LABEL]]))</f>
        <v>239</v>
      </c>
      <c r="AB242">
        <f ca="1">IF(T_EMPLOYEES[[#This Row],[EMPLOYEE NUMBER]]="","",IF(COUNTIF(T_EMPLOYEES[EMPLOYEE NUMBER],T_EMPLOYEES[[#This Row],[EMPLOYEE NUMBER]])&gt;1,1,0))</f>
        <v>0</v>
      </c>
      <c r="AC242">
        <f ca="1">IF(T_EMPLOYEES[[#This Row],[EMPLOYEE NUMBER]]="","",IF(AND(T_EMPLOYEES[[#This Row],[DATE OF BIRTH]]&gt;0,T_EMPLOYEES[[#This Row],[DATE OF BIRTH]]&lt;TODAY()),0,1))</f>
        <v>0</v>
      </c>
      <c r="AD242">
        <f ca="1">IF(T_EMPLOYEES[[#This Row],[EMPLOYEE NUMBER]]="","",IF(AND(T_EMPLOYEES[[#This Row],[START DATE]]&gt;0,T_EMPLOYEES[[#This Row],[START DATE]]&lt;TODAY()+60),0,1))</f>
        <v>0</v>
      </c>
      <c r="AE242">
        <f ca="1">IF(T_EMPLOYEES[[#This Row],[EMPLOYEE NUMBER]]="","",MATCH(T_EMPLOYEES[[#This Row],[GENDER]],L_GENDER,0))</f>
        <v>1</v>
      </c>
      <c r="AF242">
        <f ca="1">IF(T_EMPLOYEES[[#This Row],[EMPLOYEE NUMBER]]="","",MATCH(T_EMPLOYEES[[#This Row],[HIRE SOURCE]],L_HIRESOURCE,0))</f>
        <v>4</v>
      </c>
      <c r="AG242">
        <f ca="1">IF(T_EMPLOYEES[[#This Row],[EMPLOYEE NUMBER]]="","",MATCH(T_EMPLOYEES[[#This Row],[ETHNICITY]],L_ETHNICITY,0))</f>
        <v>3</v>
      </c>
      <c r="AH242">
        <f ca="1">IF(T_EMPLOYEES[[#This Row],[EMPLOYEE NUMBER]]="","",MATCH(T_EMPLOYEES[[#This Row],[LOCATION]],L_LOCATION,0))</f>
        <v>1</v>
      </c>
      <c r="AI242">
        <f ca="1">IF(T_EMPLOYEES[[#This Row],[EMPLOYEE NUMBER]]="","",MATCH(T_EMPLOYEES[[#This Row],[DEPARTMENT]],L_DEPARTMENT,0))</f>
        <v>11</v>
      </c>
      <c r="AJ242">
        <f ca="1">IF(T_EMPLOYEES[[#This Row],[EMPLOYEE NUMBER]]="","",MATCH(T_EMPLOYEES[[#This Row],[JOB TYPE]],L_JOBTYPE,0))</f>
        <v>2</v>
      </c>
      <c r="AK242">
        <f ca="1">IF(T_EMPLOYEES[[#This Row],[EMPLOYEE NUMBER]]="","",MATCH(T_EMPLOYEES[[#This Row],[JOB CATEGORY]],L_JOBCATEGORY,0))</f>
        <v>15</v>
      </c>
      <c r="AL242">
        <f ca="1">IF(T_EMPLOYEES[[#This Row],[EMPLOYEE NUMBER]]="","",MATCH(T_EMPLOYEES[[#This Row],[JOB LEVEL]],L_JOBLEVEL,0))</f>
        <v>3</v>
      </c>
      <c r="AM242">
        <f ca="1">IF(T_EMPLOYEES[[#This Row],[EMPLOYEE NUMBER]]="","",MATCH(T_EMPLOYEES[[#This Row],[JOB TITLE]],L_JOBTITLE,0))</f>
        <v>15</v>
      </c>
      <c r="AN242">
        <f ca="1">IF(T_EMPLOYEES[[#This Row],[EMPLOYEE NUMBER]]="","",MATCH(T_EMPLOYEES[[#This Row],[MANAGER]],L_EMPLABELS,0))</f>
        <v>56</v>
      </c>
      <c r="AO242">
        <f ca="1">IF(T_EMPLOYEES[[#This Row],[EMPLOYEE NUMBER]]="","",IF(T_EMPLOYEES[[#This Row],[ERROR]]="",0,1))</f>
        <v>0</v>
      </c>
      <c r="AP24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3" spans="1:42">
      <c r="A243" t="s">
        <v>902</v>
      </c>
      <c r="B243" t="s">
        <v>903</v>
      </c>
      <c r="C243">
        <v>1032081</v>
      </c>
      <c r="D243" t="s">
        <v>904</v>
      </c>
      <c r="E243" s="26">
        <v>34079</v>
      </c>
      <c r="F243" s="26">
        <v>44946</v>
      </c>
      <c r="H243" t="s">
        <v>40</v>
      </c>
      <c r="I243" t="s">
        <v>54</v>
      </c>
      <c r="J243" t="s">
        <v>64</v>
      </c>
      <c r="K243" t="s">
        <v>43</v>
      </c>
      <c r="L243" s="27" t="s">
        <v>45</v>
      </c>
      <c r="M243" t="s">
        <v>46</v>
      </c>
      <c r="N243" t="s">
        <v>131</v>
      </c>
      <c r="O243" t="s">
        <v>60</v>
      </c>
      <c r="P243" t="s">
        <v>131</v>
      </c>
      <c r="Q243" t="s">
        <v>523</v>
      </c>
      <c r="R243">
        <v>4</v>
      </c>
      <c r="S243" s="1">
        <v>250000</v>
      </c>
      <c r="T243" s="1">
        <f ca="1">ROUND(T_EMPLOYEES[[#This Row],[EMP_CTC1]]/12, 0)</f>
        <v>20833</v>
      </c>
      <c r="U243" s="1">
        <v>150000</v>
      </c>
      <c r="V243" s="1" t="s">
        <v>207</v>
      </c>
      <c r="W243" s="1" t="s">
        <v>207</v>
      </c>
      <c r="X24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Vulasala Sravya (1032081)</v>
      </c>
      <c r="Y243">
        <v>100000</v>
      </c>
      <c r="Z243" s="29">
        <f t="shared" ca="1" si="4"/>
        <v>40</v>
      </c>
      <c r="AA243">
        <f ca="1">IF(T_EMPLOYEES[[#This Row],[EMPLOYEE NUMBER]]="","",ROW(T_EMPLOYEES[[#This Row],[EMPLOYEE LABEL]])-ROW(T_EMPLOYEES[[#Headers],[EMPLOYEE LABEL]]))</f>
        <v>240</v>
      </c>
      <c r="AB243">
        <f ca="1">IF(T_EMPLOYEES[[#This Row],[EMPLOYEE NUMBER]]="","",IF(COUNTIF(T_EMPLOYEES[EMPLOYEE NUMBER],T_EMPLOYEES[[#This Row],[EMPLOYEE NUMBER]])&gt;1,1,0))</f>
        <v>0</v>
      </c>
      <c r="AC243">
        <f ca="1">IF(T_EMPLOYEES[[#This Row],[EMPLOYEE NUMBER]]="","",IF(AND(T_EMPLOYEES[[#This Row],[DATE OF BIRTH]]&gt;0,T_EMPLOYEES[[#This Row],[DATE OF BIRTH]]&lt;TODAY()),0,1))</f>
        <v>0</v>
      </c>
      <c r="AD243">
        <f ca="1">IF(T_EMPLOYEES[[#This Row],[EMPLOYEE NUMBER]]="","",IF(AND(T_EMPLOYEES[[#This Row],[START DATE]]&gt;0,T_EMPLOYEES[[#This Row],[START DATE]]&lt;TODAY()+60),0,1))</f>
        <v>0</v>
      </c>
      <c r="AE243">
        <f ca="1">IF(T_EMPLOYEES[[#This Row],[EMPLOYEE NUMBER]]="","",MATCH(T_EMPLOYEES[[#This Row],[GENDER]],L_GENDER,0))</f>
        <v>2</v>
      </c>
      <c r="AF243">
        <f ca="1">IF(T_EMPLOYEES[[#This Row],[EMPLOYEE NUMBER]]="","",MATCH(T_EMPLOYEES[[#This Row],[HIRE SOURCE]],L_HIRESOURCE,0))</f>
        <v>4</v>
      </c>
      <c r="AG243">
        <f ca="1">IF(T_EMPLOYEES[[#This Row],[EMPLOYEE NUMBER]]="","",MATCH(T_EMPLOYEES[[#This Row],[ETHNICITY]],L_ETHNICITY,0))</f>
        <v>3</v>
      </c>
      <c r="AH243">
        <f ca="1">IF(T_EMPLOYEES[[#This Row],[EMPLOYEE NUMBER]]="","",MATCH(T_EMPLOYEES[[#This Row],[LOCATION]],L_LOCATION,0))</f>
        <v>2</v>
      </c>
      <c r="AI243">
        <f ca="1">IF(T_EMPLOYEES[[#This Row],[EMPLOYEE NUMBER]]="","",MATCH(T_EMPLOYEES[[#This Row],[DEPARTMENT]],L_DEPARTMENT,0))</f>
        <v>2</v>
      </c>
      <c r="AJ243">
        <f ca="1">IF(T_EMPLOYEES[[#This Row],[EMPLOYEE NUMBER]]="","",MATCH(T_EMPLOYEES[[#This Row],[JOB TYPE]],L_JOBTYPE,0))</f>
        <v>2</v>
      </c>
      <c r="AK243">
        <f ca="1">IF(T_EMPLOYEES[[#This Row],[EMPLOYEE NUMBER]]="","",MATCH(T_EMPLOYEES[[#This Row],[JOB CATEGORY]],L_JOBCATEGORY,0))</f>
        <v>16</v>
      </c>
      <c r="AL243">
        <f ca="1">IF(T_EMPLOYEES[[#This Row],[EMPLOYEE NUMBER]]="","",MATCH(T_EMPLOYEES[[#This Row],[JOB LEVEL]],L_JOBLEVEL,0))</f>
        <v>3</v>
      </c>
      <c r="AM243">
        <f ca="1">IF(T_EMPLOYEES[[#This Row],[EMPLOYEE NUMBER]]="","",MATCH(T_EMPLOYEES[[#This Row],[JOB TITLE]],L_JOBTITLE,0))</f>
        <v>16</v>
      </c>
      <c r="AN243">
        <f ca="1">IF(T_EMPLOYEES[[#This Row],[EMPLOYEE NUMBER]]="","",MATCH(T_EMPLOYEES[[#This Row],[MANAGER]],L_EMPLABELS,0))</f>
        <v>103</v>
      </c>
      <c r="AO243">
        <f ca="1">IF(T_EMPLOYEES[[#This Row],[EMPLOYEE NUMBER]]="","",IF(T_EMPLOYEES[[#This Row],[ERROR]]="",0,1))</f>
        <v>0</v>
      </c>
      <c r="AP24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4" spans="1:42">
      <c r="A244" t="s">
        <v>840</v>
      </c>
      <c r="B244" t="s">
        <v>905</v>
      </c>
      <c r="C244">
        <v>1029508</v>
      </c>
      <c r="D244" t="s">
        <v>906</v>
      </c>
      <c r="E244" s="26">
        <v>34090</v>
      </c>
      <c r="F244" s="26">
        <v>44755</v>
      </c>
      <c r="H244" t="s">
        <v>27</v>
      </c>
      <c r="I244" t="s">
        <v>54</v>
      </c>
      <c r="J244" t="s">
        <v>64</v>
      </c>
      <c r="K244" t="s">
        <v>43</v>
      </c>
      <c r="L244" s="27" t="s">
        <v>45</v>
      </c>
      <c r="M244" t="s">
        <v>46</v>
      </c>
      <c r="N244" t="s">
        <v>156</v>
      </c>
      <c r="O244" t="s">
        <v>36</v>
      </c>
      <c r="P244" t="s">
        <v>156</v>
      </c>
      <c r="Q244" t="s">
        <v>907</v>
      </c>
      <c r="R244" s="27">
        <v>0</v>
      </c>
      <c r="S244" s="1">
        <v>250000</v>
      </c>
      <c r="T244" s="1">
        <f ca="1">ROUND(T_EMPLOYEES[[#This Row],[EMP_CTC1]]/12, 0)</f>
        <v>20833</v>
      </c>
      <c r="U244" s="1">
        <v>150000</v>
      </c>
      <c r="V244" s="1" t="s">
        <v>207</v>
      </c>
      <c r="W244" s="1" t="s">
        <v>207</v>
      </c>
      <c r="X24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 Vinod Kumar (1029508)</v>
      </c>
      <c r="Y244">
        <v>100000</v>
      </c>
      <c r="Z244" s="29">
        <f t="shared" ca="1" si="4"/>
        <v>40</v>
      </c>
      <c r="AA244">
        <f ca="1">IF(T_EMPLOYEES[[#This Row],[EMPLOYEE NUMBER]]="","",ROW(T_EMPLOYEES[[#This Row],[EMPLOYEE LABEL]])-ROW(T_EMPLOYEES[[#Headers],[EMPLOYEE LABEL]]))</f>
        <v>241</v>
      </c>
      <c r="AB244">
        <f ca="1">IF(T_EMPLOYEES[[#This Row],[EMPLOYEE NUMBER]]="","",IF(COUNTIF(T_EMPLOYEES[EMPLOYEE NUMBER],T_EMPLOYEES[[#This Row],[EMPLOYEE NUMBER]])&gt;1,1,0))</f>
        <v>0</v>
      </c>
      <c r="AC244">
        <f ca="1">IF(T_EMPLOYEES[[#This Row],[EMPLOYEE NUMBER]]="","",IF(AND(T_EMPLOYEES[[#This Row],[DATE OF BIRTH]]&gt;0,T_EMPLOYEES[[#This Row],[DATE OF BIRTH]]&lt;TODAY()),0,1))</f>
        <v>0</v>
      </c>
      <c r="AD244">
        <f ca="1">IF(T_EMPLOYEES[[#This Row],[EMPLOYEE NUMBER]]="","",IF(AND(T_EMPLOYEES[[#This Row],[START DATE]]&gt;0,T_EMPLOYEES[[#This Row],[START DATE]]&lt;TODAY()+60),0,1))</f>
        <v>0</v>
      </c>
      <c r="AE244">
        <f ca="1">IF(T_EMPLOYEES[[#This Row],[EMPLOYEE NUMBER]]="","",MATCH(T_EMPLOYEES[[#This Row],[GENDER]],L_GENDER,0))</f>
        <v>1</v>
      </c>
      <c r="AF244">
        <f ca="1">IF(T_EMPLOYEES[[#This Row],[EMPLOYEE NUMBER]]="","",MATCH(T_EMPLOYEES[[#This Row],[HIRE SOURCE]],L_HIRESOURCE,0))</f>
        <v>4</v>
      </c>
      <c r="AG244">
        <f ca="1">IF(T_EMPLOYEES[[#This Row],[EMPLOYEE NUMBER]]="","",MATCH(T_EMPLOYEES[[#This Row],[ETHNICITY]],L_ETHNICITY,0))</f>
        <v>3</v>
      </c>
      <c r="AH244">
        <f ca="1">IF(T_EMPLOYEES[[#This Row],[EMPLOYEE NUMBER]]="","",MATCH(T_EMPLOYEES[[#This Row],[LOCATION]],L_LOCATION,0))</f>
        <v>2</v>
      </c>
      <c r="AI244">
        <f ca="1">IF(T_EMPLOYEES[[#This Row],[EMPLOYEE NUMBER]]="","",MATCH(T_EMPLOYEES[[#This Row],[DEPARTMENT]],L_DEPARTMENT,0))</f>
        <v>2</v>
      </c>
      <c r="AJ244">
        <f ca="1">IF(T_EMPLOYEES[[#This Row],[EMPLOYEE NUMBER]]="","",MATCH(T_EMPLOYEES[[#This Row],[JOB TYPE]],L_JOBTYPE,0))</f>
        <v>2</v>
      </c>
      <c r="AK244">
        <f ca="1">IF(T_EMPLOYEES[[#This Row],[EMPLOYEE NUMBER]]="","",MATCH(T_EMPLOYEES[[#This Row],[JOB CATEGORY]],L_JOBCATEGORY,0))</f>
        <v>35</v>
      </c>
      <c r="AL244">
        <f ca="1">IF(T_EMPLOYEES[[#This Row],[EMPLOYEE NUMBER]]="","",MATCH(T_EMPLOYEES[[#This Row],[JOB LEVEL]],L_JOBLEVEL,0))</f>
        <v>1</v>
      </c>
      <c r="AM244">
        <f ca="1">IF(T_EMPLOYEES[[#This Row],[EMPLOYEE NUMBER]]="","",MATCH(T_EMPLOYEES[[#This Row],[JOB TITLE]],L_JOBTITLE,0))</f>
        <v>35</v>
      </c>
      <c r="AN244">
        <f ca="1">IF(T_EMPLOYEES[[#This Row],[EMPLOYEE NUMBER]]="","",MATCH(T_EMPLOYEES[[#This Row],[MANAGER]],L_EMPLABELS,0))</f>
        <v>108</v>
      </c>
      <c r="AO244">
        <f ca="1">IF(T_EMPLOYEES[[#This Row],[EMPLOYEE NUMBER]]="","",IF(T_EMPLOYEES[[#This Row],[ERROR]]="",0,1))</f>
        <v>0</v>
      </c>
      <c r="AP24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5" spans="1:42">
      <c r="A245" t="s">
        <v>639</v>
      </c>
      <c r="B245" t="s">
        <v>908</v>
      </c>
      <c r="C245">
        <v>1032636</v>
      </c>
      <c r="D245" t="s">
        <v>909</v>
      </c>
      <c r="E245" s="26">
        <v>34107</v>
      </c>
      <c r="F245" s="26">
        <v>45042</v>
      </c>
      <c r="H245" t="s">
        <v>27</v>
      </c>
      <c r="I245" t="s">
        <v>54</v>
      </c>
      <c r="J245" t="s">
        <v>64</v>
      </c>
      <c r="K245" t="s">
        <v>30</v>
      </c>
      <c r="L245" s="27" t="s">
        <v>45</v>
      </c>
      <c r="M245" t="s">
        <v>46</v>
      </c>
      <c r="N245" t="s">
        <v>128</v>
      </c>
      <c r="O245" t="s">
        <v>60</v>
      </c>
      <c r="P245" t="s">
        <v>128</v>
      </c>
      <c r="Q245" t="s">
        <v>910</v>
      </c>
      <c r="R245">
        <v>4</v>
      </c>
      <c r="S245" s="1">
        <v>250000</v>
      </c>
      <c r="T245" s="1">
        <f ca="1">ROUND(T_EMPLOYEES[[#This Row],[EMP_CTC1]]/12, 0)</f>
        <v>20833</v>
      </c>
      <c r="U245" s="1">
        <v>150000</v>
      </c>
      <c r="V245" s="1" t="s">
        <v>207</v>
      </c>
      <c r="W245" s="1" t="s">
        <v>207</v>
      </c>
      <c r="X24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Shaik Nazeer (1032636)</v>
      </c>
      <c r="Y245">
        <v>100000</v>
      </c>
      <c r="Z245" s="29">
        <f t="shared" ca="1" si="4"/>
        <v>40</v>
      </c>
      <c r="AA245">
        <f ca="1">IF(T_EMPLOYEES[[#This Row],[EMPLOYEE NUMBER]]="","",ROW(T_EMPLOYEES[[#This Row],[EMPLOYEE LABEL]])-ROW(T_EMPLOYEES[[#Headers],[EMPLOYEE LABEL]]))</f>
        <v>242</v>
      </c>
      <c r="AB245">
        <f ca="1">IF(T_EMPLOYEES[[#This Row],[EMPLOYEE NUMBER]]="","",IF(COUNTIF(T_EMPLOYEES[EMPLOYEE NUMBER],T_EMPLOYEES[[#This Row],[EMPLOYEE NUMBER]])&gt;1,1,0))</f>
        <v>0</v>
      </c>
      <c r="AC245">
        <f ca="1">IF(T_EMPLOYEES[[#This Row],[EMPLOYEE NUMBER]]="","",IF(AND(T_EMPLOYEES[[#This Row],[DATE OF BIRTH]]&gt;0,T_EMPLOYEES[[#This Row],[DATE OF BIRTH]]&lt;TODAY()),0,1))</f>
        <v>0</v>
      </c>
      <c r="AD245">
        <f ca="1">IF(T_EMPLOYEES[[#This Row],[EMPLOYEE NUMBER]]="","",IF(AND(T_EMPLOYEES[[#This Row],[START DATE]]&gt;0,T_EMPLOYEES[[#This Row],[START DATE]]&lt;TODAY()+60),0,1))</f>
        <v>0</v>
      </c>
      <c r="AE245">
        <f ca="1">IF(T_EMPLOYEES[[#This Row],[EMPLOYEE NUMBER]]="","",MATCH(T_EMPLOYEES[[#This Row],[GENDER]],L_GENDER,0))</f>
        <v>1</v>
      </c>
      <c r="AF245">
        <f ca="1">IF(T_EMPLOYEES[[#This Row],[EMPLOYEE NUMBER]]="","",MATCH(T_EMPLOYEES[[#This Row],[HIRE SOURCE]],L_HIRESOURCE,0))</f>
        <v>4</v>
      </c>
      <c r="AG245">
        <f ca="1">IF(T_EMPLOYEES[[#This Row],[EMPLOYEE NUMBER]]="","",MATCH(T_EMPLOYEES[[#This Row],[ETHNICITY]],L_ETHNICITY,0))</f>
        <v>3</v>
      </c>
      <c r="AH245">
        <f ca="1">IF(T_EMPLOYEES[[#This Row],[EMPLOYEE NUMBER]]="","",MATCH(T_EMPLOYEES[[#This Row],[LOCATION]],L_LOCATION,0))</f>
        <v>1</v>
      </c>
      <c r="AI245">
        <f ca="1">IF(T_EMPLOYEES[[#This Row],[EMPLOYEE NUMBER]]="","",MATCH(T_EMPLOYEES[[#This Row],[DEPARTMENT]],L_DEPARTMENT,0))</f>
        <v>2</v>
      </c>
      <c r="AJ245">
        <f ca="1">IF(T_EMPLOYEES[[#This Row],[EMPLOYEE NUMBER]]="","",MATCH(T_EMPLOYEES[[#This Row],[JOB TYPE]],L_JOBTYPE,0))</f>
        <v>2</v>
      </c>
      <c r="AK245">
        <f ca="1">IF(T_EMPLOYEES[[#This Row],[EMPLOYEE NUMBER]]="","",MATCH(T_EMPLOYEES[[#This Row],[JOB CATEGORY]],L_JOBCATEGORY,0))</f>
        <v>15</v>
      </c>
      <c r="AL245">
        <f ca="1">IF(T_EMPLOYEES[[#This Row],[EMPLOYEE NUMBER]]="","",MATCH(T_EMPLOYEES[[#This Row],[JOB LEVEL]],L_JOBLEVEL,0))</f>
        <v>3</v>
      </c>
      <c r="AM245">
        <f ca="1">IF(T_EMPLOYEES[[#This Row],[EMPLOYEE NUMBER]]="","",MATCH(T_EMPLOYEES[[#This Row],[JOB TITLE]],L_JOBTITLE,0))</f>
        <v>15</v>
      </c>
      <c r="AN245">
        <f ca="1">IF(T_EMPLOYEES[[#This Row],[EMPLOYEE NUMBER]]="","",MATCH(T_EMPLOYEES[[#This Row],[MANAGER]],L_EMPLABELS,0))</f>
        <v>36</v>
      </c>
      <c r="AO245">
        <f ca="1">IF(T_EMPLOYEES[[#This Row],[EMPLOYEE NUMBER]]="","",IF(T_EMPLOYEES[[#This Row],[ERROR]]="",0,1))</f>
        <v>0</v>
      </c>
      <c r="AP24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6" spans="1:42">
      <c r="A246" t="s">
        <v>911</v>
      </c>
      <c r="C246">
        <v>1027766</v>
      </c>
      <c r="D246" t="s">
        <v>912</v>
      </c>
      <c r="E246" s="26">
        <v>34121</v>
      </c>
      <c r="F246" s="26">
        <v>44552</v>
      </c>
      <c r="H246" t="s">
        <v>27</v>
      </c>
      <c r="I246" t="s">
        <v>54</v>
      </c>
      <c r="J246" t="s">
        <v>64</v>
      </c>
      <c r="K246" t="s">
        <v>43</v>
      </c>
      <c r="L246" s="27" t="s">
        <v>45</v>
      </c>
      <c r="M246" t="s">
        <v>46</v>
      </c>
      <c r="N246" t="s">
        <v>148</v>
      </c>
      <c r="O246" t="s">
        <v>48</v>
      </c>
      <c r="P246" t="s">
        <v>148</v>
      </c>
      <c r="Q246" t="s">
        <v>418</v>
      </c>
      <c r="R246" s="27">
        <v>4</v>
      </c>
      <c r="S246" s="1">
        <v>250000</v>
      </c>
      <c r="T246" s="1">
        <f ca="1">ROUND(T_EMPLOYEES[[#This Row],[EMP_CTC1]]/12, 0)</f>
        <v>20833</v>
      </c>
      <c r="U246" s="1">
        <v>150000</v>
      </c>
      <c r="V246" s="1" t="s">
        <v>207</v>
      </c>
      <c r="W246" s="1" t="s">
        <v>207</v>
      </c>
      <c r="X24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Siddanna  (1027766)</v>
      </c>
      <c r="Y246">
        <v>100000</v>
      </c>
      <c r="Z246" s="29">
        <f t="shared" ca="1" si="4"/>
        <v>40</v>
      </c>
      <c r="AA246">
        <f ca="1">IF(T_EMPLOYEES[[#This Row],[EMPLOYEE NUMBER]]="","",ROW(T_EMPLOYEES[[#This Row],[EMPLOYEE LABEL]])-ROW(T_EMPLOYEES[[#Headers],[EMPLOYEE LABEL]]))</f>
        <v>243</v>
      </c>
      <c r="AB246">
        <f ca="1">IF(T_EMPLOYEES[[#This Row],[EMPLOYEE NUMBER]]="","",IF(COUNTIF(T_EMPLOYEES[EMPLOYEE NUMBER],T_EMPLOYEES[[#This Row],[EMPLOYEE NUMBER]])&gt;1,1,0))</f>
        <v>0</v>
      </c>
      <c r="AC246">
        <f ca="1">IF(T_EMPLOYEES[[#This Row],[EMPLOYEE NUMBER]]="","",IF(AND(T_EMPLOYEES[[#This Row],[DATE OF BIRTH]]&gt;0,T_EMPLOYEES[[#This Row],[DATE OF BIRTH]]&lt;TODAY()),0,1))</f>
        <v>0</v>
      </c>
      <c r="AD246">
        <f ca="1">IF(T_EMPLOYEES[[#This Row],[EMPLOYEE NUMBER]]="","",IF(AND(T_EMPLOYEES[[#This Row],[START DATE]]&gt;0,T_EMPLOYEES[[#This Row],[START DATE]]&lt;TODAY()+60),0,1))</f>
        <v>0</v>
      </c>
      <c r="AE246">
        <f ca="1">IF(T_EMPLOYEES[[#This Row],[EMPLOYEE NUMBER]]="","",MATCH(T_EMPLOYEES[[#This Row],[GENDER]],L_GENDER,0))</f>
        <v>1</v>
      </c>
      <c r="AF246">
        <f ca="1">IF(T_EMPLOYEES[[#This Row],[EMPLOYEE NUMBER]]="","",MATCH(T_EMPLOYEES[[#This Row],[HIRE SOURCE]],L_HIRESOURCE,0))</f>
        <v>4</v>
      </c>
      <c r="AG246">
        <f ca="1">IF(T_EMPLOYEES[[#This Row],[EMPLOYEE NUMBER]]="","",MATCH(T_EMPLOYEES[[#This Row],[ETHNICITY]],L_ETHNICITY,0))</f>
        <v>3</v>
      </c>
      <c r="AH246">
        <f ca="1">IF(T_EMPLOYEES[[#This Row],[EMPLOYEE NUMBER]]="","",MATCH(T_EMPLOYEES[[#This Row],[LOCATION]],L_LOCATION,0))</f>
        <v>2</v>
      </c>
      <c r="AI246">
        <f ca="1">IF(T_EMPLOYEES[[#This Row],[EMPLOYEE NUMBER]]="","",MATCH(T_EMPLOYEES[[#This Row],[DEPARTMENT]],L_DEPARTMENT,0))</f>
        <v>2</v>
      </c>
      <c r="AJ246">
        <f ca="1">IF(T_EMPLOYEES[[#This Row],[EMPLOYEE NUMBER]]="","",MATCH(T_EMPLOYEES[[#This Row],[JOB TYPE]],L_JOBTYPE,0))</f>
        <v>2</v>
      </c>
      <c r="AK246">
        <f ca="1">IF(T_EMPLOYEES[[#This Row],[EMPLOYEE NUMBER]]="","",MATCH(T_EMPLOYEES[[#This Row],[JOB CATEGORY]],L_JOBCATEGORY,0))</f>
        <v>27</v>
      </c>
      <c r="AL246">
        <f ca="1">IF(T_EMPLOYEES[[#This Row],[EMPLOYEE NUMBER]]="","",MATCH(T_EMPLOYEES[[#This Row],[JOB LEVEL]],L_JOBLEVEL,0))</f>
        <v>2</v>
      </c>
      <c r="AM246">
        <f ca="1">IF(T_EMPLOYEES[[#This Row],[EMPLOYEE NUMBER]]="","",MATCH(T_EMPLOYEES[[#This Row],[JOB TITLE]],L_JOBTITLE,0))</f>
        <v>27</v>
      </c>
      <c r="AN246">
        <f ca="1">IF(T_EMPLOYEES[[#This Row],[EMPLOYEE NUMBER]]="","",MATCH(T_EMPLOYEES[[#This Row],[MANAGER]],L_EMPLABELS,0))</f>
        <v>120</v>
      </c>
      <c r="AO246">
        <f ca="1">IF(T_EMPLOYEES[[#This Row],[EMPLOYEE NUMBER]]="","",IF(T_EMPLOYEES[[#This Row],[ERROR]]="",0,1))</f>
        <v>0</v>
      </c>
      <c r="AP24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7" spans="1:42">
      <c r="A247" t="s">
        <v>913</v>
      </c>
      <c r="B247" t="s">
        <v>914</v>
      </c>
      <c r="C247">
        <v>1033106</v>
      </c>
      <c r="D247" t="s">
        <v>915</v>
      </c>
      <c r="E247" s="26">
        <v>34125</v>
      </c>
      <c r="F247" s="26">
        <v>45135</v>
      </c>
      <c r="H247" t="s">
        <v>27</v>
      </c>
      <c r="I247" t="s">
        <v>54</v>
      </c>
      <c r="J247" t="s">
        <v>64</v>
      </c>
      <c r="K247" t="s">
        <v>43</v>
      </c>
      <c r="L247" s="27" t="s">
        <v>45</v>
      </c>
      <c r="M247" t="s">
        <v>46</v>
      </c>
      <c r="N247" t="s">
        <v>111</v>
      </c>
      <c r="O247" t="s">
        <v>71</v>
      </c>
      <c r="P247" t="s">
        <v>111</v>
      </c>
      <c r="Q247" t="s">
        <v>608</v>
      </c>
      <c r="R247">
        <v>5</v>
      </c>
      <c r="S247" s="1">
        <v>250000</v>
      </c>
      <c r="T247" s="1">
        <f ca="1">ROUND(T_EMPLOYEES[[#This Row],[EMP_CTC1]]/12, 0)</f>
        <v>20833</v>
      </c>
      <c r="U247" s="1">
        <v>150000</v>
      </c>
      <c r="V247" s="1" t="s">
        <v>207</v>
      </c>
      <c r="W247" s="1" t="s">
        <v>207</v>
      </c>
      <c r="X24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Kotla Mariyababu (1033106)</v>
      </c>
      <c r="Y247">
        <v>100000</v>
      </c>
      <c r="Z247" s="29">
        <f t="shared" ca="1" si="4"/>
        <v>40</v>
      </c>
      <c r="AA247">
        <f ca="1">IF(T_EMPLOYEES[[#This Row],[EMPLOYEE NUMBER]]="","",ROW(T_EMPLOYEES[[#This Row],[EMPLOYEE LABEL]])-ROW(T_EMPLOYEES[[#Headers],[EMPLOYEE LABEL]]))</f>
        <v>244</v>
      </c>
      <c r="AB247">
        <f ca="1">IF(T_EMPLOYEES[[#This Row],[EMPLOYEE NUMBER]]="","",IF(COUNTIF(T_EMPLOYEES[EMPLOYEE NUMBER],T_EMPLOYEES[[#This Row],[EMPLOYEE NUMBER]])&gt;1,1,0))</f>
        <v>0</v>
      </c>
      <c r="AC247">
        <f ca="1">IF(T_EMPLOYEES[[#This Row],[EMPLOYEE NUMBER]]="","",IF(AND(T_EMPLOYEES[[#This Row],[DATE OF BIRTH]]&gt;0,T_EMPLOYEES[[#This Row],[DATE OF BIRTH]]&lt;TODAY()),0,1))</f>
        <v>0</v>
      </c>
      <c r="AD247">
        <f ca="1">IF(T_EMPLOYEES[[#This Row],[EMPLOYEE NUMBER]]="","",IF(AND(T_EMPLOYEES[[#This Row],[START DATE]]&gt;0,T_EMPLOYEES[[#This Row],[START DATE]]&lt;TODAY()+60),0,1))</f>
        <v>0</v>
      </c>
      <c r="AE247">
        <f ca="1">IF(T_EMPLOYEES[[#This Row],[EMPLOYEE NUMBER]]="","",MATCH(T_EMPLOYEES[[#This Row],[GENDER]],L_GENDER,0))</f>
        <v>1</v>
      </c>
      <c r="AF247">
        <f ca="1">IF(T_EMPLOYEES[[#This Row],[EMPLOYEE NUMBER]]="","",MATCH(T_EMPLOYEES[[#This Row],[HIRE SOURCE]],L_HIRESOURCE,0))</f>
        <v>4</v>
      </c>
      <c r="AG247">
        <f ca="1">IF(T_EMPLOYEES[[#This Row],[EMPLOYEE NUMBER]]="","",MATCH(T_EMPLOYEES[[#This Row],[ETHNICITY]],L_ETHNICITY,0))</f>
        <v>3</v>
      </c>
      <c r="AH247">
        <f ca="1">IF(T_EMPLOYEES[[#This Row],[EMPLOYEE NUMBER]]="","",MATCH(T_EMPLOYEES[[#This Row],[LOCATION]],L_LOCATION,0))</f>
        <v>2</v>
      </c>
      <c r="AI247">
        <f ca="1">IF(T_EMPLOYEES[[#This Row],[EMPLOYEE NUMBER]]="","",MATCH(T_EMPLOYEES[[#This Row],[DEPARTMENT]],L_DEPARTMENT,0))</f>
        <v>2</v>
      </c>
      <c r="AJ247">
        <f ca="1">IF(T_EMPLOYEES[[#This Row],[EMPLOYEE NUMBER]]="","",MATCH(T_EMPLOYEES[[#This Row],[JOB TYPE]],L_JOBTYPE,0))</f>
        <v>2</v>
      </c>
      <c r="AK247">
        <f ca="1">IF(T_EMPLOYEES[[#This Row],[EMPLOYEE NUMBER]]="","",MATCH(T_EMPLOYEES[[#This Row],[JOB CATEGORY]],L_JOBCATEGORY,0))</f>
        <v>10</v>
      </c>
      <c r="AL247">
        <f ca="1">IF(T_EMPLOYEES[[#This Row],[EMPLOYEE NUMBER]]="","",MATCH(T_EMPLOYEES[[#This Row],[JOB LEVEL]],L_JOBLEVEL,0))</f>
        <v>4</v>
      </c>
      <c r="AM247">
        <f ca="1">IF(T_EMPLOYEES[[#This Row],[EMPLOYEE NUMBER]]="","",MATCH(T_EMPLOYEES[[#This Row],[JOB TITLE]],L_JOBTITLE,0))</f>
        <v>10</v>
      </c>
      <c r="AN247">
        <f ca="1">IF(T_EMPLOYEES[[#This Row],[EMPLOYEE NUMBER]]="","",MATCH(T_EMPLOYEES[[#This Row],[MANAGER]],L_EMPLABELS,0))</f>
        <v>105</v>
      </c>
      <c r="AO247">
        <f ca="1">IF(T_EMPLOYEES[[#This Row],[EMPLOYEE NUMBER]]="","",IF(T_EMPLOYEES[[#This Row],[ERROR]]="",0,1))</f>
        <v>0</v>
      </c>
      <c r="AP24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8" spans="1:42">
      <c r="A248" t="s">
        <v>916</v>
      </c>
      <c r="B248" t="s">
        <v>917</v>
      </c>
      <c r="C248">
        <v>1033117</v>
      </c>
      <c r="D248" t="s">
        <v>918</v>
      </c>
      <c r="E248" s="26">
        <v>34132</v>
      </c>
      <c r="F248" s="26">
        <v>45138</v>
      </c>
      <c r="H248" t="s">
        <v>27</v>
      </c>
      <c r="I248" t="s">
        <v>54</v>
      </c>
      <c r="J248" t="s">
        <v>64</v>
      </c>
      <c r="K248" t="s">
        <v>30</v>
      </c>
      <c r="L248" s="27" t="s">
        <v>45</v>
      </c>
      <c r="M248" t="s">
        <v>46</v>
      </c>
      <c r="N248" t="s">
        <v>128</v>
      </c>
      <c r="O248" t="s">
        <v>60</v>
      </c>
      <c r="P248" t="s">
        <v>128</v>
      </c>
      <c r="Q248" t="s">
        <v>608</v>
      </c>
      <c r="R248" s="27">
        <v>4</v>
      </c>
      <c r="S248" s="1">
        <v>250000</v>
      </c>
      <c r="T248" s="1">
        <f ca="1">ROUND(T_EMPLOYEES[[#This Row],[EMP_CTC1]]/12, 0)</f>
        <v>20833</v>
      </c>
      <c r="U248" s="1">
        <v>150000</v>
      </c>
      <c r="V248" s="1" t="s">
        <v>207</v>
      </c>
      <c r="W248" s="1" t="s">
        <v>207</v>
      </c>
      <c r="X24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Sarvesh Duragannavar (1033117)</v>
      </c>
      <c r="Y248">
        <v>100000</v>
      </c>
      <c r="Z248" s="29">
        <f t="shared" ca="1" si="4"/>
        <v>40</v>
      </c>
      <c r="AA248">
        <f ca="1">IF(T_EMPLOYEES[[#This Row],[EMPLOYEE NUMBER]]="","",ROW(T_EMPLOYEES[[#This Row],[EMPLOYEE LABEL]])-ROW(T_EMPLOYEES[[#Headers],[EMPLOYEE LABEL]]))</f>
        <v>245</v>
      </c>
      <c r="AB248">
        <f ca="1">IF(T_EMPLOYEES[[#This Row],[EMPLOYEE NUMBER]]="","",IF(COUNTIF(T_EMPLOYEES[EMPLOYEE NUMBER],T_EMPLOYEES[[#This Row],[EMPLOYEE NUMBER]])&gt;1,1,0))</f>
        <v>0</v>
      </c>
      <c r="AC248">
        <f ca="1">IF(T_EMPLOYEES[[#This Row],[EMPLOYEE NUMBER]]="","",IF(AND(T_EMPLOYEES[[#This Row],[DATE OF BIRTH]]&gt;0,T_EMPLOYEES[[#This Row],[DATE OF BIRTH]]&lt;TODAY()),0,1))</f>
        <v>0</v>
      </c>
      <c r="AD248">
        <f ca="1">IF(T_EMPLOYEES[[#This Row],[EMPLOYEE NUMBER]]="","",IF(AND(T_EMPLOYEES[[#This Row],[START DATE]]&gt;0,T_EMPLOYEES[[#This Row],[START DATE]]&lt;TODAY()+60),0,1))</f>
        <v>0</v>
      </c>
      <c r="AE248">
        <f ca="1">IF(T_EMPLOYEES[[#This Row],[EMPLOYEE NUMBER]]="","",MATCH(T_EMPLOYEES[[#This Row],[GENDER]],L_GENDER,0))</f>
        <v>1</v>
      </c>
      <c r="AF248">
        <f ca="1">IF(T_EMPLOYEES[[#This Row],[EMPLOYEE NUMBER]]="","",MATCH(T_EMPLOYEES[[#This Row],[HIRE SOURCE]],L_HIRESOURCE,0))</f>
        <v>4</v>
      </c>
      <c r="AG248">
        <f ca="1">IF(T_EMPLOYEES[[#This Row],[EMPLOYEE NUMBER]]="","",MATCH(T_EMPLOYEES[[#This Row],[ETHNICITY]],L_ETHNICITY,0))</f>
        <v>3</v>
      </c>
      <c r="AH248">
        <f ca="1">IF(T_EMPLOYEES[[#This Row],[EMPLOYEE NUMBER]]="","",MATCH(T_EMPLOYEES[[#This Row],[LOCATION]],L_LOCATION,0))</f>
        <v>1</v>
      </c>
      <c r="AI248">
        <f ca="1">IF(T_EMPLOYEES[[#This Row],[EMPLOYEE NUMBER]]="","",MATCH(T_EMPLOYEES[[#This Row],[DEPARTMENT]],L_DEPARTMENT,0))</f>
        <v>2</v>
      </c>
      <c r="AJ248">
        <f ca="1">IF(T_EMPLOYEES[[#This Row],[EMPLOYEE NUMBER]]="","",MATCH(T_EMPLOYEES[[#This Row],[JOB TYPE]],L_JOBTYPE,0))</f>
        <v>2</v>
      </c>
      <c r="AK248">
        <f ca="1">IF(T_EMPLOYEES[[#This Row],[EMPLOYEE NUMBER]]="","",MATCH(T_EMPLOYEES[[#This Row],[JOB CATEGORY]],L_JOBCATEGORY,0))</f>
        <v>15</v>
      </c>
      <c r="AL248">
        <f ca="1">IF(T_EMPLOYEES[[#This Row],[EMPLOYEE NUMBER]]="","",MATCH(T_EMPLOYEES[[#This Row],[JOB LEVEL]],L_JOBLEVEL,0))</f>
        <v>3</v>
      </c>
      <c r="AM248">
        <f ca="1">IF(T_EMPLOYEES[[#This Row],[EMPLOYEE NUMBER]]="","",MATCH(T_EMPLOYEES[[#This Row],[JOB TITLE]],L_JOBTITLE,0))</f>
        <v>15</v>
      </c>
      <c r="AN248">
        <f ca="1">IF(T_EMPLOYEES[[#This Row],[EMPLOYEE NUMBER]]="","",MATCH(T_EMPLOYEES[[#This Row],[MANAGER]],L_EMPLABELS,0))</f>
        <v>105</v>
      </c>
      <c r="AO248">
        <f ca="1">IF(T_EMPLOYEES[[#This Row],[EMPLOYEE NUMBER]]="","",IF(T_EMPLOYEES[[#This Row],[ERROR]]="",0,1))</f>
        <v>0</v>
      </c>
      <c r="AP24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9" spans="1:42">
      <c r="A249" t="s">
        <v>919</v>
      </c>
      <c r="B249" t="s">
        <v>920</v>
      </c>
      <c r="C249">
        <v>1018593</v>
      </c>
      <c r="D249" t="s">
        <v>921</v>
      </c>
      <c r="E249" s="26">
        <v>34135</v>
      </c>
      <c r="F249" s="26">
        <v>42578</v>
      </c>
      <c r="H249" t="s">
        <v>27</v>
      </c>
      <c r="I249" t="s">
        <v>54</v>
      </c>
      <c r="J249" t="s">
        <v>64</v>
      </c>
      <c r="K249" t="s">
        <v>30</v>
      </c>
      <c r="L249" s="27" t="s">
        <v>114</v>
      </c>
      <c r="M249" t="s">
        <v>46</v>
      </c>
      <c r="N249" t="s">
        <v>111</v>
      </c>
      <c r="O249" t="s">
        <v>71</v>
      </c>
      <c r="P249" t="s">
        <v>111</v>
      </c>
      <c r="Q249" t="s">
        <v>505</v>
      </c>
      <c r="R249">
        <v>5</v>
      </c>
      <c r="S249" s="1">
        <v>250000</v>
      </c>
      <c r="T249" s="1">
        <f ca="1">ROUND(T_EMPLOYEES[[#This Row],[EMP_CTC1]]/12, 0)</f>
        <v>20833</v>
      </c>
      <c r="U249" s="1">
        <v>150000</v>
      </c>
      <c r="V249" s="1" t="s">
        <v>207</v>
      </c>
      <c r="W249" s="1" t="s">
        <v>207</v>
      </c>
      <c r="X24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Sourav Roy (1018593)</v>
      </c>
      <c r="Y249">
        <v>100000</v>
      </c>
      <c r="Z249" s="29">
        <f t="shared" ca="1" si="4"/>
        <v>40</v>
      </c>
      <c r="AA249">
        <f ca="1">IF(T_EMPLOYEES[[#This Row],[EMPLOYEE NUMBER]]="","",ROW(T_EMPLOYEES[[#This Row],[EMPLOYEE LABEL]])-ROW(T_EMPLOYEES[[#Headers],[EMPLOYEE LABEL]]))</f>
        <v>246</v>
      </c>
      <c r="AB249">
        <f ca="1">IF(T_EMPLOYEES[[#This Row],[EMPLOYEE NUMBER]]="","",IF(COUNTIF(T_EMPLOYEES[EMPLOYEE NUMBER],T_EMPLOYEES[[#This Row],[EMPLOYEE NUMBER]])&gt;1,1,0))</f>
        <v>0</v>
      </c>
      <c r="AC249">
        <f ca="1">IF(T_EMPLOYEES[[#This Row],[EMPLOYEE NUMBER]]="","",IF(AND(T_EMPLOYEES[[#This Row],[DATE OF BIRTH]]&gt;0,T_EMPLOYEES[[#This Row],[DATE OF BIRTH]]&lt;TODAY()),0,1))</f>
        <v>0</v>
      </c>
      <c r="AD249">
        <f ca="1">IF(T_EMPLOYEES[[#This Row],[EMPLOYEE NUMBER]]="","",IF(AND(T_EMPLOYEES[[#This Row],[START DATE]]&gt;0,T_EMPLOYEES[[#This Row],[START DATE]]&lt;TODAY()+60),0,1))</f>
        <v>0</v>
      </c>
      <c r="AE249">
        <f ca="1">IF(T_EMPLOYEES[[#This Row],[EMPLOYEE NUMBER]]="","",MATCH(T_EMPLOYEES[[#This Row],[GENDER]],L_GENDER,0))</f>
        <v>1</v>
      </c>
      <c r="AF249">
        <f ca="1">IF(T_EMPLOYEES[[#This Row],[EMPLOYEE NUMBER]]="","",MATCH(T_EMPLOYEES[[#This Row],[HIRE SOURCE]],L_HIRESOURCE,0))</f>
        <v>4</v>
      </c>
      <c r="AG249">
        <f ca="1">IF(T_EMPLOYEES[[#This Row],[EMPLOYEE NUMBER]]="","",MATCH(T_EMPLOYEES[[#This Row],[ETHNICITY]],L_ETHNICITY,0))</f>
        <v>3</v>
      </c>
      <c r="AH249">
        <f ca="1">IF(T_EMPLOYEES[[#This Row],[EMPLOYEE NUMBER]]="","",MATCH(T_EMPLOYEES[[#This Row],[LOCATION]],L_LOCATION,0))</f>
        <v>1</v>
      </c>
      <c r="AI249">
        <f ca="1">IF(T_EMPLOYEES[[#This Row],[EMPLOYEE NUMBER]]="","",MATCH(T_EMPLOYEES[[#This Row],[DEPARTMENT]],L_DEPARTMENT,0))</f>
        <v>11</v>
      </c>
      <c r="AJ249">
        <f ca="1">IF(T_EMPLOYEES[[#This Row],[EMPLOYEE NUMBER]]="","",MATCH(T_EMPLOYEES[[#This Row],[JOB TYPE]],L_JOBTYPE,0))</f>
        <v>2</v>
      </c>
      <c r="AK249">
        <f ca="1">IF(T_EMPLOYEES[[#This Row],[EMPLOYEE NUMBER]]="","",MATCH(T_EMPLOYEES[[#This Row],[JOB CATEGORY]],L_JOBCATEGORY,0))</f>
        <v>10</v>
      </c>
      <c r="AL249">
        <f ca="1">IF(T_EMPLOYEES[[#This Row],[EMPLOYEE NUMBER]]="","",MATCH(T_EMPLOYEES[[#This Row],[JOB LEVEL]],L_JOBLEVEL,0))</f>
        <v>4</v>
      </c>
      <c r="AM249">
        <f ca="1">IF(T_EMPLOYEES[[#This Row],[EMPLOYEE NUMBER]]="","",MATCH(T_EMPLOYEES[[#This Row],[JOB TITLE]],L_JOBTITLE,0))</f>
        <v>10</v>
      </c>
      <c r="AN249">
        <f ca="1">IF(T_EMPLOYEES[[#This Row],[EMPLOYEE NUMBER]]="","",MATCH(T_EMPLOYEES[[#This Row],[MANAGER]],L_EMPLABELS,0))</f>
        <v>57</v>
      </c>
      <c r="AO249">
        <f ca="1">IF(T_EMPLOYEES[[#This Row],[EMPLOYEE NUMBER]]="","",IF(T_EMPLOYEES[[#This Row],[ERROR]]="",0,1))</f>
        <v>0</v>
      </c>
      <c r="AP24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0" spans="1:42">
      <c r="A250" t="s">
        <v>51</v>
      </c>
      <c r="B250" t="s">
        <v>922</v>
      </c>
      <c r="C250">
        <v>1031775</v>
      </c>
      <c r="D250" t="s">
        <v>923</v>
      </c>
      <c r="E250" s="26">
        <v>34135</v>
      </c>
      <c r="F250" s="26">
        <v>44904</v>
      </c>
      <c r="H250" t="s">
        <v>27</v>
      </c>
      <c r="I250" t="s">
        <v>54</v>
      </c>
      <c r="J250" t="s">
        <v>64</v>
      </c>
      <c r="K250" t="s">
        <v>30</v>
      </c>
      <c r="L250" s="27" t="s">
        <v>45</v>
      </c>
      <c r="M250" t="s">
        <v>46</v>
      </c>
      <c r="N250" t="s">
        <v>154</v>
      </c>
      <c r="O250" t="s">
        <v>71</v>
      </c>
      <c r="P250" t="s">
        <v>154</v>
      </c>
      <c r="Q250" t="s">
        <v>304</v>
      </c>
      <c r="R250" s="27">
        <v>5</v>
      </c>
      <c r="S250" s="1">
        <v>250000</v>
      </c>
      <c r="T250" s="1">
        <f ca="1">ROUND(T_EMPLOYEES[[#This Row],[EMP_CTC1]]/12, 0)</f>
        <v>20833</v>
      </c>
      <c r="U250" s="1">
        <v>150000</v>
      </c>
      <c r="V250" s="1" t="s">
        <v>207</v>
      </c>
      <c r="W250" s="1" t="s">
        <v>207</v>
      </c>
      <c r="X25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 Yuvaraj (1031775)</v>
      </c>
      <c r="Y250">
        <v>100000</v>
      </c>
      <c r="Z250" s="29">
        <f t="shared" ca="1" si="4"/>
        <v>40</v>
      </c>
      <c r="AA250">
        <f ca="1">IF(T_EMPLOYEES[[#This Row],[EMPLOYEE NUMBER]]="","",ROW(T_EMPLOYEES[[#This Row],[EMPLOYEE LABEL]])-ROW(T_EMPLOYEES[[#Headers],[EMPLOYEE LABEL]]))</f>
        <v>247</v>
      </c>
      <c r="AB250">
        <f ca="1">IF(T_EMPLOYEES[[#This Row],[EMPLOYEE NUMBER]]="","",IF(COUNTIF(T_EMPLOYEES[EMPLOYEE NUMBER],T_EMPLOYEES[[#This Row],[EMPLOYEE NUMBER]])&gt;1,1,0))</f>
        <v>0</v>
      </c>
      <c r="AC250">
        <f ca="1">IF(T_EMPLOYEES[[#This Row],[EMPLOYEE NUMBER]]="","",IF(AND(T_EMPLOYEES[[#This Row],[DATE OF BIRTH]]&gt;0,T_EMPLOYEES[[#This Row],[DATE OF BIRTH]]&lt;TODAY()),0,1))</f>
        <v>0</v>
      </c>
      <c r="AD250">
        <f ca="1">IF(T_EMPLOYEES[[#This Row],[EMPLOYEE NUMBER]]="","",IF(AND(T_EMPLOYEES[[#This Row],[START DATE]]&gt;0,T_EMPLOYEES[[#This Row],[START DATE]]&lt;TODAY()+60),0,1))</f>
        <v>0</v>
      </c>
      <c r="AE250">
        <f ca="1">IF(T_EMPLOYEES[[#This Row],[EMPLOYEE NUMBER]]="","",MATCH(T_EMPLOYEES[[#This Row],[GENDER]],L_GENDER,0))</f>
        <v>1</v>
      </c>
      <c r="AF250">
        <f ca="1">IF(T_EMPLOYEES[[#This Row],[EMPLOYEE NUMBER]]="","",MATCH(T_EMPLOYEES[[#This Row],[HIRE SOURCE]],L_HIRESOURCE,0))</f>
        <v>4</v>
      </c>
      <c r="AG250">
        <f ca="1">IF(T_EMPLOYEES[[#This Row],[EMPLOYEE NUMBER]]="","",MATCH(T_EMPLOYEES[[#This Row],[ETHNICITY]],L_ETHNICITY,0))</f>
        <v>3</v>
      </c>
      <c r="AH250">
        <f ca="1">IF(T_EMPLOYEES[[#This Row],[EMPLOYEE NUMBER]]="","",MATCH(T_EMPLOYEES[[#This Row],[LOCATION]],L_LOCATION,0))</f>
        <v>1</v>
      </c>
      <c r="AI250">
        <f ca="1">IF(T_EMPLOYEES[[#This Row],[EMPLOYEE NUMBER]]="","",MATCH(T_EMPLOYEES[[#This Row],[DEPARTMENT]],L_DEPARTMENT,0))</f>
        <v>2</v>
      </c>
      <c r="AJ250">
        <f ca="1">IF(T_EMPLOYEES[[#This Row],[EMPLOYEE NUMBER]]="","",MATCH(T_EMPLOYEES[[#This Row],[JOB TYPE]],L_JOBTYPE,0))</f>
        <v>2</v>
      </c>
      <c r="AK250">
        <f ca="1">IF(T_EMPLOYEES[[#This Row],[EMPLOYEE NUMBER]]="","",MATCH(T_EMPLOYEES[[#This Row],[JOB CATEGORY]],L_JOBCATEGORY,0))</f>
        <v>33</v>
      </c>
      <c r="AL250">
        <f ca="1">IF(T_EMPLOYEES[[#This Row],[EMPLOYEE NUMBER]]="","",MATCH(T_EMPLOYEES[[#This Row],[JOB LEVEL]],L_JOBLEVEL,0))</f>
        <v>4</v>
      </c>
      <c r="AM250">
        <f ca="1">IF(T_EMPLOYEES[[#This Row],[EMPLOYEE NUMBER]]="","",MATCH(T_EMPLOYEES[[#This Row],[JOB TITLE]],L_JOBTITLE,0))</f>
        <v>33</v>
      </c>
      <c r="AN250">
        <f ca="1">IF(T_EMPLOYEES[[#This Row],[EMPLOYEE NUMBER]]="","",MATCH(T_EMPLOYEES[[#This Row],[MANAGER]],L_EMPLABELS,0))</f>
        <v>27</v>
      </c>
      <c r="AO250">
        <f ca="1">IF(T_EMPLOYEES[[#This Row],[EMPLOYEE NUMBER]]="","",IF(T_EMPLOYEES[[#This Row],[ERROR]]="",0,1))</f>
        <v>0</v>
      </c>
      <c r="AP25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1" spans="1:42">
      <c r="A251" t="s">
        <v>891</v>
      </c>
      <c r="B251" t="s">
        <v>924</v>
      </c>
      <c r="C251">
        <v>1022326</v>
      </c>
      <c r="D251" t="s">
        <v>925</v>
      </c>
      <c r="E251" s="26">
        <v>34136</v>
      </c>
      <c r="F251" s="26">
        <v>43649</v>
      </c>
      <c r="H251" t="s">
        <v>27</v>
      </c>
      <c r="I251" t="s">
        <v>54</v>
      </c>
      <c r="J251" t="s">
        <v>64</v>
      </c>
      <c r="K251" t="s">
        <v>43</v>
      </c>
      <c r="L251" s="27" t="s">
        <v>45</v>
      </c>
      <c r="M251" t="s">
        <v>46</v>
      </c>
      <c r="N251" t="s">
        <v>157</v>
      </c>
      <c r="O251" t="s">
        <v>60</v>
      </c>
      <c r="P251" t="s">
        <v>157</v>
      </c>
      <c r="Q251" t="s">
        <v>215</v>
      </c>
      <c r="R251">
        <v>4</v>
      </c>
      <c r="S251" s="1">
        <v>250000</v>
      </c>
      <c r="T251" s="1">
        <f ca="1">ROUND(T_EMPLOYEES[[#This Row],[EMP_CTC1]]/12, 0)</f>
        <v>20833</v>
      </c>
      <c r="U251" s="1">
        <v>150000</v>
      </c>
      <c r="V251" s="1" t="s">
        <v>207</v>
      </c>
      <c r="W251" s="1" t="s">
        <v>207</v>
      </c>
      <c r="X25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Mohd Mujtaba Farooqui (1022326)</v>
      </c>
      <c r="Y251">
        <v>100000</v>
      </c>
      <c r="Z251" s="29">
        <f t="shared" ca="1" si="4"/>
        <v>40</v>
      </c>
      <c r="AA251">
        <f ca="1">IF(T_EMPLOYEES[[#This Row],[EMPLOYEE NUMBER]]="","",ROW(T_EMPLOYEES[[#This Row],[EMPLOYEE LABEL]])-ROW(T_EMPLOYEES[[#Headers],[EMPLOYEE LABEL]]))</f>
        <v>248</v>
      </c>
      <c r="AB251">
        <f ca="1">IF(T_EMPLOYEES[[#This Row],[EMPLOYEE NUMBER]]="","",IF(COUNTIF(T_EMPLOYEES[EMPLOYEE NUMBER],T_EMPLOYEES[[#This Row],[EMPLOYEE NUMBER]])&gt;1,1,0))</f>
        <v>0</v>
      </c>
      <c r="AC251">
        <f ca="1">IF(T_EMPLOYEES[[#This Row],[EMPLOYEE NUMBER]]="","",IF(AND(T_EMPLOYEES[[#This Row],[DATE OF BIRTH]]&gt;0,T_EMPLOYEES[[#This Row],[DATE OF BIRTH]]&lt;TODAY()),0,1))</f>
        <v>0</v>
      </c>
      <c r="AD251">
        <f ca="1">IF(T_EMPLOYEES[[#This Row],[EMPLOYEE NUMBER]]="","",IF(AND(T_EMPLOYEES[[#This Row],[START DATE]]&gt;0,T_EMPLOYEES[[#This Row],[START DATE]]&lt;TODAY()+60),0,1))</f>
        <v>0</v>
      </c>
      <c r="AE251">
        <f ca="1">IF(T_EMPLOYEES[[#This Row],[EMPLOYEE NUMBER]]="","",MATCH(T_EMPLOYEES[[#This Row],[GENDER]],L_GENDER,0))</f>
        <v>1</v>
      </c>
      <c r="AF251">
        <f ca="1">IF(T_EMPLOYEES[[#This Row],[EMPLOYEE NUMBER]]="","",MATCH(T_EMPLOYEES[[#This Row],[HIRE SOURCE]],L_HIRESOURCE,0))</f>
        <v>4</v>
      </c>
      <c r="AG251">
        <f ca="1">IF(T_EMPLOYEES[[#This Row],[EMPLOYEE NUMBER]]="","",MATCH(T_EMPLOYEES[[#This Row],[ETHNICITY]],L_ETHNICITY,0))</f>
        <v>3</v>
      </c>
      <c r="AH251">
        <f ca="1">IF(T_EMPLOYEES[[#This Row],[EMPLOYEE NUMBER]]="","",MATCH(T_EMPLOYEES[[#This Row],[LOCATION]],L_LOCATION,0))</f>
        <v>2</v>
      </c>
      <c r="AI251">
        <f ca="1">IF(T_EMPLOYEES[[#This Row],[EMPLOYEE NUMBER]]="","",MATCH(T_EMPLOYEES[[#This Row],[DEPARTMENT]],L_DEPARTMENT,0))</f>
        <v>2</v>
      </c>
      <c r="AJ251">
        <f ca="1">IF(T_EMPLOYEES[[#This Row],[EMPLOYEE NUMBER]]="","",MATCH(T_EMPLOYEES[[#This Row],[JOB TYPE]],L_JOBTYPE,0))</f>
        <v>2</v>
      </c>
      <c r="AK251">
        <f ca="1">IF(T_EMPLOYEES[[#This Row],[EMPLOYEE NUMBER]]="","",MATCH(T_EMPLOYEES[[#This Row],[JOB CATEGORY]],L_JOBCATEGORY,0))</f>
        <v>36</v>
      </c>
      <c r="AL251">
        <f ca="1">IF(T_EMPLOYEES[[#This Row],[EMPLOYEE NUMBER]]="","",MATCH(T_EMPLOYEES[[#This Row],[JOB LEVEL]],L_JOBLEVEL,0))</f>
        <v>3</v>
      </c>
      <c r="AM251">
        <f ca="1">IF(T_EMPLOYEES[[#This Row],[EMPLOYEE NUMBER]]="","",MATCH(T_EMPLOYEES[[#This Row],[JOB TITLE]],L_JOBTITLE,0))</f>
        <v>36</v>
      </c>
      <c r="AN251">
        <f ca="1">IF(T_EMPLOYEES[[#This Row],[EMPLOYEE NUMBER]]="","",MATCH(T_EMPLOYEES[[#This Row],[MANAGER]],L_EMPLABELS,0))</f>
        <v>13</v>
      </c>
      <c r="AO251">
        <f ca="1">IF(T_EMPLOYEES[[#This Row],[EMPLOYEE NUMBER]]="","",IF(T_EMPLOYEES[[#This Row],[ERROR]]="",0,1))</f>
        <v>0</v>
      </c>
      <c r="AP25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2" spans="1:42">
      <c r="A252" t="s">
        <v>926</v>
      </c>
      <c r="B252" t="s">
        <v>927</v>
      </c>
      <c r="C252">
        <v>1028236</v>
      </c>
      <c r="D252" t="s">
        <v>928</v>
      </c>
      <c r="E252" s="26">
        <v>34168</v>
      </c>
      <c r="F252" s="26">
        <v>44594</v>
      </c>
      <c r="H252" t="s">
        <v>40</v>
      </c>
      <c r="I252" t="s">
        <v>54</v>
      </c>
      <c r="J252" t="s">
        <v>64</v>
      </c>
      <c r="K252" t="s">
        <v>43</v>
      </c>
      <c r="L252" s="27" t="s">
        <v>45</v>
      </c>
      <c r="M252" t="s">
        <v>46</v>
      </c>
      <c r="N252" t="s">
        <v>128</v>
      </c>
      <c r="O252" t="s">
        <v>60</v>
      </c>
      <c r="P252" t="s">
        <v>128</v>
      </c>
      <c r="Q252" t="s">
        <v>321</v>
      </c>
      <c r="R252" s="27">
        <v>4</v>
      </c>
      <c r="S252" s="1">
        <v>250000</v>
      </c>
      <c r="T252" s="1">
        <f ca="1">ROUND(T_EMPLOYEES[[#This Row],[EMP_CTC1]]/12, 0)</f>
        <v>20833</v>
      </c>
      <c r="U252" s="1">
        <v>150000</v>
      </c>
      <c r="V252" s="1" t="s">
        <v>207</v>
      </c>
      <c r="W252" s="1" t="s">
        <v>207</v>
      </c>
      <c r="X25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Anusha Boda (1028236)</v>
      </c>
      <c r="Y252">
        <v>100000</v>
      </c>
      <c r="Z252" s="29">
        <f t="shared" ca="1" si="4"/>
        <v>40</v>
      </c>
      <c r="AA252">
        <f ca="1">IF(T_EMPLOYEES[[#This Row],[EMPLOYEE NUMBER]]="","",ROW(T_EMPLOYEES[[#This Row],[EMPLOYEE LABEL]])-ROW(T_EMPLOYEES[[#Headers],[EMPLOYEE LABEL]]))</f>
        <v>249</v>
      </c>
      <c r="AB252">
        <f ca="1">IF(T_EMPLOYEES[[#This Row],[EMPLOYEE NUMBER]]="","",IF(COUNTIF(T_EMPLOYEES[EMPLOYEE NUMBER],T_EMPLOYEES[[#This Row],[EMPLOYEE NUMBER]])&gt;1,1,0))</f>
        <v>0</v>
      </c>
      <c r="AC252">
        <f ca="1">IF(T_EMPLOYEES[[#This Row],[EMPLOYEE NUMBER]]="","",IF(AND(T_EMPLOYEES[[#This Row],[DATE OF BIRTH]]&gt;0,T_EMPLOYEES[[#This Row],[DATE OF BIRTH]]&lt;TODAY()),0,1))</f>
        <v>0</v>
      </c>
      <c r="AD252">
        <f ca="1">IF(T_EMPLOYEES[[#This Row],[EMPLOYEE NUMBER]]="","",IF(AND(T_EMPLOYEES[[#This Row],[START DATE]]&gt;0,T_EMPLOYEES[[#This Row],[START DATE]]&lt;TODAY()+60),0,1))</f>
        <v>0</v>
      </c>
      <c r="AE252">
        <f ca="1">IF(T_EMPLOYEES[[#This Row],[EMPLOYEE NUMBER]]="","",MATCH(T_EMPLOYEES[[#This Row],[GENDER]],L_GENDER,0))</f>
        <v>2</v>
      </c>
      <c r="AF252">
        <f ca="1">IF(T_EMPLOYEES[[#This Row],[EMPLOYEE NUMBER]]="","",MATCH(T_EMPLOYEES[[#This Row],[HIRE SOURCE]],L_HIRESOURCE,0))</f>
        <v>4</v>
      </c>
      <c r="AG252">
        <f ca="1">IF(T_EMPLOYEES[[#This Row],[EMPLOYEE NUMBER]]="","",MATCH(T_EMPLOYEES[[#This Row],[ETHNICITY]],L_ETHNICITY,0))</f>
        <v>3</v>
      </c>
      <c r="AH252">
        <f ca="1">IF(T_EMPLOYEES[[#This Row],[EMPLOYEE NUMBER]]="","",MATCH(T_EMPLOYEES[[#This Row],[LOCATION]],L_LOCATION,0))</f>
        <v>2</v>
      </c>
      <c r="AI252">
        <f ca="1">IF(T_EMPLOYEES[[#This Row],[EMPLOYEE NUMBER]]="","",MATCH(T_EMPLOYEES[[#This Row],[DEPARTMENT]],L_DEPARTMENT,0))</f>
        <v>2</v>
      </c>
      <c r="AJ252">
        <f ca="1">IF(T_EMPLOYEES[[#This Row],[EMPLOYEE NUMBER]]="","",MATCH(T_EMPLOYEES[[#This Row],[JOB TYPE]],L_JOBTYPE,0))</f>
        <v>2</v>
      </c>
      <c r="AK252">
        <f ca="1">IF(T_EMPLOYEES[[#This Row],[EMPLOYEE NUMBER]]="","",MATCH(T_EMPLOYEES[[#This Row],[JOB CATEGORY]],L_JOBCATEGORY,0))</f>
        <v>15</v>
      </c>
      <c r="AL252">
        <f ca="1">IF(T_EMPLOYEES[[#This Row],[EMPLOYEE NUMBER]]="","",MATCH(T_EMPLOYEES[[#This Row],[JOB LEVEL]],L_JOBLEVEL,0))</f>
        <v>3</v>
      </c>
      <c r="AM252">
        <f ca="1">IF(T_EMPLOYEES[[#This Row],[EMPLOYEE NUMBER]]="","",MATCH(T_EMPLOYEES[[#This Row],[JOB TITLE]],L_JOBTITLE,0))</f>
        <v>15</v>
      </c>
      <c r="AN252">
        <f ca="1">IF(T_EMPLOYEES[[#This Row],[EMPLOYEE NUMBER]]="","",MATCH(T_EMPLOYEES[[#This Row],[MANAGER]],L_EMPLABELS,0))</f>
        <v>3</v>
      </c>
      <c r="AO252">
        <f ca="1">IF(T_EMPLOYEES[[#This Row],[EMPLOYEE NUMBER]]="","",IF(T_EMPLOYEES[[#This Row],[ERROR]]="",0,1))</f>
        <v>0</v>
      </c>
      <c r="AP25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3" spans="1:42">
      <c r="A253" t="s">
        <v>929</v>
      </c>
      <c r="B253" t="s">
        <v>930</v>
      </c>
      <c r="C253">
        <v>1027928</v>
      </c>
      <c r="D253" t="s">
        <v>931</v>
      </c>
      <c r="E253" s="26">
        <v>34176</v>
      </c>
      <c r="F253" s="26">
        <v>44566</v>
      </c>
      <c r="H253" t="s">
        <v>27</v>
      </c>
      <c r="I253" t="s">
        <v>54</v>
      </c>
      <c r="J253" t="s">
        <v>64</v>
      </c>
      <c r="K253" t="s">
        <v>43</v>
      </c>
      <c r="L253" s="27" t="s">
        <v>110</v>
      </c>
      <c r="M253" t="s">
        <v>46</v>
      </c>
      <c r="N253" t="s">
        <v>148</v>
      </c>
      <c r="O253" t="s">
        <v>48</v>
      </c>
      <c r="P253" t="s">
        <v>148</v>
      </c>
      <c r="Q253" t="s">
        <v>861</v>
      </c>
      <c r="R253">
        <v>4</v>
      </c>
      <c r="S253" s="1">
        <v>250000</v>
      </c>
      <c r="T253" s="1">
        <f ca="1">ROUND(T_EMPLOYEES[[#This Row],[EMP_CTC1]]/12, 0)</f>
        <v>20833</v>
      </c>
      <c r="U253" s="1">
        <v>150000</v>
      </c>
      <c r="V253" s="1" t="s">
        <v>207</v>
      </c>
      <c r="W253" s="1" t="s">
        <v>207</v>
      </c>
      <c r="X25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Shankar Kalyanrao Deshpande (1027928)</v>
      </c>
      <c r="Y253">
        <v>100000</v>
      </c>
      <c r="Z253" s="29">
        <f t="shared" ca="1" si="4"/>
        <v>40</v>
      </c>
      <c r="AA253">
        <f ca="1">IF(T_EMPLOYEES[[#This Row],[EMPLOYEE NUMBER]]="","",ROW(T_EMPLOYEES[[#This Row],[EMPLOYEE LABEL]])-ROW(T_EMPLOYEES[[#Headers],[EMPLOYEE LABEL]]))</f>
        <v>250</v>
      </c>
      <c r="AB253">
        <f ca="1">IF(T_EMPLOYEES[[#This Row],[EMPLOYEE NUMBER]]="","",IF(COUNTIF(T_EMPLOYEES[EMPLOYEE NUMBER],T_EMPLOYEES[[#This Row],[EMPLOYEE NUMBER]])&gt;1,1,0))</f>
        <v>0</v>
      </c>
      <c r="AC253">
        <f ca="1">IF(T_EMPLOYEES[[#This Row],[EMPLOYEE NUMBER]]="","",IF(AND(T_EMPLOYEES[[#This Row],[DATE OF BIRTH]]&gt;0,T_EMPLOYEES[[#This Row],[DATE OF BIRTH]]&lt;TODAY()),0,1))</f>
        <v>0</v>
      </c>
      <c r="AD253">
        <f ca="1">IF(T_EMPLOYEES[[#This Row],[EMPLOYEE NUMBER]]="","",IF(AND(T_EMPLOYEES[[#This Row],[START DATE]]&gt;0,T_EMPLOYEES[[#This Row],[START DATE]]&lt;TODAY()+60),0,1))</f>
        <v>0</v>
      </c>
      <c r="AE253">
        <f ca="1">IF(T_EMPLOYEES[[#This Row],[EMPLOYEE NUMBER]]="","",MATCH(T_EMPLOYEES[[#This Row],[GENDER]],L_GENDER,0))</f>
        <v>1</v>
      </c>
      <c r="AF253">
        <f ca="1">IF(T_EMPLOYEES[[#This Row],[EMPLOYEE NUMBER]]="","",MATCH(T_EMPLOYEES[[#This Row],[HIRE SOURCE]],L_HIRESOURCE,0))</f>
        <v>4</v>
      </c>
      <c r="AG253">
        <f ca="1">IF(T_EMPLOYEES[[#This Row],[EMPLOYEE NUMBER]]="","",MATCH(T_EMPLOYEES[[#This Row],[ETHNICITY]],L_ETHNICITY,0))</f>
        <v>3</v>
      </c>
      <c r="AH253">
        <f ca="1">IF(T_EMPLOYEES[[#This Row],[EMPLOYEE NUMBER]]="","",MATCH(T_EMPLOYEES[[#This Row],[LOCATION]],L_LOCATION,0))</f>
        <v>2</v>
      </c>
      <c r="AI253">
        <f ca="1">IF(T_EMPLOYEES[[#This Row],[EMPLOYEE NUMBER]]="","",MATCH(T_EMPLOYEES[[#This Row],[DEPARTMENT]],L_DEPARTMENT,0))</f>
        <v>10</v>
      </c>
      <c r="AJ253">
        <f ca="1">IF(T_EMPLOYEES[[#This Row],[EMPLOYEE NUMBER]]="","",MATCH(T_EMPLOYEES[[#This Row],[JOB TYPE]],L_JOBTYPE,0))</f>
        <v>2</v>
      </c>
      <c r="AK253">
        <f ca="1">IF(T_EMPLOYEES[[#This Row],[EMPLOYEE NUMBER]]="","",MATCH(T_EMPLOYEES[[#This Row],[JOB CATEGORY]],L_JOBCATEGORY,0))</f>
        <v>27</v>
      </c>
      <c r="AL253">
        <f ca="1">IF(T_EMPLOYEES[[#This Row],[EMPLOYEE NUMBER]]="","",MATCH(T_EMPLOYEES[[#This Row],[JOB LEVEL]],L_JOBLEVEL,0))</f>
        <v>2</v>
      </c>
      <c r="AM253">
        <f ca="1">IF(T_EMPLOYEES[[#This Row],[EMPLOYEE NUMBER]]="","",MATCH(T_EMPLOYEES[[#This Row],[JOB TITLE]],L_JOBTITLE,0))</f>
        <v>27</v>
      </c>
      <c r="AN253">
        <f ca="1">IF(T_EMPLOYEES[[#This Row],[EMPLOYEE NUMBER]]="","",MATCH(T_EMPLOYEES[[#This Row],[MANAGER]],L_EMPLABELS,0))</f>
        <v>130</v>
      </c>
      <c r="AO253">
        <f ca="1">IF(T_EMPLOYEES[[#This Row],[EMPLOYEE NUMBER]]="","",IF(T_EMPLOYEES[[#This Row],[ERROR]]="",0,1))</f>
        <v>0</v>
      </c>
      <c r="AP25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4" spans="1:42">
      <c r="A254" t="s">
        <v>639</v>
      </c>
      <c r="B254" t="s">
        <v>932</v>
      </c>
      <c r="C254">
        <v>1028277</v>
      </c>
      <c r="D254" t="s">
        <v>933</v>
      </c>
      <c r="E254" s="26">
        <v>34198</v>
      </c>
      <c r="F254" s="26">
        <v>44599</v>
      </c>
      <c r="H254" t="s">
        <v>27</v>
      </c>
      <c r="I254" t="s">
        <v>54</v>
      </c>
      <c r="J254" t="s">
        <v>64</v>
      </c>
      <c r="K254" t="s">
        <v>30</v>
      </c>
      <c r="L254" s="27" t="s">
        <v>45</v>
      </c>
      <c r="M254" t="s">
        <v>46</v>
      </c>
      <c r="N254" t="s">
        <v>89</v>
      </c>
      <c r="O254" t="s">
        <v>60</v>
      </c>
      <c r="P254" t="s">
        <v>89</v>
      </c>
      <c r="Q254" t="s">
        <v>769</v>
      </c>
      <c r="R254" s="27">
        <v>4</v>
      </c>
      <c r="S254" s="1">
        <v>250000</v>
      </c>
      <c r="T254" s="1">
        <f ca="1">ROUND(T_EMPLOYEES[[#This Row],[EMP_CTC1]]/12, 0)</f>
        <v>20833</v>
      </c>
      <c r="U254" s="1">
        <v>150000</v>
      </c>
      <c r="V254" s="1" t="s">
        <v>207</v>
      </c>
      <c r="W254" s="1" t="s">
        <v>207</v>
      </c>
      <c r="X25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Shaik Kalesha Vali (1028277)</v>
      </c>
      <c r="Y254">
        <v>100000</v>
      </c>
      <c r="Z254" s="29">
        <f t="shared" ca="1" si="4"/>
        <v>40</v>
      </c>
      <c r="AA254">
        <f ca="1">IF(T_EMPLOYEES[[#This Row],[EMPLOYEE NUMBER]]="","",ROW(T_EMPLOYEES[[#This Row],[EMPLOYEE LABEL]])-ROW(T_EMPLOYEES[[#Headers],[EMPLOYEE LABEL]]))</f>
        <v>251</v>
      </c>
      <c r="AB254">
        <f ca="1">IF(T_EMPLOYEES[[#This Row],[EMPLOYEE NUMBER]]="","",IF(COUNTIF(T_EMPLOYEES[EMPLOYEE NUMBER],T_EMPLOYEES[[#This Row],[EMPLOYEE NUMBER]])&gt;1,1,0))</f>
        <v>0</v>
      </c>
      <c r="AC254">
        <f ca="1">IF(T_EMPLOYEES[[#This Row],[EMPLOYEE NUMBER]]="","",IF(AND(T_EMPLOYEES[[#This Row],[DATE OF BIRTH]]&gt;0,T_EMPLOYEES[[#This Row],[DATE OF BIRTH]]&lt;TODAY()),0,1))</f>
        <v>0</v>
      </c>
      <c r="AD254">
        <f ca="1">IF(T_EMPLOYEES[[#This Row],[EMPLOYEE NUMBER]]="","",IF(AND(T_EMPLOYEES[[#This Row],[START DATE]]&gt;0,T_EMPLOYEES[[#This Row],[START DATE]]&lt;TODAY()+60),0,1))</f>
        <v>0</v>
      </c>
      <c r="AE254">
        <f ca="1">IF(T_EMPLOYEES[[#This Row],[EMPLOYEE NUMBER]]="","",MATCH(T_EMPLOYEES[[#This Row],[GENDER]],L_GENDER,0))</f>
        <v>1</v>
      </c>
      <c r="AF254">
        <f ca="1">IF(T_EMPLOYEES[[#This Row],[EMPLOYEE NUMBER]]="","",MATCH(T_EMPLOYEES[[#This Row],[HIRE SOURCE]],L_HIRESOURCE,0))</f>
        <v>4</v>
      </c>
      <c r="AG254">
        <f ca="1">IF(T_EMPLOYEES[[#This Row],[EMPLOYEE NUMBER]]="","",MATCH(T_EMPLOYEES[[#This Row],[ETHNICITY]],L_ETHNICITY,0))</f>
        <v>3</v>
      </c>
      <c r="AH254">
        <f ca="1">IF(T_EMPLOYEES[[#This Row],[EMPLOYEE NUMBER]]="","",MATCH(T_EMPLOYEES[[#This Row],[LOCATION]],L_LOCATION,0))</f>
        <v>1</v>
      </c>
      <c r="AI254">
        <f ca="1">IF(T_EMPLOYEES[[#This Row],[EMPLOYEE NUMBER]]="","",MATCH(T_EMPLOYEES[[#This Row],[DEPARTMENT]],L_DEPARTMENT,0))</f>
        <v>2</v>
      </c>
      <c r="AJ254">
        <f ca="1">IF(T_EMPLOYEES[[#This Row],[EMPLOYEE NUMBER]]="","",MATCH(T_EMPLOYEES[[#This Row],[JOB TYPE]],L_JOBTYPE,0))</f>
        <v>2</v>
      </c>
      <c r="AK254">
        <f ca="1">IF(T_EMPLOYEES[[#This Row],[EMPLOYEE NUMBER]]="","",MATCH(T_EMPLOYEES[[#This Row],[JOB CATEGORY]],L_JOBCATEGORY,0))</f>
        <v>6</v>
      </c>
      <c r="AL254">
        <f ca="1">IF(T_EMPLOYEES[[#This Row],[EMPLOYEE NUMBER]]="","",MATCH(T_EMPLOYEES[[#This Row],[JOB LEVEL]],L_JOBLEVEL,0))</f>
        <v>3</v>
      </c>
      <c r="AM254">
        <f ca="1">IF(T_EMPLOYEES[[#This Row],[EMPLOYEE NUMBER]]="","",MATCH(T_EMPLOYEES[[#This Row],[JOB TITLE]],L_JOBTITLE,0))</f>
        <v>6</v>
      </c>
      <c r="AN254">
        <f ca="1">IF(T_EMPLOYEES[[#This Row],[EMPLOYEE NUMBER]]="","",MATCH(T_EMPLOYEES[[#This Row],[MANAGER]],L_EMPLABELS,0))</f>
        <v>226</v>
      </c>
      <c r="AO254">
        <f ca="1">IF(T_EMPLOYEES[[#This Row],[EMPLOYEE NUMBER]]="","",IF(T_EMPLOYEES[[#This Row],[ERROR]]="",0,1))</f>
        <v>0</v>
      </c>
      <c r="AP25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5" spans="1:42">
      <c r="A255" t="s">
        <v>934</v>
      </c>
      <c r="B255" t="s">
        <v>935</v>
      </c>
      <c r="C255">
        <v>1031092</v>
      </c>
      <c r="D255" t="s">
        <v>936</v>
      </c>
      <c r="E255" s="26">
        <v>34225</v>
      </c>
      <c r="F255" s="26">
        <v>44889</v>
      </c>
      <c r="H255" t="s">
        <v>27</v>
      </c>
      <c r="I255" t="s">
        <v>54</v>
      </c>
      <c r="J255" t="s">
        <v>64</v>
      </c>
      <c r="K255" t="s">
        <v>43</v>
      </c>
      <c r="L255" s="27" t="s">
        <v>45</v>
      </c>
      <c r="M255" t="s">
        <v>46</v>
      </c>
      <c r="N255" t="s">
        <v>151</v>
      </c>
      <c r="O255" t="s">
        <v>36</v>
      </c>
      <c r="P255" t="s">
        <v>151</v>
      </c>
      <c r="Q255" t="s">
        <v>937</v>
      </c>
      <c r="R255">
        <v>0</v>
      </c>
      <c r="S255" s="1">
        <v>250000</v>
      </c>
      <c r="T255" s="1">
        <f ca="1">ROUND(T_EMPLOYEES[[#This Row],[EMP_CTC1]]/12, 0)</f>
        <v>20833</v>
      </c>
      <c r="U255" s="1">
        <v>150000</v>
      </c>
      <c r="V255" s="1" t="s">
        <v>207</v>
      </c>
      <c r="W255" s="1" t="s">
        <v>207</v>
      </c>
      <c r="X25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Akshay Sharad Patil (1031092)</v>
      </c>
      <c r="Y255">
        <v>100000</v>
      </c>
      <c r="Z255" s="29">
        <f t="shared" ca="1" si="4"/>
        <v>40</v>
      </c>
      <c r="AA255">
        <f ca="1">IF(T_EMPLOYEES[[#This Row],[EMPLOYEE NUMBER]]="","",ROW(T_EMPLOYEES[[#This Row],[EMPLOYEE LABEL]])-ROW(T_EMPLOYEES[[#Headers],[EMPLOYEE LABEL]]))</f>
        <v>252</v>
      </c>
      <c r="AB255">
        <f ca="1">IF(T_EMPLOYEES[[#This Row],[EMPLOYEE NUMBER]]="","",IF(COUNTIF(T_EMPLOYEES[EMPLOYEE NUMBER],T_EMPLOYEES[[#This Row],[EMPLOYEE NUMBER]])&gt;1,1,0))</f>
        <v>0</v>
      </c>
      <c r="AC255">
        <f ca="1">IF(T_EMPLOYEES[[#This Row],[EMPLOYEE NUMBER]]="","",IF(AND(T_EMPLOYEES[[#This Row],[DATE OF BIRTH]]&gt;0,T_EMPLOYEES[[#This Row],[DATE OF BIRTH]]&lt;TODAY()),0,1))</f>
        <v>0</v>
      </c>
      <c r="AD255">
        <f ca="1">IF(T_EMPLOYEES[[#This Row],[EMPLOYEE NUMBER]]="","",IF(AND(T_EMPLOYEES[[#This Row],[START DATE]]&gt;0,T_EMPLOYEES[[#This Row],[START DATE]]&lt;TODAY()+60),0,1))</f>
        <v>0</v>
      </c>
      <c r="AE255">
        <f ca="1">IF(T_EMPLOYEES[[#This Row],[EMPLOYEE NUMBER]]="","",MATCH(T_EMPLOYEES[[#This Row],[GENDER]],L_GENDER,0))</f>
        <v>1</v>
      </c>
      <c r="AF255">
        <f ca="1">IF(T_EMPLOYEES[[#This Row],[EMPLOYEE NUMBER]]="","",MATCH(T_EMPLOYEES[[#This Row],[HIRE SOURCE]],L_HIRESOURCE,0))</f>
        <v>4</v>
      </c>
      <c r="AG255">
        <f ca="1">IF(T_EMPLOYEES[[#This Row],[EMPLOYEE NUMBER]]="","",MATCH(T_EMPLOYEES[[#This Row],[ETHNICITY]],L_ETHNICITY,0))</f>
        <v>3</v>
      </c>
      <c r="AH255">
        <f ca="1">IF(T_EMPLOYEES[[#This Row],[EMPLOYEE NUMBER]]="","",MATCH(T_EMPLOYEES[[#This Row],[LOCATION]],L_LOCATION,0))</f>
        <v>2</v>
      </c>
      <c r="AI255">
        <f ca="1">IF(T_EMPLOYEES[[#This Row],[EMPLOYEE NUMBER]]="","",MATCH(T_EMPLOYEES[[#This Row],[DEPARTMENT]],L_DEPARTMENT,0))</f>
        <v>2</v>
      </c>
      <c r="AJ255">
        <f ca="1">IF(T_EMPLOYEES[[#This Row],[EMPLOYEE NUMBER]]="","",MATCH(T_EMPLOYEES[[#This Row],[JOB TYPE]],L_JOBTYPE,0))</f>
        <v>2</v>
      </c>
      <c r="AK255">
        <f ca="1">IF(T_EMPLOYEES[[#This Row],[EMPLOYEE NUMBER]]="","",MATCH(T_EMPLOYEES[[#This Row],[JOB CATEGORY]],L_JOBCATEGORY,0))</f>
        <v>30</v>
      </c>
      <c r="AL255">
        <f ca="1">IF(T_EMPLOYEES[[#This Row],[EMPLOYEE NUMBER]]="","",MATCH(T_EMPLOYEES[[#This Row],[JOB LEVEL]],L_JOBLEVEL,0))</f>
        <v>1</v>
      </c>
      <c r="AM255">
        <f ca="1">IF(T_EMPLOYEES[[#This Row],[EMPLOYEE NUMBER]]="","",MATCH(T_EMPLOYEES[[#This Row],[JOB TITLE]],L_JOBTITLE,0))</f>
        <v>30</v>
      </c>
      <c r="AN255">
        <f ca="1">IF(T_EMPLOYEES[[#This Row],[EMPLOYEE NUMBER]]="","",MATCH(T_EMPLOYEES[[#This Row],[MANAGER]],L_EMPLABELS,0))</f>
        <v>132</v>
      </c>
      <c r="AO255">
        <f ca="1">IF(T_EMPLOYEES[[#This Row],[EMPLOYEE NUMBER]]="","",IF(T_EMPLOYEES[[#This Row],[ERROR]]="",0,1))</f>
        <v>0</v>
      </c>
      <c r="AP25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6" spans="1:42">
      <c r="A256" t="s">
        <v>938</v>
      </c>
      <c r="B256" t="s">
        <v>939</v>
      </c>
      <c r="C256">
        <v>1032459</v>
      </c>
      <c r="D256" t="s">
        <v>940</v>
      </c>
      <c r="E256" s="26">
        <v>34239</v>
      </c>
      <c r="F256" s="26">
        <v>45013</v>
      </c>
      <c r="H256" t="s">
        <v>27</v>
      </c>
      <c r="I256" t="s">
        <v>54</v>
      </c>
      <c r="J256" t="s">
        <v>64</v>
      </c>
      <c r="K256" t="s">
        <v>30</v>
      </c>
      <c r="L256" s="27" t="s">
        <v>45</v>
      </c>
      <c r="M256" t="s">
        <v>46</v>
      </c>
      <c r="N256" t="s">
        <v>128</v>
      </c>
      <c r="O256" t="s">
        <v>60</v>
      </c>
      <c r="P256" t="s">
        <v>128</v>
      </c>
      <c r="Q256" t="s">
        <v>311</v>
      </c>
      <c r="R256" s="27">
        <v>4</v>
      </c>
      <c r="S256" s="1">
        <v>250000</v>
      </c>
      <c r="T256" s="1">
        <f ca="1">ROUND(T_EMPLOYEES[[#This Row],[EMP_CTC1]]/12, 0)</f>
        <v>20833</v>
      </c>
      <c r="U256" s="1">
        <v>150000</v>
      </c>
      <c r="V256" s="1" t="s">
        <v>207</v>
      </c>
      <c r="W256" s="1" t="s">
        <v>207</v>
      </c>
      <c r="X25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Roshan  Lomga (1032459)</v>
      </c>
      <c r="Y256">
        <v>100000</v>
      </c>
      <c r="Z256" s="29">
        <f t="shared" ca="1" si="4"/>
        <v>40</v>
      </c>
      <c r="AA256">
        <f ca="1">IF(T_EMPLOYEES[[#This Row],[EMPLOYEE NUMBER]]="","",ROW(T_EMPLOYEES[[#This Row],[EMPLOYEE LABEL]])-ROW(T_EMPLOYEES[[#Headers],[EMPLOYEE LABEL]]))</f>
        <v>253</v>
      </c>
      <c r="AB256">
        <f ca="1">IF(T_EMPLOYEES[[#This Row],[EMPLOYEE NUMBER]]="","",IF(COUNTIF(T_EMPLOYEES[EMPLOYEE NUMBER],T_EMPLOYEES[[#This Row],[EMPLOYEE NUMBER]])&gt;1,1,0))</f>
        <v>0</v>
      </c>
      <c r="AC256">
        <f ca="1">IF(T_EMPLOYEES[[#This Row],[EMPLOYEE NUMBER]]="","",IF(AND(T_EMPLOYEES[[#This Row],[DATE OF BIRTH]]&gt;0,T_EMPLOYEES[[#This Row],[DATE OF BIRTH]]&lt;TODAY()),0,1))</f>
        <v>0</v>
      </c>
      <c r="AD256">
        <f ca="1">IF(T_EMPLOYEES[[#This Row],[EMPLOYEE NUMBER]]="","",IF(AND(T_EMPLOYEES[[#This Row],[START DATE]]&gt;0,T_EMPLOYEES[[#This Row],[START DATE]]&lt;TODAY()+60),0,1))</f>
        <v>0</v>
      </c>
      <c r="AE256">
        <f ca="1">IF(T_EMPLOYEES[[#This Row],[EMPLOYEE NUMBER]]="","",MATCH(T_EMPLOYEES[[#This Row],[GENDER]],L_GENDER,0))</f>
        <v>1</v>
      </c>
      <c r="AF256">
        <f ca="1">IF(T_EMPLOYEES[[#This Row],[EMPLOYEE NUMBER]]="","",MATCH(T_EMPLOYEES[[#This Row],[HIRE SOURCE]],L_HIRESOURCE,0))</f>
        <v>4</v>
      </c>
      <c r="AG256">
        <f ca="1">IF(T_EMPLOYEES[[#This Row],[EMPLOYEE NUMBER]]="","",MATCH(T_EMPLOYEES[[#This Row],[ETHNICITY]],L_ETHNICITY,0))</f>
        <v>3</v>
      </c>
      <c r="AH256">
        <f ca="1">IF(T_EMPLOYEES[[#This Row],[EMPLOYEE NUMBER]]="","",MATCH(T_EMPLOYEES[[#This Row],[LOCATION]],L_LOCATION,0))</f>
        <v>1</v>
      </c>
      <c r="AI256">
        <f ca="1">IF(T_EMPLOYEES[[#This Row],[EMPLOYEE NUMBER]]="","",MATCH(T_EMPLOYEES[[#This Row],[DEPARTMENT]],L_DEPARTMENT,0))</f>
        <v>2</v>
      </c>
      <c r="AJ256">
        <f ca="1">IF(T_EMPLOYEES[[#This Row],[EMPLOYEE NUMBER]]="","",MATCH(T_EMPLOYEES[[#This Row],[JOB TYPE]],L_JOBTYPE,0))</f>
        <v>2</v>
      </c>
      <c r="AK256">
        <f ca="1">IF(T_EMPLOYEES[[#This Row],[EMPLOYEE NUMBER]]="","",MATCH(T_EMPLOYEES[[#This Row],[JOB CATEGORY]],L_JOBCATEGORY,0))</f>
        <v>15</v>
      </c>
      <c r="AL256">
        <f ca="1">IF(T_EMPLOYEES[[#This Row],[EMPLOYEE NUMBER]]="","",MATCH(T_EMPLOYEES[[#This Row],[JOB LEVEL]],L_JOBLEVEL,0))</f>
        <v>3</v>
      </c>
      <c r="AM256">
        <f ca="1">IF(T_EMPLOYEES[[#This Row],[EMPLOYEE NUMBER]]="","",MATCH(T_EMPLOYEES[[#This Row],[JOB TITLE]],L_JOBTITLE,0))</f>
        <v>15</v>
      </c>
      <c r="AN256">
        <f ca="1">IF(T_EMPLOYEES[[#This Row],[EMPLOYEE NUMBER]]="","",MATCH(T_EMPLOYEES[[#This Row],[MANAGER]],L_EMPLABELS,0))</f>
        <v>2</v>
      </c>
      <c r="AO256">
        <f ca="1">IF(T_EMPLOYEES[[#This Row],[EMPLOYEE NUMBER]]="","",IF(T_EMPLOYEES[[#This Row],[ERROR]]="",0,1))</f>
        <v>0</v>
      </c>
      <c r="AP25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7" spans="1:42">
      <c r="A257" t="s">
        <v>941</v>
      </c>
      <c r="B257" t="s">
        <v>942</v>
      </c>
      <c r="C257">
        <v>1033523</v>
      </c>
      <c r="D257" t="s">
        <v>943</v>
      </c>
      <c r="E257" s="26">
        <v>34252</v>
      </c>
      <c r="F257" s="26">
        <v>45182</v>
      </c>
      <c r="H257" t="s">
        <v>40</v>
      </c>
      <c r="I257" t="s">
        <v>54</v>
      </c>
      <c r="J257" t="s">
        <v>64</v>
      </c>
      <c r="K257" t="s">
        <v>30</v>
      </c>
      <c r="L257" s="27" t="s">
        <v>45</v>
      </c>
      <c r="M257" t="s">
        <v>46</v>
      </c>
      <c r="N257" t="s">
        <v>111</v>
      </c>
      <c r="O257" t="s">
        <v>71</v>
      </c>
      <c r="P257" t="s">
        <v>111</v>
      </c>
      <c r="Q257" t="s">
        <v>272</v>
      </c>
      <c r="R257">
        <v>5</v>
      </c>
      <c r="S257" s="1">
        <v>250000</v>
      </c>
      <c r="T257" s="1">
        <f ca="1">ROUND(T_EMPLOYEES[[#This Row],[EMP_CTC1]]/12, 0)</f>
        <v>20833</v>
      </c>
      <c r="U257" s="1">
        <v>150000</v>
      </c>
      <c r="V257" s="1" t="s">
        <v>207</v>
      </c>
      <c r="W257" s="1" t="s">
        <v>207</v>
      </c>
      <c r="X25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Deepiga  Senthivel (1033523)</v>
      </c>
      <c r="Y257">
        <v>100000</v>
      </c>
      <c r="Z257" s="29">
        <f t="shared" ca="1" si="4"/>
        <v>40</v>
      </c>
      <c r="AA257">
        <f ca="1">IF(T_EMPLOYEES[[#This Row],[EMPLOYEE NUMBER]]="","",ROW(T_EMPLOYEES[[#This Row],[EMPLOYEE LABEL]])-ROW(T_EMPLOYEES[[#Headers],[EMPLOYEE LABEL]]))</f>
        <v>254</v>
      </c>
      <c r="AB257">
        <f ca="1">IF(T_EMPLOYEES[[#This Row],[EMPLOYEE NUMBER]]="","",IF(COUNTIF(T_EMPLOYEES[EMPLOYEE NUMBER],T_EMPLOYEES[[#This Row],[EMPLOYEE NUMBER]])&gt;1,1,0))</f>
        <v>0</v>
      </c>
      <c r="AC257">
        <f ca="1">IF(T_EMPLOYEES[[#This Row],[EMPLOYEE NUMBER]]="","",IF(AND(T_EMPLOYEES[[#This Row],[DATE OF BIRTH]]&gt;0,T_EMPLOYEES[[#This Row],[DATE OF BIRTH]]&lt;TODAY()),0,1))</f>
        <v>0</v>
      </c>
      <c r="AD257">
        <f ca="1">IF(T_EMPLOYEES[[#This Row],[EMPLOYEE NUMBER]]="","",IF(AND(T_EMPLOYEES[[#This Row],[START DATE]]&gt;0,T_EMPLOYEES[[#This Row],[START DATE]]&lt;TODAY()+60),0,1))</f>
        <v>0</v>
      </c>
      <c r="AE257">
        <f ca="1">IF(T_EMPLOYEES[[#This Row],[EMPLOYEE NUMBER]]="","",MATCH(T_EMPLOYEES[[#This Row],[GENDER]],L_GENDER,0))</f>
        <v>2</v>
      </c>
      <c r="AF257">
        <f ca="1">IF(T_EMPLOYEES[[#This Row],[EMPLOYEE NUMBER]]="","",MATCH(T_EMPLOYEES[[#This Row],[HIRE SOURCE]],L_HIRESOURCE,0))</f>
        <v>4</v>
      </c>
      <c r="AG257">
        <f ca="1">IF(T_EMPLOYEES[[#This Row],[EMPLOYEE NUMBER]]="","",MATCH(T_EMPLOYEES[[#This Row],[ETHNICITY]],L_ETHNICITY,0))</f>
        <v>3</v>
      </c>
      <c r="AH257">
        <f ca="1">IF(T_EMPLOYEES[[#This Row],[EMPLOYEE NUMBER]]="","",MATCH(T_EMPLOYEES[[#This Row],[LOCATION]],L_LOCATION,0))</f>
        <v>1</v>
      </c>
      <c r="AI257">
        <f ca="1">IF(T_EMPLOYEES[[#This Row],[EMPLOYEE NUMBER]]="","",MATCH(T_EMPLOYEES[[#This Row],[DEPARTMENT]],L_DEPARTMENT,0))</f>
        <v>2</v>
      </c>
      <c r="AJ257">
        <f ca="1">IF(T_EMPLOYEES[[#This Row],[EMPLOYEE NUMBER]]="","",MATCH(T_EMPLOYEES[[#This Row],[JOB TYPE]],L_JOBTYPE,0))</f>
        <v>2</v>
      </c>
      <c r="AK257">
        <f ca="1">IF(T_EMPLOYEES[[#This Row],[EMPLOYEE NUMBER]]="","",MATCH(T_EMPLOYEES[[#This Row],[JOB CATEGORY]],L_JOBCATEGORY,0))</f>
        <v>10</v>
      </c>
      <c r="AL257">
        <f ca="1">IF(T_EMPLOYEES[[#This Row],[EMPLOYEE NUMBER]]="","",MATCH(T_EMPLOYEES[[#This Row],[JOB LEVEL]],L_JOBLEVEL,0))</f>
        <v>4</v>
      </c>
      <c r="AM257">
        <f ca="1">IF(T_EMPLOYEES[[#This Row],[EMPLOYEE NUMBER]]="","",MATCH(T_EMPLOYEES[[#This Row],[JOB TITLE]],L_JOBTITLE,0))</f>
        <v>10</v>
      </c>
      <c r="AN257">
        <f ca="1">IF(T_EMPLOYEES[[#This Row],[EMPLOYEE NUMBER]]="","",MATCH(T_EMPLOYEES[[#This Row],[MANAGER]],L_EMPLABELS,0))</f>
        <v>62</v>
      </c>
      <c r="AO257">
        <f ca="1">IF(T_EMPLOYEES[[#This Row],[EMPLOYEE NUMBER]]="","",IF(T_EMPLOYEES[[#This Row],[ERROR]]="",0,1))</f>
        <v>0</v>
      </c>
      <c r="AP25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8" spans="1:42">
      <c r="A258" t="s">
        <v>944</v>
      </c>
      <c r="B258" t="s">
        <v>51</v>
      </c>
      <c r="C258">
        <v>1025438</v>
      </c>
      <c r="D258" t="s">
        <v>945</v>
      </c>
      <c r="E258" s="26">
        <v>34258</v>
      </c>
      <c r="F258" s="26">
        <v>44349</v>
      </c>
      <c r="H258" t="s">
        <v>27</v>
      </c>
      <c r="I258" t="s">
        <v>54</v>
      </c>
      <c r="J258" t="s">
        <v>64</v>
      </c>
      <c r="K258" t="s">
        <v>30</v>
      </c>
      <c r="L258" s="27" t="s">
        <v>45</v>
      </c>
      <c r="M258" t="s">
        <v>46</v>
      </c>
      <c r="N258" t="s">
        <v>89</v>
      </c>
      <c r="O258" t="s">
        <v>60</v>
      </c>
      <c r="P258" t="s">
        <v>89</v>
      </c>
      <c r="Q258" t="s">
        <v>315</v>
      </c>
      <c r="R258" s="27">
        <v>4</v>
      </c>
      <c r="S258" s="1">
        <v>250000</v>
      </c>
      <c r="T258" s="1">
        <f ca="1">ROUND(T_EMPLOYEES[[#This Row],[EMP_CTC1]]/12, 0)</f>
        <v>20833</v>
      </c>
      <c r="U258" s="1">
        <v>150000</v>
      </c>
      <c r="V258" s="1" t="s">
        <v>207</v>
      </c>
      <c r="W258" s="1" t="s">
        <v>207</v>
      </c>
      <c r="X25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Rajasekar S (1025438)</v>
      </c>
      <c r="Y258">
        <v>100000</v>
      </c>
      <c r="Z258" s="29">
        <f t="shared" ca="1" si="4"/>
        <v>40</v>
      </c>
      <c r="AA258">
        <f ca="1">IF(T_EMPLOYEES[[#This Row],[EMPLOYEE NUMBER]]="","",ROW(T_EMPLOYEES[[#This Row],[EMPLOYEE LABEL]])-ROW(T_EMPLOYEES[[#Headers],[EMPLOYEE LABEL]]))</f>
        <v>255</v>
      </c>
      <c r="AB258">
        <f ca="1">IF(T_EMPLOYEES[[#This Row],[EMPLOYEE NUMBER]]="","",IF(COUNTIF(T_EMPLOYEES[EMPLOYEE NUMBER],T_EMPLOYEES[[#This Row],[EMPLOYEE NUMBER]])&gt;1,1,0))</f>
        <v>0</v>
      </c>
      <c r="AC258">
        <f ca="1">IF(T_EMPLOYEES[[#This Row],[EMPLOYEE NUMBER]]="","",IF(AND(T_EMPLOYEES[[#This Row],[DATE OF BIRTH]]&gt;0,T_EMPLOYEES[[#This Row],[DATE OF BIRTH]]&lt;TODAY()),0,1))</f>
        <v>0</v>
      </c>
      <c r="AD258">
        <f ca="1">IF(T_EMPLOYEES[[#This Row],[EMPLOYEE NUMBER]]="","",IF(AND(T_EMPLOYEES[[#This Row],[START DATE]]&gt;0,T_EMPLOYEES[[#This Row],[START DATE]]&lt;TODAY()+60),0,1))</f>
        <v>0</v>
      </c>
      <c r="AE258">
        <f ca="1">IF(T_EMPLOYEES[[#This Row],[EMPLOYEE NUMBER]]="","",MATCH(T_EMPLOYEES[[#This Row],[GENDER]],L_GENDER,0))</f>
        <v>1</v>
      </c>
      <c r="AF258">
        <f ca="1">IF(T_EMPLOYEES[[#This Row],[EMPLOYEE NUMBER]]="","",MATCH(T_EMPLOYEES[[#This Row],[HIRE SOURCE]],L_HIRESOURCE,0))</f>
        <v>4</v>
      </c>
      <c r="AG258">
        <f ca="1">IF(T_EMPLOYEES[[#This Row],[EMPLOYEE NUMBER]]="","",MATCH(T_EMPLOYEES[[#This Row],[ETHNICITY]],L_ETHNICITY,0))</f>
        <v>3</v>
      </c>
      <c r="AH258">
        <f ca="1">IF(T_EMPLOYEES[[#This Row],[EMPLOYEE NUMBER]]="","",MATCH(T_EMPLOYEES[[#This Row],[LOCATION]],L_LOCATION,0))</f>
        <v>1</v>
      </c>
      <c r="AI258">
        <f ca="1">IF(T_EMPLOYEES[[#This Row],[EMPLOYEE NUMBER]]="","",MATCH(T_EMPLOYEES[[#This Row],[DEPARTMENT]],L_DEPARTMENT,0))</f>
        <v>2</v>
      </c>
      <c r="AJ258">
        <f ca="1">IF(T_EMPLOYEES[[#This Row],[EMPLOYEE NUMBER]]="","",MATCH(T_EMPLOYEES[[#This Row],[JOB TYPE]],L_JOBTYPE,0))</f>
        <v>2</v>
      </c>
      <c r="AK258">
        <f ca="1">IF(T_EMPLOYEES[[#This Row],[EMPLOYEE NUMBER]]="","",MATCH(T_EMPLOYEES[[#This Row],[JOB CATEGORY]],L_JOBCATEGORY,0))</f>
        <v>6</v>
      </c>
      <c r="AL258">
        <f ca="1">IF(T_EMPLOYEES[[#This Row],[EMPLOYEE NUMBER]]="","",MATCH(T_EMPLOYEES[[#This Row],[JOB LEVEL]],L_JOBLEVEL,0))</f>
        <v>3</v>
      </c>
      <c r="AM258">
        <f ca="1">IF(T_EMPLOYEES[[#This Row],[EMPLOYEE NUMBER]]="","",MATCH(T_EMPLOYEES[[#This Row],[JOB TITLE]],L_JOBTITLE,0))</f>
        <v>6</v>
      </c>
      <c r="AN258">
        <f ca="1">IF(T_EMPLOYEES[[#This Row],[EMPLOYEE NUMBER]]="","",MATCH(T_EMPLOYEES[[#This Row],[MANAGER]],L_EMPLABELS,0))</f>
        <v>179</v>
      </c>
      <c r="AO258">
        <f ca="1">IF(T_EMPLOYEES[[#This Row],[EMPLOYEE NUMBER]]="","",IF(T_EMPLOYEES[[#This Row],[ERROR]]="",0,1))</f>
        <v>0</v>
      </c>
      <c r="AP25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9" spans="1:42">
      <c r="A259" t="s">
        <v>946</v>
      </c>
      <c r="B259" t="s">
        <v>947</v>
      </c>
      <c r="C259">
        <v>1018884</v>
      </c>
      <c r="D259" t="s">
        <v>948</v>
      </c>
      <c r="E259" s="26">
        <v>34062</v>
      </c>
      <c r="F259" s="26">
        <v>42688</v>
      </c>
      <c r="H259" t="s">
        <v>27</v>
      </c>
      <c r="I259" t="s">
        <v>54</v>
      </c>
      <c r="J259" t="s">
        <v>64</v>
      </c>
      <c r="K259" t="s">
        <v>43</v>
      </c>
      <c r="L259" s="27" t="s">
        <v>114</v>
      </c>
      <c r="M259" t="s">
        <v>46</v>
      </c>
      <c r="N259" t="s">
        <v>111</v>
      </c>
      <c r="O259" t="s">
        <v>71</v>
      </c>
      <c r="P259" t="s">
        <v>111</v>
      </c>
      <c r="Q259" t="s">
        <v>468</v>
      </c>
      <c r="R259">
        <v>5</v>
      </c>
      <c r="S259" s="1">
        <v>250000</v>
      </c>
      <c r="T259" s="1">
        <f ca="1">ROUND(T_EMPLOYEES[[#This Row],[EMP_CTC1]]/12, 0)</f>
        <v>20833</v>
      </c>
      <c r="U259" s="1">
        <v>150000</v>
      </c>
      <c r="V259" s="1" t="s">
        <v>207</v>
      </c>
      <c r="W259" s="1" t="s">
        <v>207</v>
      </c>
      <c r="X25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Siddhartha  Mishra (1018884)</v>
      </c>
      <c r="Y259">
        <v>100000</v>
      </c>
      <c r="Z259" s="29">
        <f t="shared" ca="1" si="4"/>
        <v>40</v>
      </c>
      <c r="AA259">
        <f ca="1">IF(T_EMPLOYEES[[#This Row],[EMPLOYEE NUMBER]]="","",ROW(T_EMPLOYEES[[#This Row],[EMPLOYEE LABEL]])-ROW(T_EMPLOYEES[[#Headers],[EMPLOYEE LABEL]]))</f>
        <v>256</v>
      </c>
      <c r="AB259">
        <f ca="1">IF(T_EMPLOYEES[[#This Row],[EMPLOYEE NUMBER]]="","",IF(COUNTIF(T_EMPLOYEES[EMPLOYEE NUMBER],T_EMPLOYEES[[#This Row],[EMPLOYEE NUMBER]])&gt;1,1,0))</f>
        <v>0</v>
      </c>
      <c r="AC259">
        <f ca="1">IF(T_EMPLOYEES[[#This Row],[EMPLOYEE NUMBER]]="","",IF(AND(T_EMPLOYEES[[#This Row],[DATE OF BIRTH]]&gt;0,T_EMPLOYEES[[#This Row],[DATE OF BIRTH]]&lt;TODAY()),0,1))</f>
        <v>0</v>
      </c>
      <c r="AD259">
        <f ca="1">IF(T_EMPLOYEES[[#This Row],[EMPLOYEE NUMBER]]="","",IF(AND(T_EMPLOYEES[[#This Row],[START DATE]]&gt;0,T_EMPLOYEES[[#This Row],[START DATE]]&lt;TODAY()+60),0,1))</f>
        <v>0</v>
      </c>
      <c r="AE259">
        <f ca="1">IF(T_EMPLOYEES[[#This Row],[EMPLOYEE NUMBER]]="","",MATCH(T_EMPLOYEES[[#This Row],[GENDER]],L_GENDER,0))</f>
        <v>1</v>
      </c>
      <c r="AF259">
        <f ca="1">IF(T_EMPLOYEES[[#This Row],[EMPLOYEE NUMBER]]="","",MATCH(T_EMPLOYEES[[#This Row],[HIRE SOURCE]],L_HIRESOURCE,0))</f>
        <v>4</v>
      </c>
      <c r="AG259">
        <f ca="1">IF(T_EMPLOYEES[[#This Row],[EMPLOYEE NUMBER]]="","",MATCH(T_EMPLOYEES[[#This Row],[ETHNICITY]],L_ETHNICITY,0))</f>
        <v>3</v>
      </c>
      <c r="AH259">
        <f ca="1">IF(T_EMPLOYEES[[#This Row],[EMPLOYEE NUMBER]]="","",MATCH(T_EMPLOYEES[[#This Row],[LOCATION]],L_LOCATION,0))</f>
        <v>2</v>
      </c>
      <c r="AI259">
        <f ca="1">IF(T_EMPLOYEES[[#This Row],[EMPLOYEE NUMBER]]="","",MATCH(T_EMPLOYEES[[#This Row],[DEPARTMENT]],L_DEPARTMENT,0))</f>
        <v>11</v>
      </c>
      <c r="AJ259">
        <f ca="1">IF(T_EMPLOYEES[[#This Row],[EMPLOYEE NUMBER]]="","",MATCH(T_EMPLOYEES[[#This Row],[JOB TYPE]],L_JOBTYPE,0))</f>
        <v>2</v>
      </c>
      <c r="AK259">
        <f ca="1">IF(T_EMPLOYEES[[#This Row],[EMPLOYEE NUMBER]]="","",MATCH(T_EMPLOYEES[[#This Row],[JOB CATEGORY]],L_JOBCATEGORY,0))</f>
        <v>10</v>
      </c>
      <c r="AL259">
        <f ca="1">IF(T_EMPLOYEES[[#This Row],[EMPLOYEE NUMBER]]="","",MATCH(T_EMPLOYEES[[#This Row],[JOB LEVEL]],L_JOBLEVEL,0))</f>
        <v>4</v>
      </c>
      <c r="AM259">
        <f ca="1">IF(T_EMPLOYEES[[#This Row],[EMPLOYEE NUMBER]]="","",MATCH(T_EMPLOYEES[[#This Row],[JOB TITLE]],L_JOBTITLE,0))</f>
        <v>10</v>
      </c>
      <c r="AN259">
        <f ca="1">IF(T_EMPLOYEES[[#This Row],[EMPLOYEE NUMBER]]="","",MATCH(T_EMPLOYEES[[#This Row],[MANAGER]],L_EMPLABELS,0))</f>
        <v>56</v>
      </c>
      <c r="AO259">
        <f ca="1">IF(T_EMPLOYEES[[#This Row],[EMPLOYEE NUMBER]]="","",IF(T_EMPLOYEES[[#This Row],[ERROR]]="",0,1))</f>
        <v>0</v>
      </c>
      <c r="AP25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0" spans="1:42">
      <c r="A260" t="s">
        <v>949</v>
      </c>
      <c r="B260" t="s">
        <v>950</v>
      </c>
      <c r="C260">
        <v>1032156</v>
      </c>
      <c r="D260" t="s">
        <v>951</v>
      </c>
      <c r="E260" s="26">
        <v>34317</v>
      </c>
      <c r="F260" s="26">
        <v>44958</v>
      </c>
      <c r="H260" t="s">
        <v>27</v>
      </c>
      <c r="I260" t="s">
        <v>54</v>
      </c>
      <c r="J260" t="s">
        <v>64</v>
      </c>
      <c r="K260" t="s">
        <v>30</v>
      </c>
      <c r="L260" s="27" t="s">
        <v>45</v>
      </c>
      <c r="M260" t="s">
        <v>46</v>
      </c>
      <c r="N260" t="s">
        <v>128</v>
      </c>
      <c r="O260" t="s">
        <v>60</v>
      </c>
      <c r="P260" t="s">
        <v>128</v>
      </c>
      <c r="Q260" t="s">
        <v>276</v>
      </c>
      <c r="R260" s="27">
        <v>4</v>
      </c>
      <c r="S260" s="1">
        <v>250000</v>
      </c>
      <c r="T260" s="1">
        <f ca="1">ROUND(T_EMPLOYEES[[#This Row],[EMP_CTC1]]/12, 0)</f>
        <v>20833</v>
      </c>
      <c r="U260" s="1">
        <v>150000</v>
      </c>
      <c r="V260" s="1" t="s">
        <v>207</v>
      </c>
      <c r="W260" s="1" t="s">
        <v>207</v>
      </c>
      <c r="X26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Tadicherla Madhu  (1032156)</v>
      </c>
      <c r="Y260">
        <v>100000</v>
      </c>
      <c r="Z260" s="29">
        <f t="shared" ca="1" si="4"/>
        <v>40</v>
      </c>
      <c r="AA260">
        <f ca="1">IF(T_EMPLOYEES[[#This Row],[EMPLOYEE NUMBER]]="","",ROW(T_EMPLOYEES[[#This Row],[EMPLOYEE LABEL]])-ROW(T_EMPLOYEES[[#Headers],[EMPLOYEE LABEL]]))</f>
        <v>257</v>
      </c>
      <c r="AB260">
        <f ca="1">IF(T_EMPLOYEES[[#This Row],[EMPLOYEE NUMBER]]="","",IF(COUNTIF(T_EMPLOYEES[EMPLOYEE NUMBER],T_EMPLOYEES[[#This Row],[EMPLOYEE NUMBER]])&gt;1,1,0))</f>
        <v>0</v>
      </c>
      <c r="AC260">
        <f ca="1">IF(T_EMPLOYEES[[#This Row],[EMPLOYEE NUMBER]]="","",IF(AND(T_EMPLOYEES[[#This Row],[DATE OF BIRTH]]&gt;0,T_EMPLOYEES[[#This Row],[DATE OF BIRTH]]&lt;TODAY()),0,1))</f>
        <v>0</v>
      </c>
      <c r="AD260">
        <f ca="1">IF(T_EMPLOYEES[[#This Row],[EMPLOYEE NUMBER]]="","",IF(AND(T_EMPLOYEES[[#This Row],[START DATE]]&gt;0,T_EMPLOYEES[[#This Row],[START DATE]]&lt;TODAY()+60),0,1))</f>
        <v>0</v>
      </c>
      <c r="AE260">
        <f ca="1">IF(T_EMPLOYEES[[#This Row],[EMPLOYEE NUMBER]]="","",MATCH(T_EMPLOYEES[[#This Row],[GENDER]],L_GENDER,0))</f>
        <v>1</v>
      </c>
      <c r="AF260">
        <f ca="1">IF(T_EMPLOYEES[[#This Row],[EMPLOYEE NUMBER]]="","",MATCH(T_EMPLOYEES[[#This Row],[HIRE SOURCE]],L_HIRESOURCE,0))</f>
        <v>4</v>
      </c>
      <c r="AG260">
        <f ca="1">IF(T_EMPLOYEES[[#This Row],[EMPLOYEE NUMBER]]="","",MATCH(T_EMPLOYEES[[#This Row],[ETHNICITY]],L_ETHNICITY,0))</f>
        <v>3</v>
      </c>
      <c r="AH260">
        <f ca="1">IF(T_EMPLOYEES[[#This Row],[EMPLOYEE NUMBER]]="","",MATCH(T_EMPLOYEES[[#This Row],[LOCATION]],L_LOCATION,0))</f>
        <v>1</v>
      </c>
      <c r="AI260">
        <f ca="1">IF(T_EMPLOYEES[[#This Row],[EMPLOYEE NUMBER]]="","",MATCH(T_EMPLOYEES[[#This Row],[DEPARTMENT]],L_DEPARTMENT,0))</f>
        <v>2</v>
      </c>
      <c r="AJ260">
        <f ca="1">IF(T_EMPLOYEES[[#This Row],[EMPLOYEE NUMBER]]="","",MATCH(T_EMPLOYEES[[#This Row],[JOB TYPE]],L_JOBTYPE,0))</f>
        <v>2</v>
      </c>
      <c r="AK260">
        <f ca="1">IF(T_EMPLOYEES[[#This Row],[EMPLOYEE NUMBER]]="","",MATCH(T_EMPLOYEES[[#This Row],[JOB CATEGORY]],L_JOBCATEGORY,0))</f>
        <v>15</v>
      </c>
      <c r="AL260">
        <f ca="1">IF(T_EMPLOYEES[[#This Row],[EMPLOYEE NUMBER]]="","",MATCH(T_EMPLOYEES[[#This Row],[JOB LEVEL]],L_JOBLEVEL,0))</f>
        <v>3</v>
      </c>
      <c r="AM260">
        <f ca="1">IF(T_EMPLOYEES[[#This Row],[EMPLOYEE NUMBER]]="","",MATCH(T_EMPLOYEES[[#This Row],[JOB TITLE]],L_JOBTITLE,0))</f>
        <v>15</v>
      </c>
      <c r="AN260">
        <f ca="1">IF(T_EMPLOYEES[[#This Row],[EMPLOYEE NUMBER]]="","",MATCH(T_EMPLOYEES[[#This Row],[MANAGER]],L_EMPLABELS,0))</f>
        <v>8</v>
      </c>
      <c r="AO260">
        <f ca="1">IF(T_EMPLOYEES[[#This Row],[EMPLOYEE NUMBER]]="","",IF(T_EMPLOYEES[[#This Row],[ERROR]]="",0,1))</f>
        <v>0</v>
      </c>
      <c r="AP26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1" spans="1:42">
      <c r="A261" t="s">
        <v>952</v>
      </c>
      <c r="B261" t="s">
        <v>953</v>
      </c>
      <c r="C261">
        <v>1024521</v>
      </c>
      <c r="D261" t="s">
        <v>954</v>
      </c>
      <c r="E261" s="26">
        <v>34329</v>
      </c>
      <c r="F261" s="26">
        <v>44242</v>
      </c>
      <c r="H261" t="s">
        <v>27</v>
      </c>
      <c r="I261" t="s">
        <v>54</v>
      </c>
      <c r="J261" t="s">
        <v>64</v>
      </c>
      <c r="K261" t="s">
        <v>43</v>
      </c>
      <c r="L261" s="27" t="s">
        <v>45</v>
      </c>
      <c r="M261" t="s">
        <v>46</v>
      </c>
      <c r="N261" t="s">
        <v>89</v>
      </c>
      <c r="O261" t="s">
        <v>60</v>
      </c>
      <c r="P261" t="s">
        <v>89</v>
      </c>
      <c r="Q261" t="s">
        <v>222</v>
      </c>
      <c r="R261">
        <v>4</v>
      </c>
      <c r="S261" s="1">
        <v>250000</v>
      </c>
      <c r="T261" s="1">
        <f ca="1">ROUND(T_EMPLOYEES[[#This Row],[EMP_CTC1]]/12, 0)</f>
        <v>20833</v>
      </c>
      <c r="U261" s="1">
        <v>150000</v>
      </c>
      <c r="V261" s="1" t="s">
        <v>207</v>
      </c>
      <c r="W261" s="1" t="s">
        <v>207</v>
      </c>
      <c r="X26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Ramesha N P Puttaramaiah (1024521)</v>
      </c>
      <c r="Y261">
        <v>100000</v>
      </c>
      <c r="Z261" s="29">
        <f t="shared" ca="1" si="4"/>
        <v>40</v>
      </c>
      <c r="AA261">
        <f ca="1">IF(T_EMPLOYEES[[#This Row],[EMPLOYEE NUMBER]]="","",ROW(T_EMPLOYEES[[#This Row],[EMPLOYEE LABEL]])-ROW(T_EMPLOYEES[[#Headers],[EMPLOYEE LABEL]]))</f>
        <v>258</v>
      </c>
      <c r="AB261">
        <f ca="1">IF(T_EMPLOYEES[[#This Row],[EMPLOYEE NUMBER]]="","",IF(COUNTIF(T_EMPLOYEES[EMPLOYEE NUMBER],T_EMPLOYEES[[#This Row],[EMPLOYEE NUMBER]])&gt;1,1,0))</f>
        <v>0</v>
      </c>
      <c r="AC261">
        <f ca="1">IF(T_EMPLOYEES[[#This Row],[EMPLOYEE NUMBER]]="","",IF(AND(T_EMPLOYEES[[#This Row],[DATE OF BIRTH]]&gt;0,T_EMPLOYEES[[#This Row],[DATE OF BIRTH]]&lt;TODAY()),0,1))</f>
        <v>0</v>
      </c>
      <c r="AD261">
        <f ca="1">IF(T_EMPLOYEES[[#This Row],[EMPLOYEE NUMBER]]="","",IF(AND(T_EMPLOYEES[[#This Row],[START DATE]]&gt;0,T_EMPLOYEES[[#This Row],[START DATE]]&lt;TODAY()+60),0,1))</f>
        <v>0</v>
      </c>
      <c r="AE261">
        <f ca="1">IF(T_EMPLOYEES[[#This Row],[EMPLOYEE NUMBER]]="","",MATCH(T_EMPLOYEES[[#This Row],[GENDER]],L_GENDER,0))</f>
        <v>1</v>
      </c>
      <c r="AF261">
        <f ca="1">IF(T_EMPLOYEES[[#This Row],[EMPLOYEE NUMBER]]="","",MATCH(T_EMPLOYEES[[#This Row],[HIRE SOURCE]],L_HIRESOURCE,0))</f>
        <v>4</v>
      </c>
      <c r="AG261">
        <f ca="1">IF(T_EMPLOYEES[[#This Row],[EMPLOYEE NUMBER]]="","",MATCH(T_EMPLOYEES[[#This Row],[ETHNICITY]],L_ETHNICITY,0))</f>
        <v>3</v>
      </c>
      <c r="AH261">
        <f ca="1">IF(T_EMPLOYEES[[#This Row],[EMPLOYEE NUMBER]]="","",MATCH(T_EMPLOYEES[[#This Row],[LOCATION]],L_LOCATION,0))</f>
        <v>2</v>
      </c>
      <c r="AI261">
        <f ca="1">IF(T_EMPLOYEES[[#This Row],[EMPLOYEE NUMBER]]="","",MATCH(T_EMPLOYEES[[#This Row],[DEPARTMENT]],L_DEPARTMENT,0))</f>
        <v>2</v>
      </c>
      <c r="AJ261">
        <f ca="1">IF(T_EMPLOYEES[[#This Row],[EMPLOYEE NUMBER]]="","",MATCH(T_EMPLOYEES[[#This Row],[JOB TYPE]],L_JOBTYPE,0))</f>
        <v>2</v>
      </c>
      <c r="AK261">
        <f ca="1">IF(T_EMPLOYEES[[#This Row],[EMPLOYEE NUMBER]]="","",MATCH(T_EMPLOYEES[[#This Row],[JOB CATEGORY]],L_JOBCATEGORY,0))</f>
        <v>6</v>
      </c>
      <c r="AL261">
        <f ca="1">IF(T_EMPLOYEES[[#This Row],[EMPLOYEE NUMBER]]="","",MATCH(T_EMPLOYEES[[#This Row],[JOB LEVEL]],L_JOBLEVEL,0))</f>
        <v>3</v>
      </c>
      <c r="AM261">
        <f ca="1">IF(T_EMPLOYEES[[#This Row],[EMPLOYEE NUMBER]]="","",MATCH(T_EMPLOYEES[[#This Row],[JOB TITLE]],L_JOBTITLE,0))</f>
        <v>6</v>
      </c>
      <c r="AN261">
        <f ca="1">IF(T_EMPLOYEES[[#This Row],[EMPLOYEE NUMBER]]="","",MATCH(T_EMPLOYEES[[#This Row],[MANAGER]],L_EMPLABELS,0))</f>
        <v>69</v>
      </c>
      <c r="AO261">
        <f ca="1">IF(T_EMPLOYEES[[#This Row],[EMPLOYEE NUMBER]]="","",IF(T_EMPLOYEES[[#This Row],[ERROR]]="",0,1))</f>
        <v>0</v>
      </c>
      <c r="AP26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2" spans="1:42">
      <c r="A262" t="s">
        <v>955</v>
      </c>
      <c r="B262" t="s">
        <v>956</v>
      </c>
      <c r="C262">
        <v>1030984</v>
      </c>
      <c r="D262" t="s">
        <v>957</v>
      </c>
      <c r="E262" s="26">
        <v>34333</v>
      </c>
      <c r="F262" s="26">
        <v>44883</v>
      </c>
      <c r="H262" t="s">
        <v>40</v>
      </c>
      <c r="I262" t="s">
        <v>54</v>
      </c>
      <c r="J262" t="s">
        <v>64</v>
      </c>
      <c r="K262" t="s">
        <v>30</v>
      </c>
      <c r="L262" s="27" t="s">
        <v>45</v>
      </c>
      <c r="M262" t="s">
        <v>46</v>
      </c>
      <c r="N262" t="s">
        <v>111</v>
      </c>
      <c r="O262" t="s">
        <v>71</v>
      </c>
      <c r="P262" t="s">
        <v>111</v>
      </c>
      <c r="Q262" t="s">
        <v>304</v>
      </c>
      <c r="R262" s="27">
        <v>5</v>
      </c>
      <c r="S262" s="1">
        <v>250000</v>
      </c>
      <c r="T262" s="1">
        <f ca="1">ROUND(T_EMPLOYEES[[#This Row],[EMP_CTC1]]/12, 0)</f>
        <v>20833</v>
      </c>
      <c r="U262" s="1">
        <v>150000</v>
      </c>
      <c r="V262" s="1" t="s">
        <v>207</v>
      </c>
      <c r="W262" s="1" t="s">
        <v>207</v>
      </c>
      <c r="X26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Kudupudi Harika  (1030984)</v>
      </c>
      <c r="Y262">
        <v>100000</v>
      </c>
      <c r="Z262" s="29">
        <f t="shared" ref="Z262:Z325" ca="1" si="5">(S262 - U262)/S262 * 100</f>
        <v>40</v>
      </c>
      <c r="AA262">
        <f ca="1">IF(T_EMPLOYEES[[#This Row],[EMPLOYEE NUMBER]]="","",ROW(T_EMPLOYEES[[#This Row],[EMPLOYEE LABEL]])-ROW(T_EMPLOYEES[[#Headers],[EMPLOYEE LABEL]]))</f>
        <v>259</v>
      </c>
      <c r="AB262">
        <f ca="1">IF(T_EMPLOYEES[[#This Row],[EMPLOYEE NUMBER]]="","",IF(COUNTIF(T_EMPLOYEES[EMPLOYEE NUMBER],T_EMPLOYEES[[#This Row],[EMPLOYEE NUMBER]])&gt;1,1,0))</f>
        <v>0</v>
      </c>
      <c r="AC262">
        <f ca="1">IF(T_EMPLOYEES[[#This Row],[EMPLOYEE NUMBER]]="","",IF(AND(T_EMPLOYEES[[#This Row],[DATE OF BIRTH]]&gt;0,T_EMPLOYEES[[#This Row],[DATE OF BIRTH]]&lt;TODAY()),0,1))</f>
        <v>0</v>
      </c>
      <c r="AD262">
        <f ca="1">IF(T_EMPLOYEES[[#This Row],[EMPLOYEE NUMBER]]="","",IF(AND(T_EMPLOYEES[[#This Row],[START DATE]]&gt;0,T_EMPLOYEES[[#This Row],[START DATE]]&lt;TODAY()+60),0,1))</f>
        <v>0</v>
      </c>
      <c r="AE262">
        <f ca="1">IF(T_EMPLOYEES[[#This Row],[EMPLOYEE NUMBER]]="","",MATCH(T_EMPLOYEES[[#This Row],[GENDER]],L_GENDER,0))</f>
        <v>2</v>
      </c>
      <c r="AF262">
        <f ca="1">IF(T_EMPLOYEES[[#This Row],[EMPLOYEE NUMBER]]="","",MATCH(T_EMPLOYEES[[#This Row],[HIRE SOURCE]],L_HIRESOURCE,0))</f>
        <v>4</v>
      </c>
      <c r="AG262">
        <f ca="1">IF(T_EMPLOYEES[[#This Row],[EMPLOYEE NUMBER]]="","",MATCH(T_EMPLOYEES[[#This Row],[ETHNICITY]],L_ETHNICITY,0))</f>
        <v>3</v>
      </c>
      <c r="AH262">
        <f ca="1">IF(T_EMPLOYEES[[#This Row],[EMPLOYEE NUMBER]]="","",MATCH(T_EMPLOYEES[[#This Row],[LOCATION]],L_LOCATION,0))</f>
        <v>1</v>
      </c>
      <c r="AI262">
        <f ca="1">IF(T_EMPLOYEES[[#This Row],[EMPLOYEE NUMBER]]="","",MATCH(T_EMPLOYEES[[#This Row],[DEPARTMENT]],L_DEPARTMENT,0))</f>
        <v>2</v>
      </c>
      <c r="AJ262">
        <f ca="1">IF(T_EMPLOYEES[[#This Row],[EMPLOYEE NUMBER]]="","",MATCH(T_EMPLOYEES[[#This Row],[JOB TYPE]],L_JOBTYPE,0))</f>
        <v>2</v>
      </c>
      <c r="AK262">
        <f ca="1">IF(T_EMPLOYEES[[#This Row],[EMPLOYEE NUMBER]]="","",MATCH(T_EMPLOYEES[[#This Row],[JOB CATEGORY]],L_JOBCATEGORY,0))</f>
        <v>10</v>
      </c>
      <c r="AL262">
        <f ca="1">IF(T_EMPLOYEES[[#This Row],[EMPLOYEE NUMBER]]="","",MATCH(T_EMPLOYEES[[#This Row],[JOB LEVEL]],L_JOBLEVEL,0))</f>
        <v>4</v>
      </c>
      <c r="AM262">
        <f ca="1">IF(T_EMPLOYEES[[#This Row],[EMPLOYEE NUMBER]]="","",MATCH(T_EMPLOYEES[[#This Row],[JOB TITLE]],L_JOBTITLE,0))</f>
        <v>10</v>
      </c>
      <c r="AN262">
        <f ca="1">IF(T_EMPLOYEES[[#This Row],[EMPLOYEE NUMBER]]="","",MATCH(T_EMPLOYEES[[#This Row],[MANAGER]],L_EMPLABELS,0))</f>
        <v>27</v>
      </c>
      <c r="AO262">
        <f ca="1">IF(T_EMPLOYEES[[#This Row],[EMPLOYEE NUMBER]]="","",IF(T_EMPLOYEES[[#This Row],[ERROR]]="",0,1))</f>
        <v>0</v>
      </c>
      <c r="AP26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3" spans="1:42">
      <c r="A263" t="s">
        <v>958</v>
      </c>
      <c r="B263" t="s">
        <v>959</v>
      </c>
      <c r="C263">
        <v>1027181</v>
      </c>
      <c r="D263" t="s">
        <v>960</v>
      </c>
      <c r="E263" s="26">
        <v>34346</v>
      </c>
      <c r="F263" s="26">
        <v>44515</v>
      </c>
      <c r="H263" t="s">
        <v>27</v>
      </c>
      <c r="I263" t="s">
        <v>54</v>
      </c>
      <c r="J263" t="s">
        <v>64</v>
      </c>
      <c r="K263" t="s">
        <v>30</v>
      </c>
      <c r="L263" s="27" t="s">
        <v>110</v>
      </c>
      <c r="M263" t="s">
        <v>46</v>
      </c>
      <c r="N263" t="s">
        <v>89</v>
      </c>
      <c r="O263" t="s">
        <v>60</v>
      </c>
      <c r="P263" t="s">
        <v>89</v>
      </c>
      <c r="Q263" t="s">
        <v>861</v>
      </c>
      <c r="R263">
        <v>4</v>
      </c>
      <c r="S263" s="1">
        <v>250000</v>
      </c>
      <c r="T263" s="1">
        <f ca="1">ROUND(T_EMPLOYEES[[#This Row],[EMP_CTC1]]/12, 0)</f>
        <v>20833</v>
      </c>
      <c r="U263" s="1">
        <v>150000</v>
      </c>
      <c r="V263" s="1" t="s">
        <v>207</v>
      </c>
      <c r="W263" s="1" t="s">
        <v>207</v>
      </c>
      <c r="X26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Kandula Maheshreddy (1027181)</v>
      </c>
      <c r="Y263">
        <v>100000</v>
      </c>
      <c r="Z263" s="29">
        <f t="shared" ca="1" si="5"/>
        <v>40</v>
      </c>
      <c r="AA263">
        <f ca="1">IF(T_EMPLOYEES[[#This Row],[EMPLOYEE NUMBER]]="","",ROW(T_EMPLOYEES[[#This Row],[EMPLOYEE LABEL]])-ROW(T_EMPLOYEES[[#Headers],[EMPLOYEE LABEL]]))</f>
        <v>260</v>
      </c>
      <c r="AB263">
        <f ca="1">IF(T_EMPLOYEES[[#This Row],[EMPLOYEE NUMBER]]="","",IF(COUNTIF(T_EMPLOYEES[EMPLOYEE NUMBER],T_EMPLOYEES[[#This Row],[EMPLOYEE NUMBER]])&gt;1,1,0))</f>
        <v>0</v>
      </c>
      <c r="AC263">
        <f ca="1">IF(T_EMPLOYEES[[#This Row],[EMPLOYEE NUMBER]]="","",IF(AND(T_EMPLOYEES[[#This Row],[DATE OF BIRTH]]&gt;0,T_EMPLOYEES[[#This Row],[DATE OF BIRTH]]&lt;TODAY()),0,1))</f>
        <v>0</v>
      </c>
      <c r="AD263">
        <f ca="1">IF(T_EMPLOYEES[[#This Row],[EMPLOYEE NUMBER]]="","",IF(AND(T_EMPLOYEES[[#This Row],[START DATE]]&gt;0,T_EMPLOYEES[[#This Row],[START DATE]]&lt;TODAY()+60),0,1))</f>
        <v>0</v>
      </c>
      <c r="AE263">
        <f ca="1">IF(T_EMPLOYEES[[#This Row],[EMPLOYEE NUMBER]]="","",MATCH(T_EMPLOYEES[[#This Row],[GENDER]],L_GENDER,0))</f>
        <v>1</v>
      </c>
      <c r="AF263">
        <f ca="1">IF(T_EMPLOYEES[[#This Row],[EMPLOYEE NUMBER]]="","",MATCH(T_EMPLOYEES[[#This Row],[HIRE SOURCE]],L_HIRESOURCE,0))</f>
        <v>4</v>
      </c>
      <c r="AG263">
        <f ca="1">IF(T_EMPLOYEES[[#This Row],[EMPLOYEE NUMBER]]="","",MATCH(T_EMPLOYEES[[#This Row],[ETHNICITY]],L_ETHNICITY,0))</f>
        <v>3</v>
      </c>
      <c r="AH263">
        <f ca="1">IF(T_EMPLOYEES[[#This Row],[EMPLOYEE NUMBER]]="","",MATCH(T_EMPLOYEES[[#This Row],[LOCATION]],L_LOCATION,0))</f>
        <v>1</v>
      </c>
      <c r="AI263">
        <f ca="1">IF(T_EMPLOYEES[[#This Row],[EMPLOYEE NUMBER]]="","",MATCH(T_EMPLOYEES[[#This Row],[DEPARTMENT]],L_DEPARTMENT,0))</f>
        <v>10</v>
      </c>
      <c r="AJ263">
        <f ca="1">IF(T_EMPLOYEES[[#This Row],[EMPLOYEE NUMBER]]="","",MATCH(T_EMPLOYEES[[#This Row],[JOB TYPE]],L_JOBTYPE,0))</f>
        <v>2</v>
      </c>
      <c r="AK263">
        <f ca="1">IF(T_EMPLOYEES[[#This Row],[EMPLOYEE NUMBER]]="","",MATCH(T_EMPLOYEES[[#This Row],[JOB CATEGORY]],L_JOBCATEGORY,0))</f>
        <v>6</v>
      </c>
      <c r="AL263">
        <f ca="1">IF(T_EMPLOYEES[[#This Row],[EMPLOYEE NUMBER]]="","",MATCH(T_EMPLOYEES[[#This Row],[JOB LEVEL]],L_JOBLEVEL,0))</f>
        <v>3</v>
      </c>
      <c r="AM263">
        <f ca="1">IF(T_EMPLOYEES[[#This Row],[EMPLOYEE NUMBER]]="","",MATCH(T_EMPLOYEES[[#This Row],[JOB TITLE]],L_JOBTITLE,0))</f>
        <v>6</v>
      </c>
      <c r="AN263">
        <f ca="1">IF(T_EMPLOYEES[[#This Row],[EMPLOYEE NUMBER]]="","",MATCH(T_EMPLOYEES[[#This Row],[MANAGER]],L_EMPLABELS,0))</f>
        <v>130</v>
      </c>
      <c r="AO263">
        <f ca="1">IF(T_EMPLOYEES[[#This Row],[EMPLOYEE NUMBER]]="","",IF(T_EMPLOYEES[[#This Row],[ERROR]]="",0,1))</f>
        <v>0</v>
      </c>
      <c r="AP26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4" spans="1:42">
      <c r="A264" t="s">
        <v>961</v>
      </c>
      <c r="B264" t="s">
        <v>962</v>
      </c>
      <c r="C264">
        <v>1027829</v>
      </c>
      <c r="D264" t="s">
        <v>963</v>
      </c>
      <c r="E264" s="26">
        <v>34346</v>
      </c>
      <c r="F264" s="26">
        <v>44559</v>
      </c>
      <c r="H264" t="s">
        <v>27</v>
      </c>
      <c r="I264" t="s">
        <v>54</v>
      </c>
      <c r="J264" t="s">
        <v>64</v>
      </c>
      <c r="K264" t="s">
        <v>30</v>
      </c>
      <c r="L264" s="27" t="s">
        <v>45</v>
      </c>
      <c r="M264" t="s">
        <v>46</v>
      </c>
      <c r="N264" t="s">
        <v>151</v>
      </c>
      <c r="O264" t="s">
        <v>36</v>
      </c>
      <c r="P264" t="s">
        <v>151</v>
      </c>
      <c r="Q264" t="s">
        <v>373</v>
      </c>
      <c r="R264" s="27">
        <v>0</v>
      </c>
      <c r="S264" s="1">
        <v>250000</v>
      </c>
      <c r="T264" s="1">
        <f ca="1">ROUND(T_EMPLOYEES[[#This Row],[EMP_CTC1]]/12, 0)</f>
        <v>20833</v>
      </c>
      <c r="U264" s="1">
        <v>150000</v>
      </c>
      <c r="V264" s="1" t="s">
        <v>207</v>
      </c>
      <c r="W264" s="1" t="s">
        <v>207</v>
      </c>
      <c r="X26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Swaleha  Baig (1027829)</v>
      </c>
      <c r="Y264">
        <v>100000</v>
      </c>
      <c r="Z264" s="29">
        <f t="shared" ca="1" si="5"/>
        <v>40</v>
      </c>
      <c r="AA264">
        <f ca="1">IF(T_EMPLOYEES[[#This Row],[EMPLOYEE NUMBER]]="","",ROW(T_EMPLOYEES[[#This Row],[EMPLOYEE LABEL]])-ROW(T_EMPLOYEES[[#Headers],[EMPLOYEE LABEL]]))</f>
        <v>261</v>
      </c>
      <c r="AB264">
        <f ca="1">IF(T_EMPLOYEES[[#This Row],[EMPLOYEE NUMBER]]="","",IF(COUNTIF(T_EMPLOYEES[EMPLOYEE NUMBER],T_EMPLOYEES[[#This Row],[EMPLOYEE NUMBER]])&gt;1,1,0))</f>
        <v>0</v>
      </c>
      <c r="AC264">
        <f ca="1">IF(T_EMPLOYEES[[#This Row],[EMPLOYEE NUMBER]]="","",IF(AND(T_EMPLOYEES[[#This Row],[DATE OF BIRTH]]&gt;0,T_EMPLOYEES[[#This Row],[DATE OF BIRTH]]&lt;TODAY()),0,1))</f>
        <v>0</v>
      </c>
      <c r="AD264">
        <f ca="1">IF(T_EMPLOYEES[[#This Row],[EMPLOYEE NUMBER]]="","",IF(AND(T_EMPLOYEES[[#This Row],[START DATE]]&gt;0,T_EMPLOYEES[[#This Row],[START DATE]]&lt;TODAY()+60),0,1))</f>
        <v>0</v>
      </c>
      <c r="AE264">
        <f ca="1">IF(T_EMPLOYEES[[#This Row],[EMPLOYEE NUMBER]]="","",MATCH(T_EMPLOYEES[[#This Row],[GENDER]],L_GENDER,0))</f>
        <v>1</v>
      </c>
      <c r="AF264">
        <f ca="1">IF(T_EMPLOYEES[[#This Row],[EMPLOYEE NUMBER]]="","",MATCH(T_EMPLOYEES[[#This Row],[HIRE SOURCE]],L_HIRESOURCE,0))</f>
        <v>4</v>
      </c>
      <c r="AG264">
        <f ca="1">IF(T_EMPLOYEES[[#This Row],[EMPLOYEE NUMBER]]="","",MATCH(T_EMPLOYEES[[#This Row],[ETHNICITY]],L_ETHNICITY,0))</f>
        <v>3</v>
      </c>
      <c r="AH264">
        <f ca="1">IF(T_EMPLOYEES[[#This Row],[EMPLOYEE NUMBER]]="","",MATCH(T_EMPLOYEES[[#This Row],[LOCATION]],L_LOCATION,0))</f>
        <v>1</v>
      </c>
      <c r="AI264">
        <f ca="1">IF(T_EMPLOYEES[[#This Row],[EMPLOYEE NUMBER]]="","",MATCH(T_EMPLOYEES[[#This Row],[DEPARTMENT]],L_DEPARTMENT,0))</f>
        <v>2</v>
      </c>
      <c r="AJ264">
        <f ca="1">IF(T_EMPLOYEES[[#This Row],[EMPLOYEE NUMBER]]="","",MATCH(T_EMPLOYEES[[#This Row],[JOB TYPE]],L_JOBTYPE,0))</f>
        <v>2</v>
      </c>
      <c r="AK264">
        <f ca="1">IF(T_EMPLOYEES[[#This Row],[EMPLOYEE NUMBER]]="","",MATCH(T_EMPLOYEES[[#This Row],[JOB CATEGORY]],L_JOBCATEGORY,0))</f>
        <v>30</v>
      </c>
      <c r="AL264">
        <f ca="1">IF(T_EMPLOYEES[[#This Row],[EMPLOYEE NUMBER]]="","",MATCH(T_EMPLOYEES[[#This Row],[JOB LEVEL]],L_JOBLEVEL,0))</f>
        <v>1</v>
      </c>
      <c r="AM264">
        <f ca="1">IF(T_EMPLOYEES[[#This Row],[EMPLOYEE NUMBER]]="","",MATCH(T_EMPLOYEES[[#This Row],[JOB TITLE]],L_JOBTITLE,0))</f>
        <v>30</v>
      </c>
      <c r="AN264">
        <f ca="1">IF(T_EMPLOYEES[[#This Row],[EMPLOYEE NUMBER]]="","",MATCH(T_EMPLOYEES[[#This Row],[MANAGER]],L_EMPLABELS,0))</f>
        <v>9</v>
      </c>
      <c r="AO264">
        <f ca="1">IF(T_EMPLOYEES[[#This Row],[EMPLOYEE NUMBER]]="","",IF(T_EMPLOYEES[[#This Row],[ERROR]]="",0,1))</f>
        <v>0</v>
      </c>
      <c r="AP26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5" spans="1:42">
      <c r="A265" t="s">
        <v>964</v>
      </c>
      <c r="B265" t="s">
        <v>965</v>
      </c>
      <c r="C265">
        <v>1024600</v>
      </c>
      <c r="D265" t="s">
        <v>966</v>
      </c>
      <c r="E265" s="26">
        <v>34370</v>
      </c>
      <c r="F265" s="26">
        <v>44249</v>
      </c>
      <c r="H265" t="s">
        <v>27</v>
      </c>
      <c r="I265" t="s">
        <v>54</v>
      </c>
      <c r="J265" t="s">
        <v>64</v>
      </c>
      <c r="K265" t="s">
        <v>43</v>
      </c>
      <c r="L265" s="27" t="s">
        <v>45</v>
      </c>
      <c r="M265" t="s">
        <v>46</v>
      </c>
      <c r="N265" t="s">
        <v>154</v>
      </c>
      <c r="O265" t="s">
        <v>71</v>
      </c>
      <c r="P265" t="s">
        <v>154</v>
      </c>
      <c r="Q265" t="s">
        <v>218</v>
      </c>
      <c r="R265">
        <v>5</v>
      </c>
      <c r="S265" s="1">
        <v>250000</v>
      </c>
      <c r="T265" s="1">
        <f ca="1">ROUND(T_EMPLOYEES[[#This Row],[EMP_CTC1]]/12, 0)</f>
        <v>20833</v>
      </c>
      <c r="U265" s="1">
        <v>150000</v>
      </c>
      <c r="V265" s="1" t="s">
        <v>207</v>
      </c>
      <c r="W265" s="1" t="s">
        <v>207</v>
      </c>
      <c r="X26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Mettu  Teja (1024600)</v>
      </c>
      <c r="Y265">
        <v>100000</v>
      </c>
      <c r="Z265" s="29">
        <f t="shared" ca="1" si="5"/>
        <v>40</v>
      </c>
      <c r="AA265">
        <f ca="1">IF(T_EMPLOYEES[[#This Row],[EMPLOYEE NUMBER]]="","",ROW(T_EMPLOYEES[[#This Row],[EMPLOYEE LABEL]])-ROW(T_EMPLOYEES[[#Headers],[EMPLOYEE LABEL]]))</f>
        <v>262</v>
      </c>
      <c r="AB265">
        <f ca="1">IF(T_EMPLOYEES[[#This Row],[EMPLOYEE NUMBER]]="","",IF(COUNTIF(T_EMPLOYEES[EMPLOYEE NUMBER],T_EMPLOYEES[[#This Row],[EMPLOYEE NUMBER]])&gt;1,1,0))</f>
        <v>0</v>
      </c>
      <c r="AC265">
        <f ca="1">IF(T_EMPLOYEES[[#This Row],[EMPLOYEE NUMBER]]="","",IF(AND(T_EMPLOYEES[[#This Row],[DATE OF BIRTH]]&gt;0,T_EMPLOYEES[[#This Row],[DATE OF BIRTH]]&lt;TODAY()),0,1))</f>
        <v>0</v>
      </c>
      <c r="AD265">
        <f ca="1">IF(T_EMPLOYEES[[#This Row],[EMPLOYEE NUMBER]]="","",IF(AND(T_EMPLOYEES[[#This Row],[START DATE]]&gt;0,T_EMPLOYEES[[#This Row],[START DATE]]&lt;TODAY()+60),0,1))</f>
        <v>0</v>
      </c>
      <c r="AE265">
        <f ca="1">IF(T_EMPLOYEES[[#This Row],[EMPLOYEE NUMBER]]="","",MATCH(T_EMPLOYEES[[#This Row],[GENDER]],L_GENDER,0))</f>
        <v>1</v>
      </c>
      <c r="AF265">
        <f ca="1">IF(T_EMPLOYEES[[#This Row],[EMPLOYEE NUMBER]]="","",MATCH(T_EMPLOYEES[[#This Row],[HIRE SOURCE]],L_HIRESOURCE,0))</f>
        <v>4</v>
      </c>
      <c r="AG265">
        <f ca="1">IF(T_EMPLOYEES[[#This Row],[EMPLOYEE NUMBER]]="","",MATCH(T_EMPLOYEES[[#This Row],[ETHNICITY]],L_ETHNICITY,0))</f>
        <v>3</v>
      </c>
      <c r="AH265">
        <f ca="1">IF(T_EMPLOYEES[[#This Row],[EMPLOYEE NUMBER]]="","",MATCH(T_EMPLOYEES[[#This Row],[LOCATION]],L_LOCATION,0))</f>
        <v>2</v>
      </c>
      <c r="AI265">
        <f ca="1">IF(T_EMPLOYEES[[#This Row],[EMPLOYEE NUMBER]]="","",MATCH(T_EMPLOYEES[[#This Row],[DEPARTMENT]],L_DEPARTMENT,0))</f>
        <v>2</v>
      </c>
      <c r="AJ265">
        <f ca="1">IF(T_EMPLOYEES[[#This Row],[EMPLOYEE NUMBER]]="","",MATCH(T_EMPLOYEES[[#This Row],[JOB TYPE]],L_JOBTYPE,0))</f>
        <v>2</v>
      </c>
      <c r="AK265">
        <f ca="1">IF(T_EMPLOYEES[[#This Row],[EMPLOYEE NUMBER]]="","",MATCH(T_EMPLOYEES[[#This Row],[JOB CATEGORY]],L_JOBCATEGORY,0))</f>
        <v>33</v>
      </c>
      <c r="AL265">
        <f ca="1">IF(T_EMPLOYEES[[#This Row],[EMPLOYEE NUMBER]]="","",MATCH(T_EMPLOYEES[[#This Row],[JOB LEVEL]],L_JOBLEVEL,0))</f>
        <v>4</v>
      </c>
      <c r="AM265">
        <f ca="1">IF(T_EMPLOYEES[[#This Row],[EMPLOYEE NUMBER]]="","",MATCH(T_EMPLOYEES[[#This Row],[JOB TITLE]],L_JOBTITLE,0))</f>
        <v>33</v>
      </c>
      <c r="AN265">
        <f ca="1">IF(T_EMPLOYEES[[#This Row],[EMPLOYEE NUMBER]]="","",MATCH(T_EMPLOYEES[[#This Row],[MANAGER]],L_EMPLABELS,0))</f>
        <v>43</v>
      </c>
      <c r="AO265">
        <f ca="1">IF(T_EMPLOYEES[[#This Row],[EMPLOYEE NUMBER]]="","",IF(T_EMPLOYEES[[#This Row],[ERROR]]="",0,1))</f>
        <v>0</v>
      </c>
      <c r="AP26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6" spans="1:42">
      <c r="A266" t="s">
        <v>967</v>
      </c>
      <c r="B266" t="s">
        <v>968</v>
      </c>
      <c r="C266">
        <v>1024679</v>
      </c>
      <c r="D266" t="s">
        <v>969</v>
      </c>
      <c r="E266" s="26">
        <v>34391</v>
      </c>
      <c r="F266" s="26">
        <v>44256</v>
      </c>
      <c r="H266" t="s">
        <v>40</v>
      </c>
      <c r="I266" t="s">
        <v>54</v>
      </c>
      <c r="J266" t="s">
        <v>64</v>
      </c>
      <c r="K266" t="s">
        <v>43</v>
      </c>
      <c r="L266" s="27" t="s">
        <v>45</v>
      </c>
      <c r="M266" t="s">
        <v>46</v>
      </c>
      <c r="N266" t="s">
        <v>158</v>
      </c>
      <c r="O266" t="s">
        <v>48</v>
      </c>
      <c r="P266" t="s">
        <v>158</v>
      </c>
      <c r="Q266" t="s">
        <v>970</v>
      </c>
      <c r="R266" s="27">
        <v>4</v>
      </c>
      <c r="S266" s="1">
        <v>250000</v>
      </c>
      <c r="T266" s="1">
        <f ca="1">ROUND(T_EMPLOYEES[[#This Row],[EMP_CTC1]]/12, 0)</f>
        <v>20833</v>
      </c>
      <c r="U266" s="1">
        <v>150000</v>
      </c>
      <c r="V266" s="1" t="s">
        <v>207</v>
      </c>
      <c r="W266" s="1" t="s">
        <v>207</v>
      </c>
      <c r="X26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Parvathy S Nair (1024679)</v>
      </c>
      <c r="Y266">
        <v>100000</v>
      </c>
      <c r="Z266" s="29">
        <f t="shared" ca="1" si="5"/>
        <v>40</v>
      </c>
      <c r="AA266">
        <f ca="1">IF(T_EMPLOYEES[[#This Row],[EMPLOYEE NUMBER]]="","",ROW(T_EMPLOYEES[[#This Row],[EMPLOYEE LABEL]])-ROW(T_EMPLOYEES[[#Headers],[EMPLOYEE LABEL]]))</f>
        <v>263</v>
      </c>
      <c r="AB266">
        <f ca="1">IF(T_EMPLOYEES[[#This Row],[EMPLOYEE NUMBER]]="","",IF(COUNTIF(T_EMPLOYEES[EMPLOYEE NUMBER],T_EMPLOYEES[[#This Row],[EMPLOYEE NUMBER]])&gt;1,1,0))</f>
        <v>0</v>
      </c>
      <c r="AC266">
        <f ca="1">IF(T_EMPLOYEES[[#This Row],[EMPLOYEE NUMBER]]="","",IF(AND(T_EMPLOYEES[[#This Row],[DATE OF BIRTH]]&gt;0,T_EMPLOYEES[[#This Row],[DATE OF BIRTH]]&lt;TODAY()),0,1))</f>
        <v>0</v>
      </c>
      <c r="AD266">
        <f ca="1">IF(T_EMPLOYEES[[#This Row],[EMPLOYEE NUMBER]]="","",IF(AND(T_EMPLOYEES[[#This Row],[START DATE]]&gt;0,T_EMPLOYEES[[#This Row],[START DATE]]&lt;TODAY()+60),0,1))</f>
        <v>0</v>
      </c>
      <c r="AE266">
        <f ca="1">IF(T_EMPLOYEES[[#This Row],[EMPLOYEE NUMBER]]="","",MATCH(T_EMPLOYEES[[#This Row],[GENDER]],L_GENDER,0))</f>
        <v>2</v>
      </c>
      <c r="AF266">
        <f ca="1">IF(T_EMPLOYEES[[#This Row],[EMPLOYEE NUMBER]]="","",MATCH(T_EMPLOYEES[[#This Row],[HIRE SOURCE]],L_HIRESOURCE,0))</f>
        <v>4</v>
      </c>
      <c r="AG266">
        <f ca="1">IF(T_EMPLOYEES[[#This Row],[EMPLOYEE NUMBER]]="","",MATCH(T_EMPLOYEES[[#This Row],[ETHNICITY]],L_ETHNICITY,0))</f>
        <v>3</v>
      </c>
      <c r="AH266">
        <f ca="1">IF(T_EMPLOYEES[[#This Row],[EMPLOYEE NUMBER]]="","",MATCH(T_EMPLOYEES[[#This Row],[LOCATION]],L_LOCATION,0))</f>
        <v>2</v>
      </c>
      <c r="AI266">
        <f ca="1">IF(T_EMPLOYEES[[#This Row],[EMPLOYEE NUMBER]]="","",MATCH(T_EMPLOYEES[[#This Row],[DEPARTMENT]],L_DEPARTMENT,0))</f>
        <v>2</v>
      </c>
      <c r="AJ266">
        <f ca="1">IF(T_EMPLOYEES[[#This Row],[EMPLOYEE NUMBER]]="","",MATCH(T_EMPLOYEES[[#This Row],[JOB TYPE]],L_JOBTYPE,0))</f>
        <v>2</v>
      </c>
      <c r="AK266">
        <f ca="1">IF(T_EMPLOYEES[[#This Row],[EMPLOYEE NUMBER]]="","",MATCH(T_EMPLOYEES[[#This Row],[JOB CATEGORY]],L_JOBCATEGORY,0))</f>
        <v>37</v>
      </c>
      <c r="AL266">
        <f ca="1">IF(T_EMPLOYEES[[#This Row],[EMPLOYEE NUMBER]]="","",MATCH(T_EMPLOYEES[[#This Row],[JOB LEVEL]],L_JOBLEVEL,0))</f>
        <v>2</v>
      </c>
      <c r="AM266">
        <f ca="1">IF(T_EMPLOYEES[[#This Row],[EMPLOYEE NUMBER]]="","",MATCH(T_EMPLOYEES[[#This Row],[JOB TITLE]],L_JOBTITLE,0))</f>
        <v>37</v>
      </c>
      <c r="AN266">
        <f ca="1">IF(T_EMPLOYEES[[#This Row],[EMPLOYEE NUMBER]]="","",MATCH(T_EMPLOYEES[[#This Row],[MANAGER]],L_EMPLABELS,0))</f>
        <v>124</v>
      </c>
      <c r="AO266">
        <f ca="1">IF(T_EMPLOYEES[[#This Row],[EMPLOYEE NUMBER]]="","",IF(T_EMPLOYEES[[#This Row],[ERROR]]="",0,1))</f>
        <v>0</v>
      </c>
      <c r="AP26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7" spans="1:42">
      <c r="A267" t="s">
        <v>971</v>
      </c>
      <c r="B267" t="s">
        <v>972</v>
      </c>
      <c r="C267">
        <v>1021180</v>
      </c>
      <c r="D267" t="s">
        <v>973</v>
      </c>
      <c r="E267" s="26">
        <v>34400</v>
      </c>
      <c r="F267" s="26">
        <v>43402</v>
      </c>
      <c r="H267" t="s">
        <v>27</v>
      </c>
      <c r="I267" t="s">
        <v>54</v>
      </c>
      <c r="J267" t="s">
        <v>64</v>
      </c>
      <c r="K267" t="s">
        <v>30</v>
      </c>
      <c r="L267" s="27" t="s">
        <v>45</v>
      </c>
      <c r="M267" t="s">
        <v>46</v>
      </c>
      <c r="N267" t="s">
        <v>152</v>
      </c>
      <c r="O267" t="s">
        <v>60</v>
      </c>
      <c r="P267" t="s">
        <v>152</v>
      </c>
      <c r="Q267" t="s">
        <v>684</v>
      </c>
      <c r="R267">
        <v>4</v>
      </c>
      <c r="S267" s="1">
        <v>250000</v>
      </c>
      <c r="T267" s="1">
        <f ca="1">ROUND(T_EMPLOYEES[[#This Row],[EMP_CTC1]]/12, 0)</f>
        <v>20833</v>
      </c>
      <c r="U267" s="1">
        <v>150000</v>
      </c>
      <c r="V267" s="1" t="s">
        <v>207</v>
      </c>
      <c r="W267" s="1" t="s">
        <v>207</v>
      </c>
      <c r="X26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Sagar Shivanand Ghante (1021180)</v>
      </c>
      <c r="Y267">
        <v>100000</v>
      </c>
      <c r="Z267" s="29">
        <f t="shared" ca="1" si="5"/>
        <v>40</v>
      </c>
      <c r="AA267">
        <f ca="1">IF(T_EMPLOYEES[[#This Row],[EMPLOYEE NUMBER]]="","",ROW(T_EMPLOYEES[[#This Row],[EMPLOYEE LABEL]])-ROW(T_EMPLOYEES[[#Headers],[EMPLOYEE LABEL]]))</f>
        <v>264</v>
      </c>
      <c r="AB267">
        <f ca="1">IF(T_EMPLOYEES[[#This Row],[EMPLOYEE NUMBER]]="","",IF(COUNTIF(T_EMPLOYEES[EMPLOYEE NUMBER],T_EMPLOYEES[[#This Row],[EMPLOYEE NUMBER]])&gt;1,1,0))</f>
        <v>0</v>
      </c>
      <c r="AC267">
        <f ca="1">IF(T_EMPLOYEES[[#This Row],[EMPLOYEE NUMBER]]="","",IF(AND(T_EMPLOYEES[[#This Row],[DATE OF BIRTH]]&gt;0,T_EMPLOYEES[[#This Row],[DATE OF BIRTH]]&lt;TODAY()),0,1))</f>
        <v>0</v>
      </c>
      <c r="AD267">
        <f ca="1">IF(T_EMPLOYEES[[#This Row],[EMPLOYEE NUMBER]]="","",IF(AND(T_EMPLOYEES[[#This Row],[START DATE]]&gt;0,T_EMPLOYEES[[#This Row],[START DATE]]&lt;TODAY()+60),0,1))</f>
        <v>0</v>
      </c>
      <c r="AE267">
        <f ca="1">IF(T_EMPLOYEES[[#This Row],[EMPLOYEE NUMBER]]="","",MATCH(T_EMPLOYEES[[#This Row],[GENDER]],L_GENDER,0))</f>
        <v>1</v>
      </c>
      <c r="AF267">
        <f ca="1">IF(T_EMPLOYEES[[#This Row],[EMPLOYEE NUMBER]]="","",MATCH(T_EMPLOYEES[[#This Row],[HIRE SOURCE]],L_HIRESOURCE,0))</f>
        <v>4</v>
      </c>
      <c r="AG267">
        <f ca="1">IF(T_EMPLOYEES[[#This Row],[EMPLOYEE NUMBER]]="","",MATCH(T_EMPLOYEES[[#This Row],[ETHNICITY]],L_ETHNICITY,0))</f>
        <v>3</v>
      </c>
      <c r="AH267">
        <f ca="1">IF(T_EMPLOYEES[[#This Row],[EMPLOYEE NUMBER]]="","",MATCH(T_EMPLOYEES[[#This Row],[LOCATION]],L_LOCATION,0))</f>
        <v>1</v>
      </c>
      <c r="AI267">
        <f ca="1">IF(T_EMPLOYEES[[#This Row],[EMPLOYEE NUMBER]]="","",MATCH(T_EMPLOYEES[[#This Row],[DEPARTMENT]],L_DEPARTMENT,0))</f>
        <v>2</v>
      </c>
      <c r="AJ267">
        <f ca="1">IF(T_EMPLOYEES[[#This Row],[EMPLOYEE NUMBER]]="","",MATCH(T_EMPLOYEES[[#This Row],[JOB TYPE]],L_JOBTYPE,0))</f>
        <v>2</v>
      </c>
      <c r="AK267">
        <f ca="1">IF(T_EMPLOYEES[[#This Row],[EMPLOYEE NUMBER]]="","",MATCH(T_EMPLOYEES[[#This Row],[JOB CATEGORY]],L_JOBCATEGORY,0))</f>
        <v>31</v>
      </c>
      <c r="AL267">
        <f ca="1">IF(T_EMPLOYEES[[#This Row],[EMPLOYEE NUMBER]]="","",MATCH(T_EMPLOYEES[[#This Row],[JOB LEVEL]],L_JOBLEVEL,0))</f>
        <v>3</v>
      </c>
      <c r="AM267">
        <f ca="1">IF(T_EMPLOYEES[[#This Row],[EMPLOYEE NUMBER]]="","",MATCH(T_EMPLOYEES[[#This Row],[JOB TITLE]],L_JOBTITLE,0))</f>
        <v>31</v>
      </c>
      <c r="AN267">
        <f ca="1">IF(T_EMPLOYEES[[#This Row],[EMPLOYEE NUMBER]]="","",MATCH(T_EMPLOYEES[[#This Row],[MANAGER]],L_EMPLABELS,0))</f>
        <v>232</v>
      </c>
      <c r="AO267">
        <f ca="1">IF(T_EMPLOYEES[[#This Row],[EMPLOYEE NUMBER]]="","",IF(T_EMPLOYEES[[#This Row],[ERROR]]="",0,1))</f>
        <v>0</v>
      </c>
      <c r="AP26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8" spans="1:42">
      <c r="A268" t="s">
        <v>974</v>
      </c>
      <c r="B268" t="s">
        <v>975</v>
      </c>
      <c r="C268">
        <v>1020234</v>
      </c>
      <c r="D268" t="s">
        <v>976</v>
      </c>
      <c r="E268" s="26">
        <v>34415</v>
      </c>
      <c r="F268" s="26">
        <v>43143</v>
      </c>
      <c r="H268" t="s">
        <v>40</v>
      </c>
      <c r="I268" t="s">
        <v>54</v>
      </c>
      <c r="J268" t="s">
        <v>64</v>
      </c>
      <c r="K268" t="s">
        <v>30</v>
      </c>
      <c r="L268" s="27" t="s">
        <v>45</v>
      </c>
      <c r="M268" t="s">
        <v>46</v>
      </c>
      <c r="N268" t="s">
        <v>152</v>
      </c>
      <c r="O268" t="s">
        <v>60</v>
      </c>
      <c r="P268" t="s">
        <v>152</v>
      </c>
      <c r="Q268" t="s">
        <v>684</v>
      </c>
      <c r="R268" s="27">
        <v>4</v>
      </c>
      <c r="S268" s="1">
        <v>250000</v>
      </c>
      <c r="T268" s="1">
        <f ca="1">ROUND(T_EMPLOYEES[[#This Row],[EMP_CTC1]]/12, 0)</f>
        <v>20833</v>
      </c>
      <c r="U268" s="1">
        <v>150000</v>
      </c>
      <c r="V268" s="1" t="s">
        <v>207</v>
      </c>
      <c r="W268" s="1" t="s">
        <v>207</v>
      </c>
      <c r="X26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Sweta Korwar (1020234)</v>
      </c>
      <c r="Y268">
        <v>100000</v>
      </c>
      <c r="Z268" s="29">
        <f t="shared" ca="1" si="5"/>
        <v>40</v>
      </c>
      <c r="AA268">
        <f ca="1">IF(T_EMPLOYEES[[#This Row],[EMPLOYEE NUMBER]]="","",ROW(T_EMPLOYEES[[#This Row],[EMPLOYEE LABEL]])-ROW(T_EMPLOYEES[[#Headers],[EMPLOYEE LABEL]]))</f>
        <v>265</v>
      </c>
      <c r="AB268">
        <f ca="1">IF(T_EMPLOYEES[[#This Row],[EMPLOYEE NUMBER]]="","",IF(COUNTIF(T_EMPLOYEES[EMPLOYEE NUMBER],T_EMPLOYEES[[#This Row],[EMPLOYEE NUMBER]])&gt;1,1,0))</f>
        <v>0</v>
      </c>
      <c r="AC268">
        <f ca="1">IF(T_EMPLOYEES[[#This Row],[EMPLOYEE NUMBER]]="","",IF(AND(T_EMPLOYEES[[#This Row],[DATE OF BIRTH]]&gt;0,T_EMPLOYEES[[#This Row],[DATE OF BIRTH]]&lt;TODAY()),0,1))</f>
        <v>0</v>
      </c>
      <c r="AD268">
        <f ca="1">IF(T_EMPLOYEES[[#This Row],[EMPLOYEE NUMBER]]="","",IF(AND(T_EMPLOYEES[[#This Row],[START DATE]]&gt;0,T_EMPLOYEES[[#This Row],[START DATE]]&lt;TODAY()+60),0,1))</f>
        <v>0</v>
      </c>
      <c r="AE268">
        <f ca="1">IF(T_EMPLOYEES[[#This Row],[EMPLOYEE NUMBER]]="","",MATCH(T_EMPLOYEES[[#This Row],[GENDER]],L_GENDER,0))</f>
        <v>2</v>
      </c>
      <c r="AF268">
        <f ca="1">IF(T_EMPLOYEES[[#This Row],[EMPLOYEE NUMBER]]="","",MATCH(T_EMPLOYEES[[#This Row],[HIRE SOURCE]],L_HIRESOURCE,0))</f>
        <v>4</v>
      </c>
      <c r="AG268">
        <f ca="1">IF(T_EMPLOYEES[[#This Row],[EMPLOYEE NUMBER]]="","",MATCH(T_EMPLOYEES[[#This Row],[ETHNICITY]],L_ETHNICITY,0))</f>
        <v>3</v>
      </c>
      <c r="AH268">
        <f ca="1">IF(T_EMPLOYEES[[#This Row],[EMPLOYEE NUMBER]]="","",MATCH(T_EMPLOYEES[[#This Row],[LOCATION]],L_LOCATION,0))</f>
        <v>1</v>
      </c>
      <c r="AI268">
        <f ca="1">IF(T_EMPLOYEES[[#This Row],[EMPLOYEE NUMBER]]="","",MATCH(T_EMPLOYEES[[#This Row],[DEPARTMENT]],L_DEPARTMENT,0))</f>
        <v>2</v>
      </c>
      <c r="AJ268">
        <f ca="1">IF(T_EMPLOYEES[[#This Row],[EMPLOYEE NUMBER]]="","",MATCH(T_EMPLOYEES[[#This Row],[JOB TYPE]],L_JOBTYPE,0))</f>
        <v>2</v>
      </c>
      <c r="AK268">
        <f ca="1">IF(T_EMPLOYEES[[#This Row],[EMPLOYEE NUMBER]]="","",MATCH(T_EMPLOYEES[[#This Row],[JOB CATEGORY]],L_JOBCATEGORY,0))</f>
        <v>31</v>
      </c>
      <c r="AL268">
        <f ca="1">IF(T_EMPLOYEES[[#This Row],[EMPLOYEE NUMBER]]="","",MATCH(T_EMPLOYEES[[#This Row],[JOB LEVEL]],L_JOBLEVEL,0))</f>
        <v>3</v>
      </c>
      <c r="AM268">
        <f ca="1">IF(T_EMPLOYEES[[#This Row],[EMPLOYEE NUMBER]]="","",MATCH(T_EMPLOYEES[[#This Row],[JOB TITLE]],L_JOBTITLE,0))</f>
        <v>31</v>
      </c>
      <c r="AN268">
        <f ca="1">IF(T_EMPLOYEES[[#This Row],[EMPLOYEE NUMBER]]="","",MATCH(T_EMPLOYEES[[#This Row],[MANAGER]],L_EMPLABELS,0))</f>
        <v>232</v>
      </c>
      <c r="AO268">
        <f ca="1">IF(T_EMPLOYEES[[#This Row],[EMPLOYEE NUMBER]]="","",IF(T_EMPLOYEES[[#This Row],[ERROR]]="",0,1))</f>
        <v>0</v>
      </c>
      <c r="AP26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9" spans="1:42">
      <c r="A269" t="s">
        <v>977</v>
      </c>
      <c r="B269" t="s">
        <v>647</v>
      </c>
      <c r="C269">
        <v>1018335</v>
      </c>
      <c r="D269" t="s">
        <v>978</v>
      </c>
      <c r="E269" s="26">
        <v>34423</v>
      </c>
      <c r="F269" s="26">
        <v>42513</v>
      </c>
      <c r="H269" t="s">
        <v>40</v>
      </c>
      <c r="I269" t="s">
        <v>54</v>
      </c>
      <c r="J269" t="s">
        <v>64</v>
      </c>
      <c r="K269" t="s">
        <v>43</v>
      </c>
      <c r="L269" s="27" t="s">
        <v>45</v>
      </c>
      <c r="M269" t="s">
        <v>46</v>
      </c>
      <c r="N269" t="s">
        <v>152</v>
      </c>
      <c r="O269" t="s">
        <v>60</v>
      </c>
      <c r="P269" t="s">
        <v>152</v>
      </c>
      <c r="Q269" t="s">
        <v>684</v>
      </c>
      <c r="R269">
        <v>4</v>
      </c>
      <c r="S269" s="1">
        <v>250000</v>
      </c>
      <c r="T269" s="1">
        <f ca="1">ROUND(T_EMPLOYEES[[#This Row],[EMP_CTC1]]/12, 0)</f>
        <v>20833</v>
      </c>
      <c r="U269" s="1">
        <v>150000</v>
      </c>
      <c r="V269" s="1" t="s">
        <v>207</v>
      </c>
      <c r="W269" s="1" t="s">
        <v>207</v>
      </c>
      <c r="X26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Priyanga R (1018335)</v>
      </c>
      <c r="Y269">
        <v>100000</v>
      </c>
      <c r="Z269" s="29">
        <f t="shared" ca="1" si="5"/>
        <v>40</v>
      </c>
      <c r="AA269">
        <f ca="1">IF(T_EMPLOYEES[[#This Row],[EMPLOYEE NUMBER]]="","",ROW(T_EMPLOYEES[[#This Row],[EMPLOYEE LABEL]])-ROW(T_EMPLOYEES[[#Headers],[EMPLOYEE LABEL]]))</f>
        <v>266</v>
      </c>
      <c r="AB269">
        <f ca="1">IF(T_EMPLOYEES[[#This Row],[EMPLOYEE NUMBER]]="","",IF(COUNTIF(T_EMPLOYEES[EMPLOYEE NUMBER],T_EMPLOYEES[[#This Row],[EMPLOYEE NUMBER]])&gt;1,1,0))</f>
        <v>0</v>
      </c>
      <c r="AC269">
        <f ca="1">IF(T_EMPLOYEES[[#This Row],[EMPLOYEE NUMBER]]="","",IF(AND(T_EMPLOYEES[[#This Row],[DATE OF BIRTH]]&gt;0,T_EMPLOYEES[[#This Row],[DATE OF BIRTH]]&lt;TODAY()),0,1))</f>
        <v>0</v>
      </c>
      <c r="AD269">
        <f ca="1">IF(T_EMPLOYEES[[#This Row],[EMPLOYEE NUMBER]]="","",IF(AND(T_EMPLOYEES[[#This Row],[START DATE]]&gt;0,T_EMPLOYEES[[#This Row],[START DATE]]&lt;TODAY()+60),0,1))</f>
        <v>0</v>
      </c>
      <c r="AE269">
        <f ca="1">IF(T_EMPLOYEES[[#This Row],[EMPLOYEE NUMBER]]="","",MATCH(T_EMPLOYEES[[#This Row],[GENDER]],L_GENDER,0))</f>
        <v>2</v>
      </c>
      <c r="AF269">
        <f ca="1">IF(T_EMPLOYEES[[#This Row],[EMPLOYEE NUMBER]]="","",MATCH(T_EMPLOYEES[[#This Row],[HIRE SOURCE]],L_HIRESOURCE,0))</f>
        <v>4</v>
      </c>
      <c r="AG269">
        <f ca="1">IF(T_EMPLOYEES[[#This Row],[EMPLOYEE NUMBER]]="","",MATCH(T_EMPLOYEES[[#This Row],[ETHNICITY]],L_ETHNICITY,0))</f>
        <v>3</v>
      </c>
      <c r="AH269">
        <f ca="1">IF(T_EMPLOYEES[[#This Row],[EMPLOYEE NUMBER]]="","",MATCH(T_EMPLOYEES[[#This Row],[LOCATION]],L_LOCATION,0))</f>
        <v>2</v>
      </c>
      <c r="AI269">
        <f ca="1">IF(T_EMPLOYEES[[#This Row],[EMPLOYEE NUMBER]]="","",MATCH(T_EMPLOYEES[[#This Row],[DEPARTMENT]],L_DEPARTMENT,0))</f>
        <v>2</v>
      </c>
      <c r="AJ269">
        <f ca="1">IF(T_EMPLOYEES[[#This Row],[EMPLOYEE NUMBER]]="","",MATCH(T_EMPLOYEES[[#This Row],[JOB TYPE]],L_JOBTYPE,0))</f>
        <v>2</v>
      </c>
      <c r="AK269">
        <f ca="1">IF(T_EMPLOYEES[[#This Row],[EMPLOYEE NUMBER]]="","",MATCH(T_EMPLOYEES[[#This Row],[JOB CATEGORY]],L_JOBCATEGORY,0))</f>
        <v>31</v>
      </c>
      <c r="AL269">
        <f ca="1">IF(T_EMPLOYEES[[#This Row],[EMPLOYEE NUMBER]]="","",MATCH(T_EMPLOYEES[[#This Row],[JOB LEVEL]],L_JOBLEVEL,0))</f>
        <v>3</v>
      </c>
      <c r="AM269">
        <f ca="1">IF(T_EMPLOYEES[[#This Row],[EMPLOYEE NUMBER]]="","",MATCH(T_EMPLOYEES[[#This Row],[JOB TITLE]],L_JOBTITLE,0))</f>
        <v>31</v>
      </c>
      <c r="AN269">
        <f ca="1">IF(T_EMPLOYEES[[#This Row],[EMPLOYEE NUMBER]]="","",MATCH(T_EMPLOYEES[[#This Row],[MANAGER]],L_EMPLABELS,0))</f>
        <v>232</v>
      </c>
      <c r="AO269">
        <f ca="1">IF(T_EMPLOYEES[[#This Row],[EMPLOYEE NUMBER]]="","",IF(T_EMPLOYEES[[#This Row],[ERROR]]="",0,1))</f>
        <v>0</v>
      </c>
      <c r="AP26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0" spans="1:42">
      <c r="A270" t="s">
        <v>979</v>
      </c>
      <c r="B270" t="s">
        <v>980</v>
      </c>
      <c r="C270">
        <v>1032646</v>
      </c>
      <c r="D270" t="s">
        <v>981</v>
      </c>
      <c r="E270" s="26">
        <v>34432</v>
      </c>
      <c r="F270" s="26">
        <v>45042</v>
      </c>
      <c r="H270" t="s">
        <v>40</v>
      </c>
      <c r="I270" t="s">
        <v>54</v>
      </c>
      <c r="J270" t="s">
        <v>64</v>
      </c>
      <c r="K270" t="s">
        <v>77</v>
      </c>
      <c r="L270" s="27" t="s">
        <v>45</v>
      </c>
      <c r="M270" t="s">
        <v>46</v>
      </c>
      <c r="N270" t="s">
        <v>128</v>
      </c>
      <c r="O270" t="s">
        <v>60</v>
      </c>
      <c r="P270" t="s">
        <v>128</v>
      </c>
      <c r="Q270" t="s">
        <v>578</v>
      </c>
      <c r="R270" s="27">
        <v>4</v>
      </c>
      <c r="S270" s="1">
        <v>250000</v>
      </c>
      <c r="T270" s="1">
        <f ca="1">ROUND(T_EMPLOYEES[[#This Row],[EMP_CTC1]]/12, 0)</f>
        <v>20833</v>
      </c>
      <c r="U270" s="1">
        <v>150000</v>
      </c>
      <c r="V270" s="1" t="s">
        <v>207</v>
      </c>
      <c r="W270" s="1" t="s">
        <v>207</v>
      </c>
      <c r="X27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Shermila Devi (1032646)</v>
      </c>
      <c r="Y270">
        <v>100000</v>
      </c>
      <c r="Z270" s="29">
        <f t="shared" ca="1" si="5"/>
        <v>40</v>
      </c>
      <c r="AA270">
        <f ca="1">IF(T_EMPLOYEES[[#This Row],[EMPLOYEE NUMBER]]="","",ROW(T_EMPLOYEES[[#This Row],[EMPLOYEE LABEL]])-ROW(T_EMPLOYEES[[#Headers],[EMPLOYEE LABEL]]))</f>
        <v>267</v>
      </c>
      <c r="AB270">
        <f ca="1">IF(T_EMPLOYEES[[#This Row],[EMPLOYEE NUMBER]]="","",IF(COUNTIF(T_EMPLOYEES[EMPLOYEE NUMBER],T_EMPLOYEES[[#This Row],[EMPLOYEE NUMBER]])&gt;1,1,0))</f>
        <v>0</v>
      </c>
      <c r="AC270">
        <f ca="1">IF(T_EMPLOYEES[[#This Row],[EMPLOYEE NUMBER]]="","",IF(AND(T_EMPLOYEES[[#This Row],[DATE OF BIRTH]]&gt;0,T_EMPLOYEES[[#This Row],[DATE OF BIRTH]]&lt;TODAY()),0,1))</f>
        <v>0</v>
      </c>
      <c r="AD270">
        <f ca="1">IF(T_EMPLOYEES[[#This Row],[EMPLOYEE NUMBER]]="","",IF(AND(T_EMPLOYEES[[#This Row],[START DATE]]&gt;0,T_EMPLOYEES[[#This Row],[START DATE]]&lt;TODAY()+60),0,1))</f>
        <v>0</v>
      </c>
      <c r="AE270">
        <f ca="1">IF(T_EMPLOYEES[[#This Row],[EMPLOYEE NUMBER]]="","",MATCH(T_EMPLOYEES[[#This Row],[GENDER]],L_GENDER,0))</f>
        <v>2</v>
      </c>
      <c r="AF270">
        <f ca="1">IF(T_EMPLOYEES[[#This Row],[EMPLOYEE NUMBER]]="","",MATCH(T_EMPLOYEES[[#This Row],[HIRE SOURCE]],L_HIRESOURCE,0))</f>
        <v>4</v>
      </c>
      <c r="AG270">
        <f ca="1">IF(T_EMPLOYEES[[#This Row],[EMPLOYEE NUMBER]]="","",MATCH(T_EMPLOYEES[[#This Row],[ETHNICITY]],L_ETHNICITY,0))</f>
        <v>3</v>
      </c>
      <c r="AH270">
        <f ca="1">IF(T_EMPLOYEES[[#This Row],[EMPLOYEE NUMBER]]="","",MATCH(T_EMPLOYEES[[#This Row],[LOCATION]],L_LOCATION,0))</f>
        <v>5</v>
      </c>
      <c r="AI270">
        <f ca="1">IF(T_EMPLOYEES[[#This Row],[EMPLOYEE NUMBER]]="","",MATCH(T_EMPLOYEES[[#This Row],[DEPARTMENT]],L_DEPARTMENT,0))</f>
        <v>2</v>
      </c>
      <c r="AJ270">
        <f ca="1">IF(T_EMPLOYEES[[#This Row],[EMPLOYEE NUMBER]]="","",MATCH(T_EMPLOYEES[[#This Row],[JOB TYPE]],L_JOBTYPE,0))</f>
        <v>2</v>
      </c>
      <c r="AK270">
        <f ca="1">IF(T_EMPLOYEES[[#This Row],[EMPLOYEE NUMBER]]="","",MATCH(T_EMPLOYEES[[#This Row],[JOB CATEGORY]],L_JOBCATEGORY,0))</f>
        <v>15</v>
      </c>
      <c r="AL270">
        <f ca="1">IF(T_EMPLOYEES[[#This Row],[EMPLOYEE NUMBER]]="","",MATCH(T_EMPLOYEES[[#This Row],[JOB LEVEL]],L_JOBLEVEL,0))</f>
        <v>3</v>
      </c>
      <c r="AM270">
        <f ca="1">IF(T_EMPLOYEES[[#This Row],[EMPLOYEE NUMBER]]="","",MATCH(T_EMPLOYEES[[#This Row],[JOB TITLE]],L_JOBTITLE,0))</f>
        <v>15</v>
      </c>
      <c r="AN270">
        <f ca="1">IF(T_EMPLOYEES[[#This Row],[EMPLOYEE NUMBER]]="","",MATCH(T_EMPLOYEES[[#This Row],[MANAGER]],L_EMPLABELS,0))</f>
        <v>76</v>
      </c>
      <c r="AO270">
        <f ca="1">IF(T_EMPLOYEES[[#This Row],[EMPLOYEE NUMBER]]="","",IF(T_EMPLOYEES[[#This Row],[ERROR]]="",0,1))</f>
        <v>0</v>
      </c>
      <c r="AP27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1" spans="1:42">
      <c r="A271" t="s">
        <v>982</v>
      </c>
      <c r="B271" t="s">
        <v>983</v>
      </c>
      <c r="C271">
        <v>1024511</v>
      </c>
      <c r="D271" t="s">
        <v>984</v>
      </c>
      <c r="E271" s="26">
        <v>34445</v>
      </c>
      <c r="F271" s="26">
        <v>44242</v>
      </c>
      <c r="H271" t="s">
        <v>27</v>
      </c>
      <c r="I271" t="s">
        <v>54</v>
      </c>
      <c r="J271" t="s">
        <v>64</v>
      </c>
      <c r="K271" t="s">
        <v>77</v>
      </c>
      <c r="L271" s="27" t="s">
        <v>45</v>
      </c>
      <c r="M271" t="s">
        <v>46</v>
      </c>
      <c r="N271" t="s">
        <v>128</v>
      </c>
      <c r="O271" t="s">
        <v>60</v>
      </c>
      <c r="P271" t="s">
        <v>128</v>
      </c>
      <c r="Q271" t="s">
        <v>985</v>
      </c>
      <c r="R271">
        <v>4</v>
      </c>
      <c r="S271" s="1">
        <v>250000</v>
      </c>
      <c r="T271" s="1">
        <f ca="1">ROUND(T_EMPLOYEES[[#This Row],[EMP_CTC1]]/12, 0)</f>
        <v>20833</v>
      </c>
      <c r="U271" s="1">
        <v>150000</v>
      </c>
      <c r="V271" s="1" t="s">
        <v>207</v>
      </c>
      <c r="W271" s="1" t="s">
        <v>207</v>
      </c>
      <c r="X27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Pallerla Saikrishna Reddy (1024511)</v>
      </c>
      <c r="Y271">
        <v>100000</v>
      </c>
      <c r="Z271" s="29">
        <f t="shared" ca="1" si="5"/>
        <v>40</v>
      </c>
      <c r="AA271">
        <f ca="1">IF(T_EMPLOYEES[[#This Row],[EMPLOYEE NUMBER]]="","",ROW(T_EMPLOYEES[[#This Row],[EMPLOYEE LABEL]])-ROW(T_EMPLOYEES[[#Headers],[EMPLOYEE LABEL]]))</f>
        <v>268</v>
      </c>
      <c r="AB271">
        <f ca="1">IF(T_EMPLOYEES[[#This Row],[EMPLOYEE NUMBER]]="","",IF(COUNTIF(T_EMPLOYEES[EMPLOYEE NUMBER],T_EMPLOYEES[[#This Row],[EMPLOYEE NUMBER]])&gt;1,1,0))</f>
        <v>0</v>
      </c>
      <c r="AC271">
        <f ca="1">IF(T_EMPLOYEES[[#This Row],[EMPLOYEE NUMBER]]="","",IF(AND(T_EMPLOYEES[[#This Row],[DATE OF BIRTH]]&gt;0,T_EMPLOYEES[[#This Row],[DATE OF BIRTH]]&lt;TODAY()),0,1))</f>
        <v>0</v>
      </c>
      <c r="AD271">
        <f ca="1">IF(T_EMPLOYEES[[#This Row],[EMPLOYEE NUMBER]]="","",IF(AND(T_EMPLOYEES[[#This Row],[START DATE]]&gt;0,T_EMPLOYEES[[#This Row],[START DATE]]&lt;TODAY()+60),0,1))</f>
        <v>0</v>
      </c>
      <c r="AE271">
        <f ca="1">IF(T_EMPLOYEES[[#This Row],[EMPLOYEE NUMBER]]="","",MATCH(T_EMPLOYEES[[#This Row],[GENDER]],L_GENDER,0))</f>
        <v>1</v>
      </c>
      <c r="AF271">
        <f ca="1">IF(T_EMPLOYEES[[#This Row],[EMPLOYEE NUMBER]]="","",MATCH(T_EMPLOYEES[[#This Row],[HIRE SOURCE]],L_HIRESOURCE,0))</f>
        <v>4</v>
      </c>
      <c r="AG271">
        <f ca="1">IF(T_EMPLOYEES[[#This Row],[EMPLOYEE NUMBER]]="","",MATCH(T_EMPLOYEES[[#This Row],[ETHNICITY]],L_ETHNICITY,0))</f>
        <v>3</v>
      </c>
      <c r="AH271">
        <f ca="1">IF(T_EMPLOYEES[[#This Row],[EMPLOYEE NUMBER]]="","",MATCH(T_EMPLOYEES[[#This Row],[LOCATION]],L_LOCATION,0))</f>
        <v>5</v>
      </c>
      <c r="AI271">
        <f ca="1">IF(T_EMPLOYEES[[#This Row],[EMPLOYEE NUMBER]]="","",MATCH(T_EMPLOYEES[[#This Row],[DEPARTMENT]],L_DEPARTMENT,0))</f>
        <v>2</v>
      </c>
      <c r="AJ271">
        <f ca="1">IF(T_EMPLOYEES[[#This Row],[EMPLOYEE NUMBER]]="","",MATCH(T_EMPLOYEES[[#This Row],[JOB TYPE]],L_JOBTYPE,0))</f>
        <v>2</v>
      </c>
      <c r="AK271">
        <f ca="1">IF(T_EMPLOYEES[[#This Row],[EMPLOYEE NUMBER]]="","",MATCH(T_EMPLOYEES[[#This Row],[JOB CATEGORY]],L_JOBCATEGORY,0))</f>
        <v>15</v>
      </c>
      <c r="AL271">
        <f ca="1">IF(T_EMPLOYEES[[#This Row],[EMPLOYEE NUMBER]]="","",MATCH(T_EMPLOYEES[[#This Row],[JOB LEVEL]],L_JOBLEVEL,0))</f>
        <v>3</v>
      </c>
      <c r="AM271">
        <f ca="1">IF(T_EMPLOYEES[[#This Row],[EMPLOYEE NUMBER]]="","",MATCH(T_EMPLOYEES[[#This Row],[JOB TITLE]],L_JOBTITLE,0))</f>
        <v>15</v>
      </c>
      <c r="AN271">
        <f ca="1">IF(T_EMPLOYEES[[#This Row],[EMPLOYEE NUMBER]]="","",MATCH(T_EMPLOYEES[[#This Row],[MANAGER]],L_EMPLABELS,0))</f>
        <v>92</v>
      </c>
      <c r="AO271">
        <f ca="1">IF(T_EMPLOYEES[[#This Row],[EMPLOYEE NUMBER]]="","",IF(T_EMPLOYEES[[#This Row],[ERROR]]="",0,1))</f>
        <v>0</v>
      </c>
      <c r="AP27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2" spans="1:42">
      <c r="A272" t="s">
        <v>986</v>
      </c>
      <c r="B272" t="s">
        <v>987</v>
      </c>
      <c r="C272">
        <v>1028315</v>
      </c>
      <c r="D272" t="s">
        <v>988</v>
      </c>
      <c r="E272" s="26">
        <v>34478</v>
      </c>
      <c r="F272" s="26">
        <v>44603</v>
      </c>
      <c r="H272" t="s">
        <v>40</v>
      </c>
      <c r="I272" t="s">
        <v>54</v>
      </c>
      <c r="J272" t="s">
        <v>64</v>
      </c>
      <c r="K272" t="s">
        <v>77</v>
      </c>
      <c r="L272" s="27" t="s">
        <v>45</v>
      </c>
      <c r="M272" t="s">
        <v>46</v>
      </c>
      <c r="N272" t="s">
        <v>159</v>
      </c>
      <c r="O272" t="s">
        <v>48</v>
      </c>
      <c r="P272" t="s">
        <v>159</v>
      </c>
      <c r="Q272" t="s">
        <v>684</v>
      </c>
      <c r="R272" s="27">
        <v>4</v>
      </c>
      <c r="S272" s="1">
        <v>250000</v>
      </c>
      <c r="T272" s="1">
        <f ca="1">ROUND(T_EMPLOYEES[[#This Row],[EMP_CTC1]]/12, 0)</f>
        <v>20833</v>
      </c>
      <c r="U272" s="1">
        <v>150000</v>
      </c>
      <c r="V272" s="1" t="s">
        <v>207</v>
      </c>
      <c r="W272" s="1" t="s">
        <v>207</v>
      </c>
      <c r="X27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Subhasmita Bal (1028315)</v>
      </c>
      <c r="Y272">
        <v>100000</v>
      </c>
      <c r="Z272" s="29">
        <f t="shared" ca="1" si="5"/>
        <v>40</v>
      </c>
      <c r="AA272">
        <f ca="1">IF(T_EMPLOYEES[[#This Row],[EMPLOYEE NUMBER]]="","",ROW(T_EMPLOYEES[[#This Row],[EMPLOYEE LABEL]])-ROW(T_EMPLOYEES[[#Headers],[EMPLOYEE LABEL]]))</f>
        <v>269</v>
      </c>
      <c r="AB272">
        <f ca="1">IF(T_EMPLOYEES[[#This Row],[EMPLOYEE NUMBER]]="","",IF(COUNTIF(T_EMPLOYEES[EMPLOYEE NUMBER],T_EMPLOYEES[[#This Row],[EMPLOYEE NUMBER]])&gt;1,1,0))</f>
        <v>0</v>
      </c>
      <c r="AC272">
        <f ca="1">IF(T_EMPLOYEES[[#This Row],[EMPLOYEE NUMBER]]="","",IF(AND(T_EMPLOYEES[[#This Row],[DATE OF BIRTH]]&gt;0,T_EMPLOYEES[[#This Row],[DATE OF BIRTH]]&lt;TODAY()),0,1))</f>
        <v>0</v>
      </c>
      <c r="AD272">
        <f ca="1">IF(T_EMPLOYEES[[#This Row],[EMPLOYEE NUMBER]]="","",IF(AND(T_EMPLOYEES[[#This Row],[START DATE]]&gt;0,T_EMPLOYEES[[#This Row],[START DATE]]&lt;TODAY()+60),0,1))</f>
        <v>0</v>
      </c>
      <c r="AE272">
        <f ca="1">IF(T_EMPLOYEES[[#This Row],[EMPLOYEE NUMBER]]="","",MATCH(T_EMPLOYEES[[#This Row],[GENDER]],L_GENDER,0))</f>
        <v>2</v>
      </c>
      <c r="AF272">
        <f ca="1">IF(T_EMPLOYEES[[#This Row],[EMPLOYEE NUMBER]]="","",MATCH(T_EMPLOYEES[[#This Row],[HIRE SOURCE]],L_HIRESOURCE,0))</f>
        <v>4</v>
      </c>
      <c r="AG272">
        <f ca="1">IF(T_EMPLOYEES[[#This Row],[EMPLOYEE NUMBER]]="","",MATCH(T_EMPLOYEES[[#This Row],[ETHNICITY]],L_ETHNICITY,0))</f>
        <v>3</v>
      </c>
      <c r="AH272">
        <f ca="1">IF(T_EMPLOYEES[[#This Row],[EMPLOYEE NUMBER]]="","",MATCH(T_EMPLOYEES[[#This Row],[LOCATION]],L_LOCATION,0))</f>
        <v>5</v>
      </c>
      <c r="AI272">
        <f ca="1">IF(T_EMPLOYEES[[#This Row],[EMPLOYEE NUMBER]]="","",MATCH(T_EMPLOYEES[[#This Row],[DEPARTMENT]],L_DEPARTMENT,0))</f>
        <v>2</v>
      </c>
      <c r="AJ272">
        <f ca="1">IF(T_EMPLOYEES[[#This Row],[EMPLOYEE NUMBER]]="","",MATCH(T_EMPLOYEES[[#This Row],[JOB TYPE]],L_JOBTYPE,0))</f>
        <v>2</v>
      </c>
      <c r="AK272">
        <f ca="1">IF(T_EMPLOYEES[[#This Row],[EMPLOYEE NUMBER]]="","",MATCH(T_EMPLOYEES[[#This Row],[JOB CATEGORY]],L_JOBCATEGORY,0))</f>
        <v>38</v>
      </c>
      <c r="AL272">
        <f ca="1">IF(T_EMPLOYEES[[#This Row],[EMPLOYEE NUMBER]]="","",MATCH(T_EMPLOYEES[[#This Row],[JOB LEVEL]],L_JOBLEVEL,0))</f>
        <v>2</v>
      </c>
      <c r="AM272">
        <f ca="1">IF(T_EMPLOYEES[[#This Row],[EMPLOYEE NUMBER]]="","",MATCH(T_EMPLOYEES[[#This Row],[JOB TITLE]],L_JOBTITLE,0))</f>
        <v>38</v>
      </c>
      <c r="AN272">
        <f ca="1">IF(T_EMPLOYEES[[#This Row],[EMPLOYEE NUMBER]]="","",MATCH(T_EMPLOYEES[[#This Row],[MANAGER]],L_EMPLABELS,0))</f>
        <v>232</v>
      </c>
      <c r="AO272">
        <f ca="1">IF(T_EMPLOYEES[[#This Row],[EMPLOYEE NUMBER]]="","",IF(T_EMPLOYEES[[#This Row],[ERROR]]="",0,1))</f>
        <v>0</v>
      </c>
      <c r="AP27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3" spans="1:42">
      <c r="A273" t="s">
        <v>989</v>
      </c>
      <c r="B273" t="s">
        <v>990</v>
      </c>
      <c r="C273">
        <v>1029760</v>
      </c>
      <c r="D273" t="s">
        <v>991</v>
      </c>
      <c r="E273" s="26">
        <v>34479</v>
      </c>
      <c r="F273" s="26">
        <v>44781</v>
      </c>
      <c r="H273" t="s">
        <v>27</v>
      </c>
      <c r="I273" t="s">
        <v>54</v>
      </c>
      <c r="J273" t="s">
        <v>64</v>
      </c>
      <c r="K273" t="s">
        <v>77</v>
      </c>
      <c r="L273" s="27" t="s">
        <v>45</v>
      </c>
      <c r="M273" t="s">
        <v>46</v>
      </c>
      <c r="N273" t="s">
        <v>148</v>
      </c>
      <c r="O273" t="s">
        <v>48</v>
      </c>
      <c r="P273" t="s">
        <v>148</v>
      </c>
      <c r="Q273" t="s">
        <v>418</v>
      </c>
      <c r="R273">
        <v>4</v>
      </c>
      <c r="S273" s="1">
        <v>250000</v>
      </c>
      <c r="T273" s="1">
        <f ca="1">ROUND(T_EMPLOYEES[[#This Row],[EMP_CTC1]]/12, 0)</f>
        <v>20833</v>
      </c>
      <c r="U273" s="1">
        <v>150000</v>
      </c>
      <c r="V273" s="1" t="s">
        <v>207</v>
      </c>
      <c r="W273" s="1" t="s">
        <v>207</v>
      </c>
      <c r="X27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Shrihari S Butti (1029760)</v>
      </c>
      <c r="Y273">
        <v>100000</v>
      </c>
      <c r="Z273" s="29">
        <f t="shared" ca="1" si="5"/>
        <v>40</v>
      </c>
      <c r="AA273">
        <f ca="1">IF(T_EMPLOYEES[[#This Row],[EMPLOYEE NUMBER]]="","",ROW(T_EMPLOYEES[[#This Row],[EMPLOYEE LABEL]])-ROW(T_EMPLOYEES[[#Headers],[EMPLOYEE LABEL]]))</f>
        <v>270</v>
      </c>
      <c r="AB273">
        <f ca="1">IF(T_EMPLOYEES[[#This Row],[EMPLOYEE NUMBER]]="","",IF(COUNTIF(T_EMPLOYEES[EMPLOYEE NUMBER],T_EMPLOYEES[[#This Row],[EMPLOYEE NUMBER]])&gt;1,1,0))</f>
        <v>0</v>
      </c>
      <c r="AC273">
        <f ca="1">IF(T_EMPLOYEES[[#This Row],[EMPLOYEE NUMBER]]="","",IF(AND(T_EMPLOYEES[[#This Row],[DATE OF BIRTH]]&gt;0,T_EMPLOYEES[[#This Row],[DATE OF BIRTH]]&lt;TODAY()),0,1))</f>
        <v>0</v>
      </c>
      <c r="AD273">
        <f ca="1">IF(T_EMPLOYEES[[#This Row],[EMPLOYEE NUMBER]]="","",IF(AND(T_EMPLOYEES[[#This Row],[START DATE]]&gt;0,T_EMPLOYEES[[#This Row],[START DATE]]&lt;TODAY()+60),0,1))</f>
        <v>0</v>
      </c>
      <c r="AE273">
        <f ca="1">IF(T_EMPLOYEES[[#This Row],[EMPLOYEE NUMBER]]="","",MATCH(T_EMPLOYEES[[#This Row],[GENDER]],L_GENDER,0))</f>
        <v>1</v>
      </c>
      <c r="AF273">
        <f ca="1">IF(T_EMPLOYEES[[#This Row],[EMPLOYEE NUMBER]]="","",MATCH(T_EMPLOYEES[[#This Row],[HIRE SOURCE]],L_HIRESOURCE,0))</f>
        <v>4</v>
      </c>
      <c r="AG273">
        <f ca="1">IF(T_EMPLOYEES[[#This Row],[EMPLOYEE NUMBER]]="","",MATCH(T_EMPLOYEES[[#This Row],[ETHNICITY]],L_ETHNICITY,0))</f>
        <v>3</v>
      </c>
      <c r="AH273">
        <f ca="1">IF(T_EMPLOYEES[[#This Row],[EMPLOYEE NUMBER]]="","",MATCH(T_EMPLOYEES[[#This Row],[LOCATION]],L_LOCATION,0))</f>
        <v>5</v>
      </c>
      <c r="AI273">
        <f ca="1">IF(T_EMPLOYEES[[#This Row],[EMPLOYEE NUMBER]]="","",MATCH(T_EMPLOYEES[[#This Row],[DEPARTMENT]],L_DEPARTMENT,0))</f>
        <v>2</v>
      </c>
      <c r="AJ273">
        <f ca="1">IF(T_EMPLOYEES[[#This Row],[EMPLOYEE NUMBER]]="","",MATCH(T_EMPLOYEES[[#This Row],[JOB TYPE]],L_JOBTYPE,0))</f>
        <v>2</v>
      </c>
      <c r="AK273">
        <f ca="1">IF(T_EMPLOYEES[[#This Row],[EMPLOYEE NUMBER]]="","",MATCH(T_EMPLOYEES[[#This Row],[JOB CATEGORY]],L_JOBCATEGORY,0))</f>
        <v>27</v>
      </c>
      <c r="AL273">
        <f ca="1">IF(T_EMPLOYEES[[#This Row],[EMPLOYEE NUMBER]]="","",MATCH(T_EMPLOYEES[[#This Row],[JOB LEVEL]],L_JOBLEVEL,0))</f>
        <v>2</v>
      </c>
      <c r="AM273">
        <f ca="1">IF(T_EMPLOYEES[[#This Row],[EMPLOYEE NUMBER]]="","",MATCH(T_EMPLOYEES[[#This Row],[JOB TITLE]],L_JOBTITLE,0))</f>
        <v>27</v>
      </c>
      <c r="AN273">
        <f ca="1">IF(T_EMPLOYEES[[#This Row],[EMPLOYEE NUMBER]]="","",MATCH(T_EMPLOYEES[[#This Row],[MANAGER]],L_EMPLABELS,0))</f>
        <v>120</v>
      </c>
      <c r="AO273">
        <f ca="1">IF(T_EMPLOYEES[[#This Row],[EMPLOYEE NUMBER]]="","",IF(T_EMPLOYEES[[#This Row],[ERROR]]="",0,1))</f>
        <v>0</v>
      </c>
      <c r="AP27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4" spans="1:42">
      <c r="A274" t="s">
        <v>465</v>
      </c>
      <c r="B274" t="s">
        <v>992</v>
      </c>
      <c r="C274">
        <v>1024503</v>
      </c>
      <c r="D274" t="s">
        <v>993</v>
      </c>
      <c r="E274" s="26">
        <v>34522</v>
      </c>
      <c r="F274" s="26">
        <v>44238</v>
      </c>
      <c r="H274" t="s">
        <v>40</v>
      </c>
      <c r="I274" t="s">
        <v>54</v>
      </c>
      <c r="J274" t="s">
        <v>64</v>
      </c>
      <c r="K274" t="s">
        <v>77</v>
      </c>
      <c r="L274" s="27" t="s">
        <v>45</v>
      </c>
      <c r="M274" t="s">
        <v>46</v>
      </c>
      <c r="N274" t="s">
        <v>89</v>
      </c>
      <c r="O274" t="s">
        <v>60</v>
      </c>
      <c r="P274" t="s">
        <v>89</v>
      </c>
      <c r="Q274" t="s">
        <v>418</v>
      </c>
      <c r="R274" s="27">
        <v>4</v>
      </c>
      <c r="S274" s="1">
        <v>250000</v>
      </c>
      <c r="T274" s="1">
        <f ca="1">ROUND(T_EMPLOYEES[[#This Row],[EMP_CTC1]]/12, 0)</f>
        <v>20833</v>
      </c>
      <c r="U274" s="1">
        <v>150000</v>
      </c>
      <c r="V274" s="1" t="s">
        <v>207</v>
      </c>
      <c r="W274" s="1" t="s">
        <v>207</v>
      </c>
      <c r="X27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Archana  Jaiswal (1024503)</v>
      </c>
      <c r="Y274">
        <v>100000</v>
      </c>
      <c r="Z274" s="29">
        <f t="shared" ca="1" si="5"/>
        <v>40</v>
      </c>
      <c r="AA274">
        <f ca="1">IF(T_EMPLOYEES[[#This Row],[EMPLOYEE NUMBER]]="","",ROW(T_EMPLOYEES[[#This Row],[EMPLOYEE LABEL]])-ROW(T_EMPLOYEES[[#Headers],[EMPLOYEE LABEL]]))</f>
        <v>271</v>
      </c>
      <c r="AB274">
        <f ca="1">IF(T_EMPLOYEES[[#This Row],[EMPLOYEE NUMBER]]="","",IF(COUNTIF(T_EMPLOYEES[EMPLOYEE NUMBER],T_EMPLOYEES[[#This Row],[EMPLOYEE NUMBER]])&gt;1,1,0))</f>
        <v>0</v>
      </c>
      <c r="AC274">
        <f ca="1">IF(T_EMPLOYEES[[#This Row],[EMPLOYEE NUMBER]]="","",IF(AND(T_EMPLOYEES[[#This Row],[DATE OF BIRTH]]&gt;0,T_EMPLOYEES[[#This Row],[DATE OF BIRTH]]&lt;TODAY()),0,1))</f>
        <v>0</v>
      </c>
      <c r="AD274">
        <f ca="1">IF(T_EMPLOYEES[[#This Row],[EMPLOYEE NUMBER]]="","",IF(AND(T_EMPLOYEES[[#This Row],[START DATE]]&gt;0,T_EMPLOYEES[[#This Row],[START DATE]]&lt;TODAY()+60),0,1))</f>
        <v>0</v>
      </c>
      <c r="AE274">
        <f ca="1">IF(T_EMPLOYEES[[#This Row],[EMPLOYEE NUMBER]]="","",MATCH(T_EMPLOYEES[[#This Row],[GENDER]],L_GENDER,0))</f>
        <v>2</v>
      </c>
      <c r="AF274">
        <f ca="1">IF(T_EMPLOYEES[[#This Row],[EMPLOYEE NUMBER]]="","",MATCH(T_EMPLOYEES[[#This Row],[HIRE SOURCE]],L_HIRESOURCE,0))</f>
        <v>4</v>
      </c>
      <c r="AG274">
        <f ca="1">IF(T_EMPLOYEES[[#This Row],[EMPLOYEE NUMBER]]="","",MATCH(T_EMPLOYEES[[#This Row],[ETHNICITY]],L_ETHNICITY,0))</f>
        <v>3</v>
      </c>
      <c r="AH274">
        <f ca="1">IF(T_EMPLOYEES[[#This Row],[EMPLOYEE NUMBER]]="","",MATCH(T_EMPLOYEES[[#This Row],[LOCATION]],L_LOCATION,0))</f>
        <v>5</v>
      </c>
      <c r="AI274">
        <f ca="1">IF(T_EMPLOYEES[[#This Row],[EMPLOYEE NUMBER]]="","",MATCH(T_EMPLOYEES[[#This Row],[DEPARTMENT]],L_DEPARTMENT,0))</f>
        <v>2</v>
      </c>
      <c r="AJ274">
        <f ca="1">IF(T_EMPLOYEES[[#This Row],[EMPLOYEE NUMBER]]="","",MATCH(T_EMPLOYEES[[#This Row],[JOB TYPE]],L_JOBTYPE,0))</f>
        <v>2</v>
      </c>
      <c r="AK274">
        <f ca="1">IF(T_EMPLOYEES[[#This Row],[EMPLOYEE NUMBER]]="","",MATCH(T_EMPLOYEES[[#This Row],[JOB CATEGORY]],L_JOBCATEGORY,0))</f>
        <v>6</v>
      </c>
      <c r="AL274">
        <f ca="1">IF(T_EMPLOYEES[[#This Row],[EMPLOYEE NUMBER]]="","",MATCH(T_EMPLOYEES[[#This Row],[JOB LEVEL]],L_JOBLEVEL,0))</f>
        <v>3</v>
      </c>
      <c r="AM274">
        <f ca="1">IF(T_EMPLOYEES[[#This Row],[EMPLOYEE NUMBER]]="","",MATCH(T_EMPLOYEES[[#This Row],[JOB TITLE]],L_JOBTITLE,0))</f>
        <v>6</v>
      </c>
      <c r="AN274">
        <f ca="1">IF(T_EMPLOYEES[[#This Row],[EMPLOYEE NUMBER]]="","",MATCH(T_EMPLOYEES[[#This Row],[MANAGER]],L_EMPLABELS,0))</f>
        <v>120</v>
      </c>
      <c r="AO274">
        <f ca="1">IF(T_EMPLOYEES[[#This Row],[EMPLOYEE NUMBER]]="","",IF(T_EMPLOYEES[[#This Row],[ERROR]]="",0,1))</f>
        <v>0</v>
      </c>
      <c r="AP27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5" spans="1:42">
      <c r="A275" t="s">
        <v>994</v>
      </c>
      <c r="B275" t="s">
        <v>995</v>
      </c>
      <c r="C275">
        <v>1033116</v>
      </c>
      <c r="D275" t="s">
        <v>996</v>
      </c>
      <c r="E275" s="26">
        <v>34522</v>
      </c>
      <c r="F275" s="26">
        <v>45138</v>
      </c>
      <c r="H275" t="s">
        <v>40</v>
      </c>
      <c r="I275" t="s">
        <v>54</v>
      </c>
      <c r="J275" t="s">
        <v>64</v>
      </c>
      <c r="K275" t="s">
        <v>43</v>
      </c>
      <c r="L275" s="27" t="s">
        <v>45</v>
      </c>
      <c r="M275" t="s">
        <v>46</v>
      </c>
      <c r="N275" t="s">
        <v>160</v>
      </c>
      <c r="O275" t="s">
        <v>48</v>
      </c>
      <c r="P275" t="s">
        <v>160</v>
      </c>
      <c r="Q275" t="s">
        <v>418</v>
      </c>
      <c r="R275">
        <v>4</v>
      </c>
      <c r="S275" s="1">
        <v>250000</v>
      </c>
      <c r="T275" s="1">
        <f ca="1">ROUND(T_EMPLOYEES[[#This Row],[EMP_CTC1]]/12, 0)</f>
        <v>20833</v>
      </c>
      <c r="U275" s="1">
        <v>150000</v>
      </c>
      <c r="V275" s="1" t="s">
        <v>207</v>
      </c>
      <c r="W275" s="1" t="s">
        <v>207</v>
      </c>
      <c r="X27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Usha B R (1033116)</v>
      </c>
      <c r="Y275">
        <v>100000</v>
      </c>
      <c r="Z275" s="29">
        <f t="shared" ca="1" si="5"/>
        <v>40</v>
      </c>
      <c r="AA275">
        <f ca="1">IF(T_EMPLOYEES[[#This Row],[EMPLOYEE NUMBER]]="","",ROW(T_EMPLOYEES[[#This Row],[EMPLOYEE LABEL]])-ROW(T_EMPLOYEES[[#Headers],[EMPLOYEE LABEL]]))</f>
        <v>272</v>
      </c>
      <c r="AB275">
        <f ca="1">IF(T_EMPLOYEES[[#This Row],[EMPLOYEE NUMBER]]="","",IF(COUNTIF(T_EMPLOYEES[EMPLOYEE NUMBER],T_EMPLOYEES[[#This Row],[EMPLOYEE NUMBER]])&gt;1,1,0))</f>
        <v>0</v>
      </c>
      <c r="AC275">
        <f ca="1">IF(T_EMPLOYEES[[#This Row],[EMPLOYEE NUMBER]]="","",IF(AND(T_EMPLOYEES[[#This Row],[DATE OF BIRTH]]&gt;0,T_EMPLOYEES[[#This Row],[DATE OF BIRTH]]&lt;TODAY()),0,1))</f>
        <v>0</v>
      </c>
      <c r="AD275">
        <f ca="1">IF(T_EMPLOYEES[[#This Row],[EMPLOYEE NUMBER]]="","",IF(AND(T_EMPLOYEES[[#This Row],[START DATE]]&gt;0,T_EMPLOYEES[[#This Row],[START DATE]]&lt;TODAY()+60),0,1))</f>
        <v>0</v>
      </c>
      <c r="AE275">
        <f ca="1">IF(T_EMPLOYEES[[#This Row],[EMPLOYEE NUMBER]]="","",MATCH(T_EMPLOYEES[[#This Row],[GENDER]],L_GENDER,0))</f>
        <v>2</v>
      </c>
      <c r="AF275">
        <f ca="1">IF(T_EMPLOYEES[[#This Row],[EMPLOYEE NUMBER]]="","",MATCH(T_EMPLOYEES[[#This Row],[HIRE SOURCE]],L_HIRESOURCE,0))</f>
        <v>4</v>
      </c>
      <c r="AG275">
        <f ca="1">IF(T_EMPLOYEES[[#This Row],[EMPLOYEE NUMBER]]="","",MATCH(T_EMPLOYEES[[#This Row],[ETHNICITY]],L_ETHNICITY,0))</f>
        <v>3</v>
      </c>
      <c r="AH275">
        <f ca="1">IF(T_EMPLOYEES[[#This Row],[EMPLOYEE NUMBER]]="","",MATCH(T_EMPLOYEES[[#This Row],[LOCATION]],L_LOCATION,0))</f>
        <v>2</v>
      </c>
      <c r="AI275">
        <f ca="1">IF(T_EMPLOYEES[[#This Row],[EMPLOYEE NUMBER]]="","",MATCH(T_EMPLOYEES[[#This Row],[DEPARTMENT]],L_DEPARTMENT,0))</f>
        <v>2</v>
      </c>
      <c r="AJ275">
        <f ca="1">IF(T_EMPLOYEES[[#This Row],[EMPLOYEE NUMBER]]="","",MATCH(T_EMPLOYEES[[#This Row],[JOB TYPE]],L_JOBTYPE,0))</f>
        <v>2</v>
      </c>
      <c r="AK275">
        <f ca="1">IF(T_EMPLOYEES[[#This Row],[EMPLOYEE NUMBER]]="","",MATCH(T_EMPLOYEES[[#This Row],[JOB CATEGORY]],L_JOBCATEGORY,0))</f>
        <v>39</v>
      </c>
      <c r="AL275">
        <f ca="1">IF(T_EMPLOYEES[[#This Row],[EMPLOYEE NUMBER]]="","",MATCH(T_EMPLOYEES[[#This Row],[JOB LEVEL]],L_JOBLEVEL,0))</f>
        <v>2</v>
      </c>
      <c r="AM275">
        <f ca="1">IF(T_EMPLOYEES[[#This Row],[EMPLOYEE NUMBER]]="","",MATCH(T_EMPLOYEES[[#This Row],[JOB TITLE]],L_JOBTITLE,0))</f>
        <v>39</v>
      </c>
      <c r="AN275">
        <f ca="1">IF(T_EMPLOYEES[[#This Row],[EMPLOYEE NUMBER]]="","",MATCH(T_EMPLOYEES[[#This Row],[MANAGER]],L_EMPLABELS,0))</f>
        <v>120</v>
      </c>
      <c r="AO275">
        <f ca="1">IF(T_EMPLOYEES[[#This Row],[EMPLOYEE NUMBER]]="","",IF(T_EMPLOYEES[[#This Row],[ERROR]]="",0,1))</f>
        <v>0</v>
      </c>
      <c r="AP27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6" spans="1:42">
      <c r="A276" t="s">
        <v>997</v>
      </c>
      <c r="B276" t="s">
        <v>998</v>
      </c>
      <c r="C276">
        <v>1018591</v>
      </c>
      <c r="D276" t="s">
        <v>999</v>
      </c>
      <c r="E276" s="26">
        <v>34530</v>
      </c>
      <c r="F276" s="26">
        <v>42578</v>
      </c>
      <c r="H276" t="s">
        <v>40</v>
      </c>
      <c r="I276" t="s">
        <v>54</v>
      </c>
      <c r="J276" t="s">
        <v>64</v>
      </c>
      <c r="K276" t="s">
        <v>30</v>
      </c>
      <c r="L276" s="27" t="s">
        <v>114</v>
      </c>
      <c r="M276" t="s">
        <v>46</v>
      </c>
      <c r="N276" t="s">
        <v>111</v>
      </c>
      <c r="O276" t="s">
        <v>71</v>
      </c>
      <c r="P276" t="s">
        <v>111</v>
      </c>
      <c r="Q276" t="s">
        <v>505</v>
      </c>
      <c r="R276" s="27">
        <v>5</v>
      </c>
      <c r="S276" s="1">
        <v>250000</v>
      </c>
      <c r="T276" s="1">
        <f ca="1">ROUND(T_EMPLOYEES[[#This Row],[EMP_CTC1]]/12, 0)</f>
        <v>20833</v>
      </c>
      <c r="U276" s="1">
        <v>150000</v>
      </c>
      <c r="V276" s="1" t="s">
        <v>207</v>
      </c>
      <c r="W276" s="1" t="s">
        <v>207</v>
      </c>
      <c r="X27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Chinthaparthi Supriya (1018591)</v>
      </c>
      <c r="Y276">
        <v>100000</v>
      </c>
      <c r="Z276" s="29">
        <f t="shared" ca="1" si="5"/>
        <v>40</v>
      </c>
      <c r="AA276">
        <f ca="1">IF(T_EMPLOYEES[[#This Row],[EMPLOYEE NUMBER]]="","",ROW(T_EMPLOYEES[[#This Row],[EMPLOYEE LABEL]])-ROW(T_EMPLOYEES[[#Headers],[EMPLOYEE LABEL]]))</f>
        <v>273</v>
      </c>
      <c r="AB276">
        <f ca="1">IF(T_EMPLOYEES[[#This Row],[EMPLOYEE NUMBER]]="","",IF(COUNTIF(T_EMPLOYEES[EMPLOYEE NUMBER],T_EMPLOYEES[[#This Row],[EMPLOYEE NUMBER]])&gt;1,1,0))</f>
        <v>0</v>
      </c>
      <c r="AC276">
        <f ca="1">IF(T_EMPLOYEES[[#This Row],[EMPLOYEE NUMBER]]="","",IF(AND(T_EMPLOYEES[[#This Row],[DATE OF BIRTH]]&gt;0,T_EMPLOYEES[[#This Row],[DATE OF BIRTH]]&lt;TODAY()),0,1))</f>
        <v>0</v>
      </c>
      <c r="AD276">
        <f ca="1">IF(T_EMPLOYEES[[#This Row],[EMPLOYEE NUMBER]]="","",IF(AND(T_EMPLOYEES[[#This Row],[START DATE]]&gt;0,T_EMPLOYEES[[#This Row],[START DATE]]&lt;TODAY()+60),0,1))</f>
        <v>0</v>
      </c>
      <c r="AE276">
        <f ca="1">IF(T_EMPLOYEES[[#This Row],[EMPLOYEE NUMBER]]="","",MATCH(T_EMPLOYEES[[#This Row],[GENDER]],L_GENDER,0))</f>
        <v>2</v>
      </c>
      <c r="AF276">
        <f ca="1">IF(T_EMPLOYEES[[#This Row],[EMPLOYEE NUMBER]]="","",MATCH(T_EMPLOYEES[[#This Row],[HIRE SOURCE]],L_HIRESOURCE,0))</f>
        <v>4</v>
      </c>
      <c r="AG276">
        <f ca="1">IF(T_EMPLOYEES[[#This Row],[EMPLOYEE NUMBER]]="","",MATCH(T_EMPLOYEES[[#This Row],[ETHNICITY]],L_ETHNICITY,0))</f>
        <v>3</v>
      </c>
      <c r="AH276">
        <f ca="1">IF(T_EMPLOYEES[[#This Row],[EMPLOYEE NUMBER]]="","",MATCH(T_EMPLOYEES[[#This Row],[LOCATION]],L_LOCATION,0))</f>
        <v>1</v>
      </c>
      <c r="AI276">
        <f ca="1">IF(T_EMPLOYEES[[#This Row],[EMPLOYEE NUMBER]]="","",MATCH(T_EMPLOYEES[[#This Row],[DEPARTMENT]],L_DEPARTMENT,0))</f>
        <v>11</v>
      </c>
      <c r="AJ276">
        <f ca="1">IF(T_EMPLOYEES[[#This Row],[EMPLOYEE NUMBER]]="","",MATCH(T_EMPLOYEES[[#This Row],[JOB TYPE]],L_JOBTYPE,0))</f>
        <v>2</v>
      </c>
      <c r="AK276">
        <f ca="1">IF(T_EMPLOYEES[[#This Row],[EMPLOYEE NUMBER]]="","",MATCH(T_EMPLOYEES[[#This Row],[JOB CATEGORY]],L_JOBCATEGORY,0))</f>
        <v>10</v>
      </c>
      <c r="AL276">
        <f ca="1">IF(T_EMPLOYEES[[#This Row],[EMPLOYEE NUMBER]]="","",MATCH(T_EMPLOYEES[[#This Row],[JOB LEVEL]],L_JOBLEVEL,0))</f>
        <v>4</v>
      </c>
      <c r="AM276">
        <f ca="1">IF(T_EMPLOYEES[[#This Row],[EMPLOYEE NUMBER]]="","",MATCH(T_EMPLOYEES[[#This Row],[JOB TITLE]],L_JOBTITLE,0))</f>
        <v>10</v>
      </c>
      <c r="AN276">
        <f ca="1">IF(T_EMPLOYEES[[#This Row],[EMPLOYEE NUMBER]]="","",MATCH(T_EMPLOYEES[[#This Row],[MANAGER]],L_EMPLABELS,0))</f>
        <v>57</v>
      </c>
      <c r="AO276">
        <f ca="1">IF(T_EMPLOYEES[[#This Row],[EMPLOYEE NUMBER]]="","",IF(T_EMPLOYEES[[#This Row],[ERROR]]="",0,1))</f>
        <v>0</v>
      </c>
      <c r="AP27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7" spans="1:42">
      <c r="A277" t="s">
        <v>1000</v>
      </c>
      <c r="B277" t="s">
        <v>1001</v>
      </c>
      <c r="C277">
        <v>1033847</v>
      </c>
      <c r="D277" t="s">
        <v>1002</v>
      </c>
      <c r="E277" s="26">
        <v>34530</v>
      </c>
      <c r="F277" s="26">
        <v>45238</v>
      </c>
      <c r="H277" t="s">
        <v>27</v>
      </c>
      <c r="I277" t="s">
        <v>54</v>
      </c>
      <c r="J277" t="s">
        <v>64</v>
      </c>
      <c r="K277" t="s">
        <v>30</v>
      </c>
      <c r="L277" s="27" t="s">
        <v>45</v>
      </c>
      <c r="M277" t="s">
        <v>46</v>
      </c>
      <c r="N277" t="s">
        <v>128</v>
      </c>
      <c r="O277" t="s">
        <v>60</v>
      </c>
      <c r="P277" t="s">
        <v>128</v>
      </c>
      <c r="Q277" t="s">
        <v>333</v>
      </c>
      <c r="R277">
        <v>4</v>
      </c>
      <c r="S277" s="1">
        <v>250000</v>
      </c>
      <c r="T277" s="1">
        <f ca="1">ROUND(T_EMPLOYEES[[#This Row],[EMP_CTC1]]/12, 0)</f>
        <v>20833</v>
      </c>
      <c r="U277" s="1">
        <v>150000</v>
      </c>
      <c r="V277" s="1" t="s">
        <v>207</v>
      </c>
      <c r="W277" s="1" t="s">
        <v>207</v>
      </c>
      <c r="X27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Kella Prudhvi Naidu (1033847)</v>
      </c>
      <c r="Y277">
        <v>100000</v>
      </c>
      <c r="Z277" s="29">
        <f t="shared" ca="1" si="5"/>
        <v>40</v>
      </c>
      <c r="AA277">
        <f ca="1">IF(T_EMPLOYEES[[#This Row],[EMPLOYEE NUMBER]]="","",ROW(T_EMPLOYEES[[#This Row],[EMPLOYEE LABEL]])-ROW(T_EMPLOYEES[[#Headers],[EMPLOYEE LABEL]]))</f>
        <v>274</v>
      </c>
      <c r="AB277">
        <f ca="1">IF(T_EMPLOYEES[[#This Row],[EMPLOYEE NUMBER]]="","",IF(COUNTIF(T_EMPLOYEES[EMPLOYEE NUMBER],T_EMPLOYEES[[#This Row],[EMPLOYEE NUMBER]])&gt;1,1,0))</f>
        <v>0</v>
      </c>
      <c r="AC277">
        <f ca="1">IF(T_EMPLOYEES[[#This Row],[EMPLOYEE NUMBER]]="","",IF(AND(T_EMPLOYEES[[#This Row],[DATE OF BIRTH]]&gt;0,T_EMPLOYEES[[#This Row],[DATE OF BIRTH]]&lt;TODAY()),0,1))</f>
        <v>0</v>
      </c>
      <c r="AD277">
        <f ca="1">IF(T_EMPLOYEES[[#This Row],[EMPLOYEE NUMBER]]="","",IF(AND(T_EMPLOYEES[[#This Row],[START DATE]]&gt;0,T_EMPLOYEES[[#This Row],[START DATE]]&lt;TODAY()+60),0,1))</f>
        <v>0</v>
      </c>
      <c r="AE277">
        <f ca="1">IF(T_EMPLOYEES[[#This Row],[EMPLOYEE NUMBER]]="","",MATCH(T_EMPLOYEES[[#This Row],[GENDER]],L_GENDER,0))</f>
        <v>1</v>
      </c>
      <c r="AF277">
        <f ca="1">IF(T_EMPLOYEES[[#This Row],[EMPLOYEE NUMBER]]="","",MATCH(T_EMPLOYEES[[#This Row],[HIRE SOURCE]],L_HIRESOURCE,0))</f>
        <v>4</v>
      </c>
      <c r="AG277">
        <f ca="1">IF(T_EMPLOYEES[[#This Row],[EMPLOYEE NUMBER]]="","",MATCH(T_EMPLOYEES[[#This Row],[ETHNICITY]],L_ETHNICITY,0))</f>
        <v>3</v>
      </c>
      <c r="AH277">
        <f ca="1">IF(T_EMPLOYEES[[#This Row],[EMPLOYEE NUMBER]]="","",MATCH(T_EMPLOYEES[[#This Row],[LOCATION]],L_LOCATION,0))</f>
        <v>1</v>
      </c>
      <c r="AI277">
        <f ca="1">IF(T_EMPLOYEES[[#This Row],[EMPLOYEE NUMBER]]="","",MATCH(T_EMPLOYEES[[#This Row],[DEPARTMENT]],L_DEPARTMENT,0))</f>
        <v>2</v>
      </c>
      <c r="AJ277">
        <f ca="1">IF(T_EMPLOYEES[[#This Row],[EMPLOYEE NUMBER]]="","",MATCH(T_EMPLOYEES[[#This Row],[JOB TYPE]],L_JOBTYPE,0))</f>
        <v>2</v>
      </c>
      <c r="AK277">
        <f ca="1">IF(T_EMPLOYEES[[#This Row],[EMPLOYEE NUMBER]]="","",MATCH(T_EMPLOYEES[[#This Row],[JOB CATEGORY]],L_JOBCATEGORY,0))</f>
        <v>15</v>
      </c>
      <c r="AL277">
        <f ca="1">IF(T_EMPLOYEES[[#This Row],[EMPLOYEE NUMBER]]="","",MATCH(T_EMPLOYEES[[#This Row],[JOB LEVEL]],L_JOBLEVEL,0))</f>
        <v>3</v>
      </c>
      <c r="AM277">
        <f ca="1">IF(T_EMPLOYEES[[#This Row],[EMPLOYEE NUMBER]]="","",MATCH(T_EMPLOYEES[[#This Row],[JOB TITLE]],L_JOBTITLE,0))</f>
        <v>15</v>
      </c>
      <c r="AN277">
        <f ca="1">IF(T_EMPLOYEES[[#This Row],[EMPLOYEE NUMBER]]="","",MATCH(T_EMPLOYEES[[#This Row],[MANAGER]],L_EMPLABELS,0))</f>
        <v>17</v>
      </c>
      <c r="AO277">
        <f ca="1">IF(T_EMPLOYEES[[#This Row],[EMPLOYEE NUMBER]]="","",IF(T_EMPLOYEES[[#This Row],[ERROR]]="",0,1))</f>
        <v>0</v>
      </c>
      <c r="AP27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8" spans="1:42">
      <c r="A278" t="s">
        <v>894</v>
      </c>
      <c r="B278" t="s">
        <v>351</v>
      </c>
      <c r="C278">
        <v>1028328</v>
      </c>
      <c r="D278" t="s">
        <v>1003</v>
      </c>
      <c r="E278" s="26">
        <v>34575</v>
      </c>
      <c r="F278" s="26">
        <v>44606</v>
      </c>
      <c r="H278" t="s">
        <v>27</v>
      </c>
      <c r="I278" t="s">
        <v>54</v>
      </c>
      <c r="J278" t="s">
        <v>64</v>
      </c>
      <c r="K278" t="s">
        <v>77</v>
      </c>
      <c r="L278" s="27" t="s">
        <v>114</v>
      </c>
      <c r="M278" t="s">
        <v>46</v>
      </c>
      <c r="N278" t="s">
        <v>160</v>
      </c>
      <c r="O278" t="s">
        <v>48</v>
      </c>
      <c r="P278" t="s">
        <v>160</v>
      </c>
      <c r="Q278" t="s">
        <v>206</v>
      </c>
      <c r="R278" s="27">
        <v>4</v>
      </c>
      <c r="S278" s="1">
        <v>250000</v>
      </c>
      <c r="T278" s="1">
        <f ca="1">ROUND(T_EMPLOYEES[[#This Row],[EMP_CTC1]]/12, 0)</f>
        <v>20833</v>
      </c>
      <c r="U278" s="1">
        <v>150000</v>
      </c>
      <c r="V278" s="1" t="s">
        <v>207</v>
      </c>
      <c r="W278" s="1" t="s">
        <v>207</v>
      </c>
      <c r="X27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Prajwal  M (1028328)</v>
      </c>
      <c r="Y278">
        <v>100000</v>
      </c>
      <c r="Z278" s="29">
        <f t="shared" ca="1" si="5"/>
        <v>40</v>
      </c>
      <c r="AA278">
        <f ca="1">IF(T_EMPLOYEES[[#This Row],[EMPLOYEE NUMBER]]="","",ROW(T_EMPLOYEES[[#This Row],[EMPLOYEE LABEL]])-ROW(T_EMPLOYEES[[#Headers],[EMPLOYEE LABEL]]))</f>
        <v>275</v>
      </c>
      <c r="AB278">
        <f ca="1">IF(T_EMPLOYEES[[#This Row],[EMPLOYEE NUMBER]]="","",IF(COUNTIF(T_EMPLOYEES[EMPLOYEE NUMBER],T_EMPLOYEES[[#This Row],[EMPLOYEE NUMBER]])&gt;1,1,0))</f>
        <v>0</v>
      </c>
      <c r="AC278">
        <f ca="1">IF(T_EMPLOYEES[[#This Row],[EMPLOYEE NUMBER]]="","",IF(AND(T_EMPLOYEES[[#This Row],[DATE OF BIRTH]]&gt;0,T_EMPLOYEES[[#This Row],[DATE OF BIRTH]]&lt;TODAY()),0,1))</f>
        <v>0</v>
      </c>
      <c r="AD278">
        <f ca="1">IF(T_EMPLOYEES[[#This Row],[EMPLOYEE NUMBER]]="","",IF(AND(T_EMPLOYEES[[#This Row],[START DATE]]&gt;0,T_EMPLOYEES[[#This Row],[START DATE]]&lt;TODAY()+60),0,1))</f>
        <v>0</v>
      </c>
      <c r="AE278">
        <f ca="1">IF(T_EMPLOYEES[[#This Row],[EMPLOYEE NUMBER]]="","",MATCH(T_EMPLOYEES[[#This Row],[GENDER]],L_GENDER,0))</f>
        <v>1</v>
      </c>
      <c r="AF278">
        <f ca="1">IF(T_EMPLOYEES[[#This Row],[EMPLOYEE NUMBER]]="","",MATCH(T_EMPLOYEES[[#This Row],[HIRE SOURCE]],L_HIRESOURCE,0))</f>
        <v>4</v>
      </c>
      <c r="AG278">
        <f ca="1">IF(T_EMPLOYEES[[#This Row],[EMPLOYEE NUMBER]]="","",MATCH(T_EMPLOYEES[[#This Row],[ETHNICITY]],L_ETHNICITY,0))</f>
        <v>3</v>
      </c>
      <c r="AH278">
        <f ca="1">IF(T_EMPLOYEES[[#This Row],[EMPLOYEE NUMBER]]="","",MATCH(T_EMPLOYEES[[#This Row],[LOCATION]],L_LOCATION,0))</f>
        <v>5</v>
      </c>
      <c r="AI278">
        <f ca="1">IF(T_EMPLOYEES[[#This Row],[EMPLOYEE NUMBER]]="","",MATCH(T_EMPLOYEES[[#This Row],[DEPARTMENT]],L_DEPARTMENT,0))</f>
        <v>11</v>
      </c>
      <c r="AJ278">
        <f ca="1">IF(T_EMPLOYEES[[#This Row],[EMPLOYEE NUMBER]]="","",MATCH(T_EMPLOYEES[[#This Row],[JOB TYPE]],L_JOBTYPE,0))</f>
        <v>2</v>
      </c>
      <c r="AK278">
        <f ca="1">IF(T_EMPLOYEES[[#This Row],[EMPLOYEE NUMBER]]="","",MATCH(T_EMPLOYEES[[#This Row],[JOB CATEGORY]],L_JOBCATEGORY,0))</f>
        <v>39</v>
      </c>
      <c r="AL278">
        <f ca="1">IF(T_EMPLOYEES[[#This Row],[EMPLOYEE NUMBER]]="","",MATCH(T_EMPLOYEES[[#This Row],[JOB LEVEL]],L_JOBLEVEL,0))</f>
        <v>2</v>
      </c>
      <c r="AM278">
        <f ca="1">IF(T_EMPLOYEES[[#This Row],[EMPLOYEE NUMBER]]="","",MATCH(T_EMPLOYEES[[#This Row],[JOB TITLE]],L_JOBTITLE,0))</f>
        <v>39</v>
      </c>
      <c r="AN278">
        <f ca="1">IF(T_EMPLOYEES[[#This Row],[EMPLOYEE NUMBER]]="","",MATCH(T_EMPLOYEES[[#This Row],[MANAGER]],L_EMPLABELS,0))</f>
        <v>6</v>
      </c>
      <c r="AO278">
        <f ca="1">IF(T_EMPLOYEES[[#This Row],[EMPLOYEE NUMBER]]="","",IF(T_EMPLOYEES[[#This Row],[ERROR]]="",0,1))</f>
        <v>0</v>
      </c>
      <c r="AP27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9" spans="1:42">
      <c r="A279" t="s">
        <v>1004</v>
      </c>
      <c r="B279" t="s">
        <v>1005</v>
      </c>
      <c r="C279">
        <v>1027328</v>
      </c>
      <c r="D279" t="s">
        <v>1006</v>
      </c>
      <c r="E279" s="26">
        <v>34577</v>
      </c>
      <c r="F279" s="26">
        <v>44524</v>
      </c>
      <c r="H279" t="s">
        <v>40</v>
      </c>
      <c r="I279" t="s">
        <v>54</v>
      </c>
      <c r="J279" t="s">
        <v>64</v>
      </c>
      <c r="K279" t="s">
        <v>43</v>
      </c>
      <c r="L279" s="27" t="s">
        <v>45</v>
      </c>
      <c r="M279" t="s">
        <v>46</v>
      </c>
      <c r="N279" t="s">
        <v>160</v>
      </c>
      <c r="O279" t="s">
        <v>48</v>
      </c>
      <c r="P279" t="s">
        <v>160</v>
      </c>
      <c r="Q279" t="s">
        <v>321</v>
      </c>
      <c r="R279">
        <v>4</v>
      </c>
      <c r="S279" s="1">
        <v>250000</v>
      </c>
      <c r="T279" s="1">
        <f ca="1">ROUND(T_EMPLOYEES[[#This Row],[EMP_CTC1]]/12, 0)</f>
        <v>20833</v>
      </c>
      <c r="U279" s="1">
        <v>150000</v>
      </c>
      <c r="V279" s="1" t="s">
        <v>207</v>
      </c>
      <c r="W279" s="1" t="s">
        <v>207</v>
      </c>
      <c r="X27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Nallagorla Phanisri (1027328)</v>
      </c>
      <c r="Y279">
        <v>100000</v>
      </c>
      <c r="Z279" s="29">
        <f t="shared" ca="1" si="5"/>
        <v>40</v>
      </c>
      <c r="AA279">
        <f ca="1">IF(T_EMPLOYEES[[#This Row],[EMPLOYEE NUMBER]]="","",ROW(T_EMPLOYEES[[#This Row],[EMPLOYEE LABEL]])-ROW(T_EMPLOYEES[[#Headers],[EMPLOYEE LABEL]]))</f>
        <v>276</v>
      </c>
      <c r="AB279">
        <f ca="1">IF(T_EMPLOYEES[[#This Row],[EMPLOYEE NUMBER]]="","",IF(COUNTIF(T_EMPLOYEES[EMPLOYEE NUMBER],T_EMPLOYEES[[#This Row],[EMPLOYEE NUMBER]])&gt;1,1,0))</f>
        <v>0</v>
      </c>
      <c r="AC279">
        <f ca="1">IF(T_EMPLOYEES[[#This Row],[EMPLOYEE NUMBER]]="","",IF(AND(T_EMPLOYEES[[#This Row],[DATE OF BIRTH]]&gt;0,T_EMPLOYEES[[#This Row],[DATE OF BIRTH]]&lt;TODAY()),0,1))</f>
        <v>0</v>
      </c>
      <c r="AD279">
        <f ca="1">IF(T_EMPLOYEES[[#This Row],[EMPLOYEE NUMBER]]="","",IF(AND(T_EMPLOYEES[[#This Row],[START DATE]]&gt;0,T_EMPLOYEES[[#This Row],[START DATE]]&lt;TODAY()+60),0,1))</f>
        <v>0</v>
      </c>
      <c r="AE279">
        <f ca="1">IF(T_EMPLOYEES[[#This Row],[EMPLOYEE NUMBER]]="","",MATCH(T_EMPLOYEES[[#This Row],[GENDER]],L_GENDER,0))</f>
        <v>2</v>
      </c>
      <c r="AF279">
        <f ca="1">IF(T_EMPLOYEES[[#This Row],[EMPLOYEE NUMBER]]="","",MATCH(T_EMPLOYEES[[#This Row],[HIRE SOURCE]],L_HIRESOURCE,0))</f>
        <v>4</v>
      </c>
      <c r="AG279">
        <f ca="1">IF(T_EMPLOYEES[[#This Row],[EMPLOYEE NUMBER]]="","",MATCH(T_EMPLOYEES[[#This Row],[ETHNICITY]],L_ETHNICITY,0))</f>
        <v>3</v>
      </c>
      <c r="AH279">
        <f ca="1">IF(T_EMPLOYEES[[#This Row],[EMPLOYEE NUMBER]]="","",MATCH(T_EMPLOYEES[[#This Row],[LOCATION]],L_LOCATION,0))</f>
        <v>2</v>
      </c>
      <c r="AI279">
        <f ca="1">IF(T_EMPLOYEES[[#This Row],[EMPLOYEE NUMBER]]="","",MATCH(T_EMPLOYEES[[#This Row],[DEPARTMENT]],L_DEPARTMENT,0))</f>
        <v>2</v>
      </c>
      <c r="AJ279">
        <f ca="1">IF(T_EMPLOYEES[[#This Row],[EMPLOYEE NUMBER]]="","",MATCH(T_EMPLOYEES[[#This Row],[JOB TYPE]],L_JOBTYPE,0))</f>
        <v>2</v>
      </c>
      <c r="AK279">
        <f ca="1">IF(T_EMPLOYEES[[#This Row],[EMPLOYEE NUMBER]]="","",MATCH(T_EMPLOYEES[[#This Row],[JOB CATEGORY]],L_JOBCATEGORY,0))</f>
        <v>39</v>
      </c>
      <c r="AL279">
        <f ca="1">IF(T_EMPLOYEES[[#This Row],[EMPLOYEE NUMBER]]="","",MATCH(T_EMPLOYEES[[#This Row],[JOB LEVEL]],L_JOBLEVEL,0))</f>
        <v>2</v>
      </c>
      <c r="AM279">
        <f ca="1">IF(T_EMPLOYEES[[#This Row],[EMPLOYEE NUMBER]]="","",MATCH(T_EMPLOYEES[[#This Row],[JOB TITLE]],L_JOBTITLE,0))</f>
        <v>39</v>
      </c>
      <c r="AN279">
        <f ca="1">IF(T_EMPLOYEES[[#This Row],[EMPLOYEE NUMBER]]="","",MATCH(T_EMPLOYEES[[#This Row],[MANAGER]],L_EMPLABELS,0))</f>
        <v>3</v>
      </c>
      <c r="AO279">
        <f ca="1">IF(T_EMPLOYEES[[#This Row],[EMPLOYEE NUMBER]]="","",IF(T_EMPLOYEES[[#This Row],[ERROR]]="",0,1))</f>
        <v>0</v>
      </c>
      <c r="AP27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0" spans="1:42">
      <c r="A280" t="s">
        <v>1007</v>
      </c>
      <c r="B280" t="s">
        <v>1008</v>
      </c>
      <c r="C280">
        <v>1026912</v>
      </c>
      <c r="D280" t="s">
        <v>1009</v>
      </c>
      <c r="E280" s="26">
        <v>34578</v>
      </c>
      <c r="F280" s="26">
        <v>44489</v>
      </c>
      <c r="H280" t="s">
        <v>27</v>
      </c>
      <c r="I280" t="s">
        <v>54</v>
      </c>
      <c r="J280" t="s">
        <v>64</v>
      </c>
      <c r="K280" t="s">
        <v>43</v>
      </c>
      <c r="L280" s="27" t="s">
        <v>45</v>
      </c>
      <c r="M280" t="s">
        <v>46</v>
      </c>
      <c r="N280" t="s">
        <v>89</v>
      </c>
      <c r="O280" t="s">
        <v>60</v>
      </c>
      <c r="P280" t="s">
        <v>89</v>
      </c>
      <c r="Q280" t="s">
        <v>218</v>
      </c>
      <c r="R280" s="27">
        <v>4</v>
      </c>
      <c r="S280" s="1">
        <v>250000</v>
      </c>
      <c r="T280" s="1">
        <f ca="1">ROUND(T_EMPLOYEES[[#This Row],[EMP_CTC1]]/12, 0)</f>
        <v>20833</v>
      </c>
      <c r="U280" s="1">
        <v>150000</v>
      </c>
      <c r="V280" s="1" t="s">
        <v>207</v>
      </c>
      <c r="W280" s="1" t="s">
        <v>207</v>
      </c>
      <c r="X28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Gattamaneni  Kusumakar (1026912)</v>
      </c>
      <c r="Y280">
        <v>100000</v>
      </c>
      <c r="Z280" s="29">
        <f t="shared" ca="1" si="5"/>
        <v>40</v>
      </c>
      <c r="AA280">
        <f ca="1">IF(T_EMPLOYEES[[#This Row],[EMPLOYEE NUMBER]]="","",ROW(T_EMPLOYEES[[#This Row],[EMPLOYEE LABEL]])-ROW(T_EMPLOYEES[[#Headers],[EMPLOYEE LABEL]]))</f>
        <v>277</v>
      </c>
      <c r="AB280">
        <f ca="1">IF(T_EMPLOYEES[[#This Row],[EMPLOYEE NUMBER]]="","",IF(COUNTIF(T_EMPLOYEES[EMPLOYEE NUMBER],T_EMPLOYEES[[#This Row],[EMPLOYEE NUMBER]])&gt;1,1,0))</f>
        <v>0</v>
      </c>
      <c r="AC280">
        <f ca="1">IF(T_EMPLOYEES[[#This Row],[EMPLOYEE NUMBER]]="","",IF(AND(T_EMPLOYEES[[#This Row],[DATE OF BIRTH]]&gt;0,T_EMPLOYEES[[#This Row],[DATE OF BIRTH]]&lt;TODAY()),0,1))</f>
        <v>0</v>
      </c>
      <c r="AD280">
        <f ca="1">IF(T_EMPLOYEES[[#This Row],[EMPLOYEE NUMBER]]="","",IF(AND(T_EMPLOYEES[[#This Row],[START DATE]]&gt;0,T_EMPLOYEES[[#This Row],[START DATE]]&lt;TODAY()+60),0,1))</f>
        <v>0</v>
      </c>
      <c r="AE280">
        <f ca="1">IF(T_EMPLOYEES[[#This Row],[EMPLOYEE NUMBER]]="","",MATCH(T_EMPLOYEES[[#This Row],[GENDER]],L_GENDER,0))</f>
        <v>1</v>
      </c>
      <c r="AF280">
        <f ca="1">IF(T_EMPLOYEES[[#This Row],[EMPLOYEE NUMBER]]="","",MATCH(T_EMPLOYEES[[#This Row],[HIRE SOURCE]],L_HIRESOURCE,0))</f>
        <v>4</v>
      </c>
      <c r="AG280">
        <f ca="1">IF(T_EMPLOYEES[[#This Row],[EMPLOYEE NUMBER]]="","",MATCH(T_EMPLOYEES[[#This Row],[ETHNICITY]],L_ETHNICITY,0))</f>
        <v>3</v>
      </c>
      <c r="AH280">
        <f ca="1">IF(T_EMPLOYEES[[#This Row],[EMPLOYEE NUMBER]]="","",MATCH(T_EMPLOYEES[[#This Row],[LOCATION]],L_LOCATION,0))</f>
        <v>2</v>
      </c>
      <c r="AI280">
        <f ca="1">IF(T_EMPLOYEES[[#This Row],[EMPLOYEE NUMBER]]="","",MATCH(T_EMPLOYEES[[#This Row],[DEPARTMENT]],L_DEPARTMENT,0))</f>
        <v>2</v>
      </c>
      <c r="AJ280">
        <f ca="1">IF(T_EMPLOYEES[[#This Row],[EMPLOYEE NUMBER]]="","",MATCH(T_EMPLOYEES[[#This Row],[JOB TYPE]],L_JOBTYPE,0))</f>
        <v>2</v>
      </c>
      <c r="AK280">
        <f ca="1">IF(T_EMPLOYEES[[#This Row],[EMPLOYEE NUMBER]]="","",MATCH(T_EMPLOYEES[[#This Row],[JOB CATEGORY]],L_JOBCATEGORY,0))</f>
        <v>6</v>
      </c>
      <c r="AL280">
        <f ca="1">IF(T_EMPLOYEES[[#This Row],[EMPLOYEE NUMBER]]="","",MATCH(T_EMPLOYEES[[#This Row],[JOB LEVEL]],L_JOBLEVEL,0))</f>
        <v>3</v>
      </c>
      <c r="AM280">
        <f ca="1">IF(T_EMPLOYEES[[#This Row],[EMPLOYEE NUMBER]]="","",MATCH(T_EMPLOYEES[[#This Row],[JOB TITLE]],L_JOBTITLE,0))</f>
        <v>6</v>
      </c>
      <c r="AN280">
        <f ca="1">IF(T_EMPLOYEES[[#This Row],[EMPLOYEE NUMBER]]="","",MATCH(T_EMPLOYEES[[#This Row],[MANAGER]],L_EMPLABELS,0))</f>
        <v>43</v>
      </c>
      <c r="AO280">
        <f ca="1">IF(T_EMPLOYEES[[#This Row],[EMPLOYEE NUMBER]]="","",IF(T_EMPLOYEES[[#This Row],[ERROR]]="",0,1))</f>
        <v>0</v>
      </c>
      <c r="AP28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1" spans="1:42">
      <c r="A281" t="s">
        <v>1010</v>
      </c>
      <c r="B281" t="s">
        <v>1011</v>
      </c>
      <c r="C281">
        <v>1021299</v>
      </c>
      <c r="D281" t="s">
        <v>1012</v>
      </c>
      <c r="E281" s="26">
        <v>34584</v>
      </c>
      <c r="F281" s="26">
        <v>43439</v>
      </c>
      <c r="H281" t="s">
        <v>40</v>
      </c>
      <c r="I281" t="s">
        <v>54</v>
      </c>
      <c r="J281" t="s">
        <v>64</v>
      </c>
      <c r="K281" t="s">
        <v>30</v>
      </c>
      <c r="L281" s="27" t="s">
        <v>45</v>
      </c>
      <c r="M281" t="s">
        <v>46</v>
      </c>
      <c r="N281" t="s">
        <v>152</v>
      </c>
      <c r="O281" t="s">
        <v>60</v>
      </c>
      <c r="P281" t="s">
        <v>152</v>
      </c>
      <c r="Q281" t="s">
        <v>684</v>
      </c>
      <c r="R281">
        <v>4</v>
      </c>
      <c r="S281" s="1">
        <v>250000</v>
      </c>
      <c r="T281" s="1">
        <f ca="1">ROUND(T_EMPLOYEES[[#This Row],[EMP_CTC1]]/12, 0)</f>
        <v>20833</v>
      </c>
      <c r="U281" s="1">
        <v>150000</v>
      </c>
      <c r="V281" s="1" t="s">
        <v>207</v>
      </c>
      <c r="W281" s="1" t="s">
        <v>207</v>
      </c>
      <c r="X28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Swathi S S (1021299)</v>
      </c>
      <c r="Y281">
        <v>100000</v>
      </c>
      <c r="Z281" s="29">
        <f t="shared" ca="1" si="5"/>
        <v>40</v>
      </c>
      <c r="AA281">
        <f ca="1">IF(T_EMPLOYEES[[#This Row],[EMPLOYEE NUMBER]]="","",ROW(T_EMPLOYEES[[#This Row],[EMPLOYEE LABEL]])-ROW(T_EMPLOYEES[[#Headers],[EMPLOYEE LABEL]]))</f>
        <v>278</v>
      </c>
      <c r="AB281">
        <f ca="1">IF(T_EMPLOYEES[[#This Row],[EMPLOYEE NUMBER]]="","",IF(COUNTIF(T_EMPLOYEES[EMPLOYEE NUMBER],T_EMPLOYEES[[#This Row],[EMPLOYEE NUMBER]])&gt;1,1,0))</f>
        <v>0</v>
      </c>
      <c r="AC281">
        <f ca="1">IF(T_EMPLOYEES[[#This Row],[EMPLOYEE NUMBER]]="","",IF(AND(T_EMPLOYEES[[#This Row],[DATE OF BIRTH]]&gt;0,T_EMPLOYEES[[#This Row],[DATE OF BIRTH]]&lt;TODAY()),0,1))</f>
        <v>0</v>
      </c>
      <c r="AD281">
        <f ca="1">IF(T_EMPLOYEES[[#This Row],[EMPLOYEE NUMBER]]="","",IF(AND(T_EMPLOYEES[[#This Row],[START DATE]]&gt;0,T_EMPLOYEES[[#This Row],[START DATE]]&lt;TODAY()+60),0,1))</f>
        <v>0</v>
      </c>
      <c r="AE281">
        <f ca="1">IF(T_EMPLOYEES[[#This Row],[EMPLOYEE NUMBER]]="","",MATCH(T_EMPLOYEES[[#This Row],[GENDER]],L_GENDER,0))</f>
        <v>2</v>
      </c>
      <c r="AF281">
        <f ca="1">IF(T_EMPLOYEES[[#This Row],[EMPLOYEE NUMBER]]="","",MATCH(T_EMPLOYEES[[#This Row],[HIRE SOURCE]],L_HIRESOURCE,0))</f>
        <v>4</v>
      </c>
      <c r="AG281">
        <f ca="1">IF(T_EMPLOYEES[[#This Row],[EMPLOYEE NUMBER]]="","",MATCH(T_EMPLOYEES[[#This Row],[ETHNICITY]],L_ETHNICITY,0))</f>
        <v>3</v>
      </c>
      <c r="AH281">
        <f ca="1">IF(T_EMPLOYEES[[#This Row],[EMPLOYEE NUMBER]]="","",MATCH(T_EMPLOYEES[[#This Row],[LOCATION]],L_LOCATION,0))</f>
        <v>1</v>
      </c>
      <c r="AI281">
        <f ca="1">IF(T_EMPLOYEES[[#This Row],[EMPLOYEE NUMBER]]="","",MATCH(T_EMPLOYEES[[#This Row],[DEPARTMENT]],L_DEPARTMENT,0))</f>
        <v>2</v>
      </c>
      <c r="AJ281">
        <f ca="1">IF(T_EMPLOYEES[[#This Row],[EMPLOYEE NUMBER]]="","",MATCH(T_EMPLOYEES[[#This Row],[JOB TYPE]],L_JOBTYPE,0))</f>
        <v>2</v>
      </c>
      <c r="AK281">
        <f ca="1">IF(T_EMPLOYEES[[#This Row],[EMPLOYEE NUMBER]]="","",MATCH(T_EMPLOYEES[[#This Row],[JOB CATEGORY]],L_JOBCATEGORY,0))</f>
        <v>31</v>
      </c>
      <c r="AL281">
        <f ca="1">IF(T_EMPLOYEES[[#This Row],[EMPLOYEE NUMBER]]="","",MATCH(T_EMPLOYEES[[#This Row],[JOB LEVEL]],L_JOBLEVEL,0))</f>
        <v>3</v>
      </c>
      <c r="AM281">
        <f ca="1">IF(T_EMPLOYEES[[#This Row],[EMPLOYEE NUMBER]]="","",MATCH(T_EMPLOYEES[[#This Row],[JOB TITLE]],L_JOBTITLE,0))</f>
        <v>31</v>
      </c>
      <c r="AN281">
        <f ca="1">IF(T_EMPLOYEES[[#This Row],[EMPLOYEE NUMBER]]="","",MATCH(T_EMPLOYEES[[#This Row],[MANAGER]],L_EMPLABELS,0))</f>
        <v>232</v>
      </c>
      <c r="AO281">
        <f ca="1">IF(T_EMPLOYEES[[#This Row],[EMPLOYEE NUMBER]]="","",IF(T_EMPLOYEES[[#This Row],[ERROR]]="",0,1))</f>
        <v>0</v>
      </c>
      <c r="AP28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2" spans="1:42">
      <c r="A282" t="s">
        <v>39</v>
      </c>
      <c r="B282" t="s">
        <v>1013</v>
      </c>
      <c r="C282">
        <v>1018581</v>
      </c>
      <c r="D282" t="s">
        <v>1014</v>
      </c>
      <c r="E282" s="26">
        <v>34592</v>
      </c>
      <c r="F282" s="26">
        <v>42578</v>
      </c>
      <c r="H282" t="s">
        <v>40</v>
      </c>
      <c r="I282" t="s">
        <v>54</v>
      </c>
      <c r="J282" t="s">
        <v>64</v>
      </c>
      <c r="K282" t="s">
        <v>30</v>
      </c>
      <c r="L282" s="27" t="s">
        <v>45</v>
      </c>
      <c r="M282" t="s">
        <v>46</v>
      </c>
      <c r="N282" t="s">
        <v>81</v>
      </c>
      <c r="O282" t="s">
        <v>82</v>
      </c>
      <c r="P282" t="s">
        <v>81</v>
      </c>
      <c r="Q282" t="s">
        <v>236</v>
      </c>
      <c r="R282" s="27">
        <v>7</v>
      </c>
      <c r="S282" s="1">
        <v>250000</v>
      </c>
      <c r="T282" s="1">
        <f ca="1">ROUND(T_EMPLOYEES[[#This Row],[EMP_CTC1]]/12, 0)</f>
        <v>20833</v>
      </c>
      <c r="U282" s="1">
        <v>150000</v>
      </c>
      <c r="V282" s="1" t="s">
        <v>207</v>
      </c>
      <c r="W282" s="1" t="s">
        <v>207</v>
      </c>
      <c r="X28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 S  Mounika (1018581)</v>
      </c>
      <c r="Y282">
        <v>100000</v>
      </c>
      <c r="Z282" s="29">
        <f t="shared" ca="1" si="5"/>
        <v>40</v>
      </c>
      <c r="AA282">
        <f ca="1">IF(T_EMPLOYEES[[#This Row],[EMPLOYEE NUMBER]]="","",ROW(T_EMPLOYEES[[#This Row],[EMPLOYEE LABEL]])-ROW(T_EMPLOYEES[[#Headers],[EMPLOYEE LABEL]]))</f>
        <v>279</v>
      </c>
      <c r="AB282">
        <f ca="1">IF(T_EMPLOYEES[[#This Row],[EMPLOYEE NUMBER]]="","",IF(COUNTIF(T_EMPLOYEES[EMPLOYEE NUMBER],T_EMPLOYEES[[#This Row],[EMPLOYEE NUMBER]])&gt;1,1,0))</f>
        <v>0</v>
      </c>
      <c r="AC282">
        <f ca="1">IF(T_EMPLOYEES[[#This Row],[EMPLOYEE NUMBER]]="","",IF(AND(T_EMPLOYEES[[#This Row],[DATE OF BIRTH]]&gt;0,T_EMPLOYEES[[#This Row],[DATE OF BIRTH]]&lt;TODAY()),0,1))</f>
        <v>0</v>
      </c>
      <c r="AD282">
        <f ca="1">IF(T_EMPLOYEES[[#This Row],[EMPLOYEE NUMBER]]="","",IF(AND(T_EMPLOYEES[[#This Row],[START DATE]]&gt;0,T_EMPLOYEES[[#This Row],[START DATE]]&lt;TODAY()+60),0,1))</f>
        <v>0</v>
      </c>
      <c r="AE282">
        <f ca="1">IF(T_EMPLOYEES[[#This Row],[EMPLOYEE NUMBER]]="","",MATCH(T_EMPLOYEES[[#This Row],[GENDER]],L_GENDER,0))</f>
        <v>2</v>
      </c>
      <c r="AF282">
        <f ca="1">IF(T_EMPLOYEES[[#This Row],[EMPLOYEE NUMBER]]="","",MATCH(T_EMPLOYEES[[#This Row],[HIRE SOURCE]],L_HIRESOURCE,0))</f>
        <v>4</v>
      </c>
      <c r="AG282">
        <f ca="1">IF(T_EMPLOYEES[[#This Row],[EMPLOYEE NUMBER]]="","",MATCH(T_EMPLOYEES[[#This Row],[ETHNICITY]],L_ETHNICITY,0))</f>
        <v>3</v>
      </c>
      <c r="AH282">
        <f ca="1">IF(T_EMPLOYEES[[#This Row],[EMPLOYEE NUMBER]]="","",MATCH(T_EMPLOYEES[[#This Row],[LOCATION]],L_LOCATION,0))</f>
        <v>1</v>
      </c>
      <c r="AI282">
        <f ca="1">IF(T_EMPLOYEES[[#This Row],[EMPLOYEE NUMBER]]="","",MATCH(T_EMPLOYEES[[#This Row],[DEPARTMENT]],L_DEPARTMENT,0))</f>
        <v>2</v>
      </c>
      <c r="AJ282">
        <f ca="1">IF(T_EMPLOYEES[[#This Row],[EMPLOYEE NUMBER]]="","",MATCH(T_EMPLOYEES[[#This Row],[JOB TYPE]],L_JOBTYPE,0))</f>
        <v>2</v>
      </c>
      <c r="AK282">
        <f ca="1">IF(T_EMPLOYEES[[#This Row],[EMPLOYEE NUMBER]]="","",MATCH(T_EMPLOYEES[[#This Row],[JOB CATEGORY]],L_JOBCATEGORY,0))</f>
        <v>5</v>
      </c>
      <c r="AL282">
        <f ca="1">IF(T_EMPLOYEES[[#This Row],[EMPLOYEE NUMBER]]="","",MATCH(T_EMPLOYEES[[#This Row],[JOB LEVEL]],L_JOBLEVEL,0))</f>
        <v>5</v>
      </c>
      <c r="AM282">
        <f ca="1">IF(T_EMPLOYEES[[#This Row],[EMPLOYEE NUMBER]]="","",MATCH(T_EMPLOYEES[[#This Row],[JOB TITLE]],L_JOBTITLE,0))</f>
        <v>5</v>
      </c>
      <c r="AN282">
        <f ca="1">IF(T_EMPLOYEES[[#This Row],[EMPLOYEE NUMBER]]="","",MATCH(T_EMPLOYEES[[#This Row],[MANAGER]],L_EMPLABELS,0))</f>
        <v>60</v>
      </c>
      <c r="AO282">
        <f ca="1">IF(T_EMPLOYEES[[#This Row],[EMPLOYEE NUMBER]]="","",IF(T_EMPLOYEES[[#This Row],[ERROR]]="",0,1))</f>
        <v>0</v>
      </c>
      <c r="AP28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3" spans="1:42">
      <c r="A283" t="s">
        <v>1015</v>
      </c>
      <c r="B283" t="s">
        <v>1016</v>
      </c>
      <c r="C283">
        <v>1032812</v>
      </c>
      <c r="D283" t="s">
        <v>1017</v>
      </c>
      <c r="E283" s="26">
        <v>34613</v>
      </c>
      <c r="F283" s="26">
        <v>45063</v>
      </c>
      <c r="H283" t="s">
        <v>27</v>
      </c>
      <c r="I283" t="s">
        <v>54</v>
      </c>
      <c r="J283" t="s">
        <v>64</v>
      </c>
      <c r="K283" t="s">
        <v>30</v>
      </c>
      <c r="L283" s="27" t="s">
        <v>45</v>
      </c>
      <c r="M283" t="s">
        <v>46</v>
      </c>
      <c r="N283" t="s">
        <v>125</v>
      </c>
      <c r="O283" t="s">
        <v>71</v>
      </c>
      <c r="P283" t="s">
        <v>125</v>
      </c>
      <c r="Q283" t="s">
        <v>418</v>
      </c>
      <c r="R283">
        <v>5</v>
      </c>
      <c r="S283" s="1">
        <v>250000</v>
      </c>
      <c r="T283" s="1">
        <f ca="1">ROUND(T_EMPLOYEES[[#This Row],[EMP_CTC1]]/12, 0)</f>
        <v>20833</v>
      </c>
      <c r="U283" s="1">
        <v>150000</v>
      </c>
      <c r="V283" s="1" t="s">
        <v>207</v>
      </c>
      <c r="W283" s="1" t="s">
        <v>207</v>
      </c>
      <c r="X28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Pakalapati S S Prashanth Varma (1032812)</v>
      </c>
      <c r="Y283">
        <v>100000</v>
      </c>
      <c r="Z283" s="29">
        <f t="shared" ca="1" si="5"/>
        <v>40</v>
      </c>
      <c r="AA283">
        <f ca="1">IF(T_EMPLOYEES[[#This Row],[EMPLOYEE NUMBER]]="","",ROW(T_EMPLOYEES[[#This Row],[EMPLOYEE LABEL]])-ROW(T_EMPLOYEES[[#Headers],[EMPLOYEE LABEL]]))</f>
        <v>280</v>
      </c>
      <c r="AB283">
        <f ca="1">IF(T_EMPLOYEES[[#This Row],[EMPLOYEE NUMBER]]="","",IF(COUNTIF(T_EMPLOYEES[EMPLOYEE NUMBER],T_EMPLOYEES[[#This Row],[EMPLOYEE NUMBER]])&gt;1,1,0))</f>
        <v>0</v>
      </c>
      <c r="AC283">
        <f ca="1">IF(T_EMPLOYEES[[#This Row],[EMPLOYEE NUMBER]]="","",IF(AND(T_EMPLOYEES[[#This Row],[DATE OF BIRTH]]&gt;0,T_EMPLOYEES[[#This Row],[DATE OF BIRTH]]&lt;TODAY()),0,1))</f>
        <v>0</v>
      </c>
      <c r="AD283">
        <f ca="1">IF(T_EMPLOYEES[[#This Row],[EMPLOYEE NUMBER]]="","",IF(AND(T_EMPLOYEES[[#This Row],[START DATE]]&gt;0,T_EMPLOYEES[[#This Row],[START DATE]]&lt;TODAY()+60),0,1))</f>
        <v>0</v>
      </c>
      <c r="AE283">
        <f ca="1">IF(T_EMPLOYEES[[#This Row],[EMPLOYEE NUMBER]]="","",MATCH(T_EMPLOYEES[[#This Row],[GENDER]],L_GENDER,0))</f>
        <v>1</v>
      </c>
      <c r="AF283">
        <f ca="1">IF(T_EMPLOYEES[[#This Row],[EMPLOYEE NUMBER]]="","",MATCH(T_EMPLOYEES[[#This Row],[HIRE SOURCE]],L_HIRESOURCE,0))</f>
        <v>4</v>
      </c>
      <c r="AG283">
        <f ca="1">IF(T_EMPLOYEES[[#This Row],[EMPLOYEE NUMBER]]="","",MATCH(T_EMPLOYEES[[#This Row],[ETHNICITY]],L_ETHNICITY,0))</f>
        <v>3</v>
      </c>
      <c r="AH283">
        <f ca="1">IF(T_EMPLOYEES[[#This Row],[EMPLOYEE NUMBER]]="","",MATCH(T_EMPLOYEES[[#This Row],[LOCATION]],L_LOCATION,0))</f>
        <v>1</v>
      </c>
      <c r="AI283">
        <f ca="1">IF(T_EMPLOYEES[[#This Row],[EMPLOYEE NUMBER]]="","",MATCH(T_EMPLOYEES[[#This Row],[DEPARTMENT]],L_DEPARTMENT,0))</f>
        <v>2</v>
      </c>
      <c r="AJ283">
        <f ca="1">IF(T_EMPLOYEES[[#This Row],[EMPLOYEE NUMBER]]="","",MATCH(T_EMPLOYEES[[#This Row],[JOB TYPE]],L_JOBTYPE,0))</f>
        <v>2</v>
      </c>
      <c r="AK283">
        <f ca="1">IF(T_EMPLOYEES[[#This Row],[EMPLOYEE NUMBER]]="","",MATCH(T_EMPLOYEES[[#This Row],[JOB CATEGORY]],L_JOBCATEGORY,0))</f>
        <v>14</v>
      </c>
      <c r="AL283">
        <f ca="1">IF(T_EMPLOYEES[[#This Row],[EMPLOYEE NUMBER]]="","",MATCH(T_EMPLOYEES[[#This Row],[JOB LEVEL]],L_JOBLEVEL,0))</f>
        <v>4</v>
      </c>
      <c r="AM283">
        <f ca="1">IF(T_EMPLOYEES[[#This Row],[EMPLOYEE NUMBER]]="","",MATCH(T_EMPLOYEES[[#This Row],[JOB TITLE]],L_JOBTITLE,0))</f>
        <v>14</v>
      </c>
      <c r="AN283">
        <f ca="1">IF(T_EMPLOYEES[[#This Row],[EMPLOYEE NUMBER]]="","",MATCH(T_EMPLOYEES[[#This Row],[MANAGER]],L_EMPLABELS,0))</f>
        <v>120</v>
      </c>
      <c r="AO283">
        <f ca="1">IF(T_EMPLOYEES[[#This Row],[EMPLOYEE NUMBER]]="","",IF(T_EMPLOYEES[[#This Row],[ERROR]]="",0,1))</f>
        <v>0</v>
      </c>
      <c r="AP28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4" spans="1:42">
      <c r="A284" t="s">
        <v>1018</v>
      </c>
      <c r="B284" t="s">
        <v>1019</v>
      </c>
      <c r="C284">
        <v>1031877</v>
      </c>
      <c r="D284" t="s">
        <v>1020</v>
      </c>
      <c r="E284" s="26">
        <v>34618</v>
      </c>
      <c r="F284" s="26">
        <v>44914</v>
      </c>
      <c r="H284" t="s">
        <v>40</v>
      </c>
      <c r="I284" t="s">
        <v>54</v>
      </c>
      <c r="J284" t="s">
        <v>64</v>
      </c>
      <c r="K284" t="s">
        <v>30</v>
      </c>
      <c r="L284" s="27" t="s">
        <v>45</v>
      </c>
      <c r="M284" t="s">
        <v>46</v>
      </c>
      <c r="N284" t="s">
        <v>89</v>
      </c>
      <c r="O284" t="s">
        <v>60</v>
      </c>
      <c r="P284" t="s">
        <v>89</v>
      </c>
      <c r="Q284" t="s">
        <v>288</v>
      </c>
      <c r="R284" s="27">
        <v>4</v>
      </c>
      <c r="S284" s="1">
        <v>250000</v>
      </c>
      <c r="T284" s="1">
        <f ca="1">ROUND(T_EMPLOYEES[[#This Row],[EMP_CTC1]]/12, 0)</f>
        <v>20833</v>
      </c>
      <c r="U284" s="1">
        <v>150000</v>
      </c>
      <c r="V284" s="1" t="s">
        <v>207</v>
      </c>
      <c r="W284" s="1" t="s">
        <v>207</v>
      </c>
      <c r="X28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Vidya H B (1031877)</v>
      </c>
      <c r="Y284">
        <v>100000</v>
      </c>
      <c r="Z284" s="29">
        <f t="shared" ca="1" si="5"/>
        <v>40</v>
      </c>
      <c r="AA284">
        <f ca="1">IF(T_EMPLOYEES[[#This Row],[EMPLOYEE NUMBER]]="","",ROW(T_EMPLOYEES[[#This Row],[EMPLOYEE LABEL]])-ROW(T_EMPLOYEES[[#Headers],[EMPLOYEE LABEL]]))</f>
        <v>281</v>
      </c>
      <c r="AB284">
        <f ca="1">IF(T_EMPLOYEES[[#This Row],[EMPLOYEE NUMBER]]="","",IF(COUNTIF(T_EMPLOYEES[EMPLOYEE NUMBER],T_EMPLOYEES[[#This Row],[EMPLOYEE NUMBER]])&gt;1,1,0))</f>
        <v>0</v>
      </c>
      <c r="AC284">
        <f ca="1">IF(T_EMPLOYEES[[#This Row],[EMPLOYEE NUMBER]]="","",IF(AND(T_EMPLOYEES[[#This Row],[DATE OF BIRTH]]&gt;0,T_EMPLOYEES[[#This Row],[DATE OF BIRTH]]&lt;TODAY()),0,1))</f>
        <v>0</v>
      </c>
      <c r="AD284">
        <f ca="1">IF(T_EMPLOYEES[[#This Row],[EMPLOYEE NUMBER]]="","",IF(AND(T_EMPLOYEES[[#This Row],[START DATE]]&gt;0,T_EMPLOYEES[[#This Row],[START DATE]]&lt;TODAY()+60),0,1))</f>
        <v>0</v>
      </c>
      <c r="AE284">
        <f ca="1">IF(T_EMPLOYEES[[#This Row],[EMPLOYEE NUMBER]]="","",MATCH(T_EMPLOYEES[[#This Row],[GENDER]],L_GENDER,0))</f>
        <v>2</v>
      </c>
      <c r="AF284">
        <f ca="1">IF(T_EMPLOYEES[[#This Row],[EMPLOYEE NUMBER]]="","",MATCH(T_EMPLOYEES[[#This Row],[HIRE SOURCE]],L_HIRESOURCE,0))</f>
        <v>4</v>
      </c>
      <c r="AG284">
        <f ca="1">IF(T_EMPLOYEES[[#This Row],[EMPLOYEE NUMBER]]="","",MATCH(T_EMPLOYEES[[#This Row],[ETHNICITY]],L_ETHNICITY,0))</f>
        <v>3</v>
      </c>
      <c r="AH284">
        <f ca="1">IF(T_EMPLOYEES[[#This Row],[EMPLOYEE NUMBER]]="","",MATCH(T_EMPLOYEES[[#This Row],[LOCATION]],L_LOCATION,0))</f>
        <v>1</v>
      </c>
      <c r="AI284">
        <f ca="1">IF(T_EMPLOYEES[[#This Row],[EMPLOYEE NUMBER]]="","",MATCH(T_EMPLOYEES[[#This Row],[DEPARTMENT]],L_DEPARTMENT,0))</f>
        <v>2</v>
      </c>
      <c r="AJ284">
        <f ca="1">IF(T_EMPLOYEES[[#This Row],[EMPLOYEE NUMBER]]="","",MATCH(T_EMPLOYEES[[#This Row],[JOB TYPE]],L_JOBTYPE,0))</f>
        <v>2</v>
      </c>
      <c r="AK284">
        <f ca="1">IF(T_EMPLOYEES[[#This Row],[EMPLOYEE NUMBER]]="","",MATCH(T_EMPLOYEES[[#This Row],[JOB CATEGORY]],L_JOBCATEGORY,0))</f>
        <v>6</v>
      </c>
      <c r="AL284">
        <f ca="1">IF(T_EMPLOYEES[[#This Row],[EMPLOYEE NUMBER]]="","",MATCH(T_EMPLOYEES[[#This Row],[JOB LEVEL]],L_JOBLEVEL,0))</f>
        <v>3</v>
      </c>
      <c r="AM284">
        <f ca="1">IF(T_EMPLOYEES[[#This Row],[EMPLOYEE NUMBER]]="","",MATCH(T_EMPLOYEES[[#This Row],[JOB TITLE]],L_JOBTITLE,0))</f>
        <v>6</v>
      </c>
      <c r="AN284">
        <f ca="1">IF(T_EMPLOYEES[[#This Row],[EMPLOYEE NUMBER]]="","",MATCH(T_EMPLOYEES[[#This Row],[MANAGER]],L_EMPLABELS,0))</f>
        <v>52</v>
      </c>
      <c r="AO284">
        <f ca="1">IF(T_EMPLOYEES[[#This Row],[EMPLOYEE NUMBER]]="","",IF(T_EMPLOYEES[[#This Row],[ERROR]]="",0,1))</f>
        <v>0</v>
      </c>
      <c r="AP28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5" spans="1:42">
      <c r="A285" t="s">
        <v>226</v>
      </c>
      <c r="B285" t="s">
        <v>1021</v>
      </c>
      <c r="C285">
        <v>1032146</v>
      </c>
      <c r="D285" t="s">
        <v>1022</v>
      </c>
      <c r="E285" s="26">
        <v>34627</v>
      </c>
      <c r="F285" s="26">
        <v>44958</v>
      </c>
      <c r="H285" t="s">
        <v>27</v>
      </c>
      <c r="I285" t="s">
        <v>54</v>
      </c>
      <c r="J285" t="s">
        <v>64</v>
      </c>
      <c r="K285" t="s">
        <v>43</v>
      </c>
      <c r="L285" s="27" t="s">
        <v>45</v>
      </c>
      <c r="M285" t="s">
        <v>46</v>
      </c>
      <c r="N285" t="s">
        <v>159</v>
      </c>
      <c r="O285" t="s">
        <v>48</v>
      </c>
      <c r="P285" t="s">
        <v>159</v>
      </c>
      <c r="Q285" t="s">
        <v>907</v>
      </c>
      <c r="R285">
        <v>4</v>
      </c>
      <c r="S285" s="1">
        <v>250000</v>
      </c>
      <c r="T285" s="1">
        <f ca="1">ROUND(T_EMPLOYEES[[#This Row],[EMP_CTC1]]/12, 0)</f>
        <v>20833</v>
      </c>
      <c r="U285" s="1">
        <v>150000</v>
      </c>
      <c r="V285" s="1" t="s">
        <v>207</v>
      </c>
      <c r="W285" s="1" t="s">
        <v>207</v>
      </c>
      <c r="X28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 Prem Sagar (1032146)</v>
      </c>
      <c r="Y285">
        <v>100000</v>
      </c>
      <c r="Z285" s="29">
        <f t="shared" ca="1" si="5"/>
        <v>40</v>
      </c>
      <c r="AA285">
        <f ca="1">IF(T_EMPLOYEES[[#This Row],[EMPLOYEE NUMBER]]="","",ROW(T_EMPLOYEES[[#This Row],[EMPLOYEE LABEL]])-ROW(T_EMPLOYEES[[#Headers],[EMPLOYEE LABEL]]))</f>
        <v>282</v>
      </c>
      <c r="AB285">
        <f ca="1">IF(T_EMPLOYEES[[#This Row],[EMPLOYEE NUMBER]]="","",IF(COUNTIF(T_EMPLOYEES[EMPLOYEE NUMBER],T_EMPLOYEES[[#This Row],[EMPLOYEE NUMBER]])&gt;1,1,0))</f>
        <v>0</v>
      </c>
      <c r="AC285">
        <f ca="1">IF(T_EMPLOYEES[[#This Row],[EMPLOYEE NUMBER]]="","",IF(AND(T_EMPLOYEES[[#This Row],[DATE OF BIRTH]]&gt;0,T_EMPLOYEES[[#This Row],[DATE OF BIRTH]]&lt;TODAY()),0,1))</f>
        <v>0</v>
      </c>
      <c r="AD285">
        <f ca="1">IF(T_EMPLOYEES[[#This Row],[EMPLOYEE NUMBER]]="","",IF(AND(T_EMPLOYEES[[#This Row],[START DATE]]&gt;0,T_EMPLOYEES[[#This Row],[START DATE]]&lt;TODAY()+60),0,1))</f>
        <v>0</v>
      </c>
      <c r="AE285">
        <f ca="1">IF(T_EMPLOYEES[[#This Row],[EMPLOYEE NUMBER]]="","",MATCH(T_EMPLOYEES[[#This Row],[GENDER]],L_GENDER,0))</f>
        <v>1</v>
      </c>
      <c r="AF285">
        <f ca="1">IF(T_EMPLOYEES[[#This Row],[EMPLOYEE NUMBER]]="","",MATCH(T_EMPLOYEES[[#This Row],[HIRE SOURCE]],L_HIRESOURCE,0))</f>
        <v>4</v>
      </c>
      <c r="AG285">
        <f ca="1">IF(T_EMPLOYEES[[#This Row],[EMPLOYEE NUMBER]]="","",MATCH(T_EMPLOYEES[[#This Row],[ETHNICITY]],L_ETHNICITY,0))</f>
        <v>3</v>
      </c>
      <c r="AH285">
        <f ca="1">IF(T_EMPLOYEES[[#This Row],[EMPLOYEE NUMBER]]="","",MATCH(T_EMPLOYEES[[#This Row],[LOCATION]],L_LOCATION,0))</f>
        <v>2</v>
      </c>
      <c r="AI285">
        <f ca="1">IF(T_EMPLOYEES[[#This Row],[EMPLOYEE NUMBER]]="","",MATCH(T_EMPLOYEES[[#This Row],[DEPARTMENT]],L_DEPARTMENT,0))</f>
        <v>2</v>
      </c>
      <c r="AJ285">
        <f ca="1">IF(T_EMPLOYEES[[#This Row],[EMPLOYEE NUMBER]]="","",MATCH(T_EMPLOYEES[[#This Row],[JOB TYPE]],L_JOBTYPE,0))</f>
        <v>2</v>
      </c>
      <c r="AK285">
        <f ca="1">IF(T_EMPLOYEES[[#This Row],[EMPLOYEE NUMBER]]="","",MATCH(T_EMPLOYEES[[#This Row],[JOB CATEGORY]],L_JOBCATEGORY,0))</f>
        <v>38</v>
      </c>
      <c r="AL285">
        <f ca="1">IF(T_EMPLOYEES[[#This Row],[EMPLOYEE NUMBER]]="","",MATCH(T_EMPLOYEES[[#This Row],[JOB LEVEL]],L_JOBLEVEL,0))</f>
        <v>2</v>
      </c>
      <c r="AM285">
        <f ca="1">IF(T_EMPLOYEES[[#This Row],[EMPLOYEE NUMBER]]="","",MATCH(T_EMPLOYEES[[#This Row],[JOB TITLE]],L_JOBTITLE,0))</f>
        <v>38</v>
      </c>
      <c r="AN285">
        <f ca="1">IF(T_EMPLOYEES[[#This Row],[EMPLOYEE NUMBER]]="","",MATCH(T_EMPLOYEES[[#This Row],[MANAGER]],L_EMPLABELS,0))</f>
        <v>108</v>
      </c>
      <c r="AO285">
        <f ca="1">IF(T_EMPLOYEES[[#This Row],[EMPLOYEE NUMBER]]="","",IF(T_EMPLOYEES[[#This Row],[ERROR]]="",0,1))</f>
        <v>0</v>
      </c>
      <c r="AP28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6" spans="1:42">
      <c r="A286" t="s">
        <v>1023</v>
      </c>
      <c r="B286" t="s">
        <v>647</v>
      </c>
      <c r="C286">
        <v>1027610</v>
      </c>
      <c r="D286" t="s">
        <v>1024</v>
      </c>
      <c r="E286" s="26">
        <v>34629</v>
      </c>
      <c r="F286" s="26">
        <v>44540</v>
      </c>
      <c r="H286" t="s">
        <v>40</v>
      </c>
      <c r="I286" t="s">
        <v>54</v>
      </c>
      <c r="J286" t="s">
        <v>64</v>
      </c>
      <c r="K286" t="s">
        <v>55</v>
      </c>
      <c r="L286" s="27" t="s">
        <v>45</v>
      </c>
      <c r="M286" t="s">
        <v>46</v>
      </c>
      <c r="N286" t="s">
        <v>160</v>
      </c>
      <c r="O286" t="s">
        <v>48</v>
      </c>
      <c r="P286" t="s">
        <v>160</v>
      </c>
      <c r="Q286" t="s">
        <v>804</v>
      </c>
      <c r="R286" s="27">
        <v>4</v>
      </c>
      <c r="S286" s="1">
        <v>250000</v>
      </c>
      <c r="T286" s="1">
        <f ca="1">ROUND(T_EMPLOYEES[[#This Row],[EMP_CTC1]]/12, 0)</f>
        <v>20833</v>
      </c>
      <c r="U286" s="1">
        <v>150000</v>
      </c>
      <c r="V286" s="1" t="s">
        <v>207</v>
      </c>
      <c r="W286" s="1" t="s">
        <v>207</v>
      </c>
      <c r="X28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Chaithra R (1027610)</v>
      </c>
      <c r="Y286">
        <v>100000</v>
      </c>
      <c r="Z286" s="29">
        <f t="shared" ca="1" si="5"/>
        <v>40</v>
      </c>
      <c r="AA286">
        <f ca="1">IF(T_EMPLOYEES[[#This Row],[EMPLOYEE NUMBER]]="","",ROW(T_EMPLOYEES[[#This Row],[EMPLOYEE LABEL]])-ROW(T_EMPLOYEES[[#Headers],[EMPLOYEE LABEL]]))</f>
        <v>283</v>
      </c>
      <c r="AB286">
        <f ca="1">IF(T_EMPLOYEES[[#This Row],[EMPLOYEE NUMBER]]="","",IF(COUNTIF(T_EMPLOYEES[EMPLOYEE NUMBER],T_EMPLOYEES[[#This Row],[EMPLOYEE NUMBER]])&gt;1,1,0))</f>
        <v>0</v>
      </c>
      <c r="AC286">
        <f ca="1">IF(T_EMPLOYEES[[#This Row],[EMPLOYEE NUMBER]]="","",IF(AND(T_EMPLOYEES[[#This Row],[DATE OF BIRTH]]&gt;0,T_EMPLOYEES[[#This Row],[DATE OF BIRTH]]&lt;TODAY()),0,1))</f>
        <v>0</v>
      </c>
      <c r="AD286">
        <f ca="1">IF(T_EMPLOYEES[[#This Row],[EMPLOYEE NUMBER]]="","",IF(AND(T_EMPLOYEES[[#This Row],[START DATE]]&gt;0,T_EMPLOYEES[[#This Row],[START DATE]]&lt;TODAY()+60),0,1))</f>
        <v>0</v>
      </c>
      <c r="AE286">
        <f ca="1">IF(T_EMPLOYEES[[#This Row],[EMPLOYEE NUMBER]]="","",MATCH(T_EMPLOYEES[[#This Row],[GENDER]],L_GENDER,0))</f>
        <v>2</v>
      </c>
      <c r="AF286">
        <f ca="1">IF(T_EMPLOYEES[[#This Row],[EMPLOYEE NUMBER]]="","",MATCH(T_EMPLOYEES[[#This Row],[HIRE SOURCE]],L_HIRESOURCE,0))</f>
        <v>4</v>
      </c>
      <c r="AG286">
        <f ca="1">IF(T_EMPLOYEES[[#This Row],[EMPLOYEE NUMBER]]="","",MATCH(T_EMPLOYEES[[#This Row],[ETHNICITY]],L_ETHNICITY,0))</f>
        <v>3</v>
      </c>
      <c r="AH286">
        <f ca="1">IF(T_EMPLOYEES[[#This Row],[EMPLOYEE NUMBER]]="","",MATCH(T_EMPLOYEES[[#This Row],[LOCATION]],L_LOCATION,0))</f>
        <v>3</v>
      </c>
      <c r="AI286">
        <f ca="1">IF(T_EMPLOYEES[[#This Row],[EMPLOYEE NUMBER]]="","",MATCH(T_EMPLOYEES[[#This Row],[DEPARTMENT]],L_DEPARTMENT,0))</f>
        <v>2</v>
      </c>
      <c r="AJ286">
        <f ca="1">IF(T_EMPLOYEES[[#This Row],[EMPLOYEE NUMBER]]="","",MATCH(T_EMPLOYEES[[#This Row],[JOB TYPE]],L_JOBTYPE,0))</f>
        <v>2</v>
      </c>
      <c r="AK286">
        <f ca="1">IF(T_EMPLOYEES[[#This Row],[EMPLOYEE NUMBER]]="","",MATCH(T_EMPLOYEES[[#This Row],[JOB CATEGORY]],L_JOBCATEGORY,0))</f>
        <v>39</v>
      </c>
      <c r="AL286">
        <f ca="1">IF(T_EMPLOYEES[[#This Row],[EMPLOYEE NUMBER]]="","",MATCH(T_EMPLOYEES[[#This Row],[JOB LEVEL]],L_JOBLEVEL,0))</f>
        <v>2</v>
      </c>
      <c r="AM286">
        <f ca="1">IF(T_EMPLOYEES[[#This Row],[EMPLOYEE NUMBER]]="","",MATCH(T_EMPLOYEES[[#This Row],[JOB TITLE]],L_JOBTITLE,0))</f>
        <v>39</v>
      </c>
      <c r="AN286">
        <f ca="1">IF(T_EMPLOYEES[[#This Row],[EMPLOYEE NUMBER]]="","",MATCH(T_EMPLOYEES[[#This Row],[MANAGER]],L_EMPLABELS,0))</f>
        <v>31</v>
      </c>
      <c r="AO286">
        <f ca="1">IF(T_EMPLOYEES[[#This Row],[EMPLOYEE NUMBER]]="","",IF(T_EMPLOYEES[[#This Row],[ERROR]]="",0,1))</f>
        <v>0</v>
      </c>
      <c r="AP28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7" spans="1:42">
      <c r="A287" t="s">
        <v>410</v>
      </c>
      <c r="B287" t="s">
        <v>1025</v>
      </c>
      <c r="C287">
        <v>1028801</v>
      </c>
      <c r="D287" t="s">
        <v>1026</v>
      </c>
      <c r="E287" s="26">
        <v>34649</v>
      </c>
      <c r="F287" s="26">
        <v>44662</v>
      </c>
      <c r="H287" t="s">
        <v>27</v>
      </c>
      <c r="I287" t="s">
        <v>54</v>
      </c>
      <c r="J287" t="s">
        <v>64</v>
      </c>
      <c r="K287" t="s">
        <v>43</v>
      </c>
      <c r="L287" s="27" t="s">
        <v>45</v>
      </c>
      <c r="M287" t="s">
        <v>46</v>
      </c>
      <c r="N287" t="s">
        <v>89</v>
      </c>
      <c r="O287" t="s">
        <v>60</v>
      </c>
      <c r="P287" t="s">
        <v>89</v>
      </c>
      <c r="Q287" t="s">
        <v>246</v>
      </c>
      <c r="R287">
        <v>4</v>
      </c>
      <c r="S287" s="1">
        <v>250000</v>
      </c>
      <c r="T287" s="1">
        <f ca="1">ROUND(T_EMPLOYEES[[#This Row],[EMP_CTC1]]/12, 0)</f>
        <v>20833</v>
      </c>
      <c r="U287" s="1">
        <v>150000</v>
      </c>
      <c r="V287" s="1" t="s">
        <v>207</v>
      </c>
      <c r="W287" s="1" t="s">
        <v>207</v>
      </c>
      <c r="X28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 Kapilraj (1028801)</v>
      </c>
      <c r="Y287">
        <v>100000</v>
      </c>
      <c r="Z287" s="29">
        <f t="shared" ca="1" si="5"/>
        <v>40</v>
      </c>
      <c r="AA287">
        <f ca="1">IF(T_EMPLOYEES[[#This Row],[EMPLOYEE NUMBER]]="","",ROW(T_EMPLOYEES[[#This Row],[EMPLOYEE LABEL]])-ROW(T_EMPLOYEES[[#Headers],[EMPLOYEE LABEL]]))</f>
        <v>284</v>
      </c>
      <c r="AB287">
        <f ca="1">IF(T_EMPLOYEES[[#This Row],[EMPLOYEE NUMBER]]="","",IF(COUNTIF(T_EMPLOYEES[EMPLOYEE NUMBER],T_EMPLOYEES[[#This Row],[EMPLOYEE NUMBER]])&gt;1,1,0))</f>
        <v>0</v>
      </c>
      <c r="AC287">
        <f ca="1">IF(T_EMPLOYEES[[#This Row],[EMPLOYEE NUMBER]]="","",IF(AND(T_EMPLOYEES[[#This Row],[DATE OF BIRTH]]&gt;0,T_EMPLOYEES[[#This Row],[DATE OF BIRTH]]&lt;TODAY()),0,1))</f>
        <v>0</v>
      </c>
      <c r="AD287">
        <f ca="1">IF(T_EMPLOYEES[[#This Row],[EMPLOYEE NUMBER]]="","",IF(AND(T_EMPLOYEES[[#This Row],[START DATE]]&gt;0,T_EMPLOYEES[[#This Row],[START DATE]]&lt;TODAY()+60),0,1))</f>
        <v>0</v>
      </c>
      <c r="AE287">
        <f ca="1">IF(T_EMPLOYEES[[#This Row],[EMPLOYEE NUMBER]]="","",MATCH(T_EMPLOYEES[[#This Row],[GENDER]],L_GENDER,0))</f>
        <v>1</v>
      </c>
      <c r="AF287">
        <f ca="1">IF(T_EMPLOYEES[[#This Row],[EMPLOYEE NUMBER]]="","",MATCH(T_EMPLOYEES[[#This Row],[HIRE SOURCE]],L_HIRESOURCE,0))</f>
        <v>4</v>
      </c>
      <c r="AG287">
        <f ca="1">IF(T_EMPLOYEES[[#This Row],[EMPLOYEE NUMBER]]="","",MATCH(T_EMPLOYEES[[#This Row],[ETHNICITY]],L_ETHNICITY,0))</f>
        <v>3</v>
      </c>
      <c r="AH287">
        <f ca="1">IF(T_EMPLOYEES[[#This Row],[EMPLOYEE NUMBER]]="","",MATCH(T_EMPLOYEES[[#This Row],[LOCATION]],L_LOCATION,0))</f>
        <v>2</v>
      </c>
      <c r="AI287">
        <f ca="1">IF(T_EMPLOYEES[[#This Row],[EMPLOYEE NUMBER]]="","",MATCH(T_EMPLOYEES[[#This Row],[DEPARTMENT]],L_DEPARTMENT,0))</f>
        <v>2</v>
      </c>
      <c r="AJ287">
        <f ca="1">IF(T_EMPLOYEES[[#This Row],[EMPLOYEE NUMBER]]="","",MATCH(T_EMPLOYEES[[#This Row],[JOB TYPE]],L_JOBTYPE,0))</f>
        <v>2</v>
      </c>
      <c r="AK287">
        <f ca="1">IF(T_EMPLOYEES[[#This Row],[EMPLOYEE NUMBER]]="","",MATCH(T_EMPLOYEES[[#This Row],[JOB CATEGORY]],L_JOBCATEGORY,0))</f>
        <v>6</v>
      </c>
      <c r="AL287">
        <f ca="1">IF(T_EMPLOYEES[[#This Row],[EMPLOYEE NUMBER]]="","",MATCH(T_EMPLOYEES[[#This Row],[JOB LEVEL]],L_JOBLEVEL,0))</f>
        <v>3</v>
      </c>
      <c r="AM287">
        <f ca="1">IF(T_EMPLOYEES[[#This Row],[EMPLOYEE NUMBER]]="","",MATCH(T_EMPLOYEES[[#This Row],[JOB TITLE]],L_JOBTITLE,0))</f>
        <v>6</v>
      </c>
      <c r="AN287">
        <f ca="1">IF(T_EMPLOYEES[[#This Row],[EMPLOYEE NUMBER]]="","",MATCH(T_EMPLOYEES[[#This Row],[MANAGER]],L_EMPLABELS,0))</f>
        <v>68</v>
      </c>
      <c r="AO287">
        <f ca="1">IF(T_EMPLOYEES[[#This Row],[EMPLOYEE NUMBER]]="","",IF(T_EMPLOYEES[[#This Row],[ERROR]]="",0,1))</f>
        <v>0</v>
      </c>
      <c r="AP28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8" spans="1:42">
      <c r="A288" t="s">
        <v>1027</v>
      </c>
      <c r="C288">
        <v>1030822</v>
      </c>
      <c r="D288" t="s">
        <v>1028</v>
      </c>
      <c r="E288" s="26">
        <v>34663</v>
      </c>
      <c r="F288" s="26">
        <v>44867</v>
      </c>
      <c r="H288" t="s">
        <v>40</v>
      </c>
      <c r="I288" t="s">
        <v>54</v>
      </c>
      <c r="J288" t="s">
        <v>64</v>
      </c>
      <c r="K288" t="s">
        <v>30</v>
      </c>
      <c r="L288" s="27" t="s">
        <v>45</v>
      </c>
      <c r="M288" t="s">
        <v>46</v>
      </c>
      <c r="N288" t="s">
        <v>89</v>
      </c>
      <c r="O288" t="s">
        <v>60</v>
      </c>
      <c r="P288" t="s">
        <v>89</v>
      </c>
      <c r="Q288" t="s">
        <v>246</v>
      </c>
      <c r="R288" s="27">
        <v>4</v>
      </c>
      <c r="S288" s="1">
        <v>250000</v>
      </c>
      <c r="T288" s="1">
        <f ca="1">ROUND(T_EMPLOYEES[[#This Row],[EMP_CTC1]]/12, 0)</f>
        <v>20833</v>
      </c>
      <c r="U288" s="1">
        <v>150000</v>
      </c>
      <c r="V288" s="1" t="s">
        <v>207</v>
      </c>
      <c r="W288" s="1" t="s">
        <v>207</v>
      </c>
      <c r="X28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Sudharani  (1030822)</v>
      </c>
      <c r="Y288">
        <v>100000</v>
      </c>
      <c r="Z288" s="29">
        <f t="shared" ca="1" si="5"/>
        <v>40</v>
      </c>
      <c r="AA288">
        <f ca="1">IF(T_EMPLOYEES[[#This Row],[EMPLOYEE NUMBER]]="","",ROW(T_EMPLOYEES[[#This Row],[EMPLOYEE LABEL]])-ROW(T_EMPLOYEES[[#Headers],[EMPLOYEE LABEL]]))</f>
        <v>285</v>
      </c>
      <c r="AB288">
        <f ca="1">IF(T_EMPLOYEES[[#This Row],[EMPLOYEE NUMBER]]="","",IF(COUNTIF(T_EMPLOYEES[EMPLOYEE NUMBER],T_EMPLOYEES[[#This Row],[EMPLOYEE NUMBER]])&gt;1,1,0))</f>
        <v>0</v>
      </c>
      <c r="AC288">
        <f ca="1">IF(T_EMPLOYEES[[#This Row],[EMPLOYEE NUMBER]]="","",IF(AND(T_EMPLOYEES[[#This Row],[DATE OF BIRTH]]&gt;0,T_EMPLOYEES[[#This Row],[DATE OF BIRTH]]&lt;TODAY()),0,1))</f>
        <v>0</v>
      </c>
      <c r="AD288">
        <f ca="1">IF(T_EMPLOYEES[[#This Row],[EMPLOYEE NUMBER]]="","",IF(AND(T_EMPLOYEES[[#This Row],[START DATE]]&gt;0,T_EMPLOYEES[[#This Row],[START DATE]]&lt;TODAY()+60),0,1))</f>
        <v>0</v>
      </c>
      <c r="AE288">
        <f ca="1">IF(T_EMPLOYEES[[#This Row],[EMPLOYEE NUMBER]]="","",MATCH(T_EMPLOYEES[[#This Row],[GENDER]],L_GENDER,0))</f>
        <v>2</v>
      </c>
      <c r="AF288">
        <f ca="1">IF(T_EMPLOYEES[[#This Row],[EMPLOYEE NUMBER]]="","",MATCH(T_EMPLOYEES[[#This Row],[HIRE SOURCE]],L_HIRESOURCE,0))</f>
        <v>4</v>
      </c>
      <c r="AG288">
        <f ca="1">IF(T_EMPLOYEES[[#This Row],[EMPLOYEE NUMBER]]="","",MATCH(T_EMPLOYEES[[#This Row],[ETHNICITY]],L_ETHNICITY,0))</f>
        <v>3</v>
      </c>
      <c r="AH288">
        <f ca="1">IF(T_EMPLOYEES[[#This Row],[EMPLOYEE NUMBER]]="","",MATCH(T_EMPLOYEES[[#This Row],[LOCATION]],L_LOCATION,0))</f>
        <v>1</v>
      </c>
      <c r="AI288">
        <f ca="1">IF(T_EMPLOYEES[[#This Row],[EMPLOYEE NUMBER]]="","",MATCH(T_EMPLOYEES[[#This Row],[DEPARTMENT]],L_DEPARTMENT,0))</f>
        <v>2</v>
      </c>
      <c r="AJ288">
        <f ca="1">IF(T_EMPLOYEES[[#This Row],[EMPLOYEE NUMBER]]="","",MATCH(T_EMPLOYEES[[#This Row],[JOB TYPE]],L_JOBTYPE,0))</f>
        <v>2</v>
      </c>
      <c r="AK288">
        <f ca="1">IF(T_EMPLOYEES[[#This Row],[EMPLOYEE NUMBER]]="","",MATCH(T_EMPLOYEES[[#This Row],[JOB CATEGORY]],L_JOBCATEGORY,0))</f>
        <v>6</v>
      </c>
      <c r="AL288">
        <f ca="1">IF(T_EMPLOYEES[[#This Row],[EMPLOYEE NUMBER]]="","",MATCH(T_EMPLOYEES[[#This Row],[JOB LEVEL]],L_JOBLEVEL,0))</f>
        <v>3</v>
      </c>
      <c r="AM288">
        <f ca="1">IF(T_EMPLOYEES[[#This Row],[EMPLOYEE NUMBER]]="","",MATCH(T_EMPLOYEES[[#This Row],[JOB TITLE]],L_JOBTITLE,0))</f>
        <v>6</v>
      </c>
      <c r="AN288">
        <f ca="1">IF(T_EMPLOYEES[[#This Row],[EMPLOYEE NUMBER]]="","",MATCH(T_EMPLOYEES[[#This Row],[MANAGER]],L_EMPLABELS,0))</f>
        <v>68</v>
      </c>
      <c r="AO288">
        <f ca="1">IF(T_EMPLOYEES[[#This Row],[EMPLOYEE NUMBER]]="","",IF(T_EMPLOYEES[[#This Row],[ERROR]]="",0,1))</f>
        <v>0</v>
      </c>
      <c r="AP28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9" spans="1:42">
      <c r="A289" t="s">
        <v>1029</v>
      </c>
      <c r="B289" t="s">
        <v>1030</v>
      </c>
      <c r="C289">
        <v>1022219</v>
      </c>
      <c r="D289" t="s">
        <v>1031</v>
      </c>
      <c r="E289" s="26">
        <v>34672</v>
      </c>
      <c r="F289" s="26">
        <v>43633</v>
      </c>
      <c r="H289" t="s">
        <v>40</v>
      </c>
      <c r="I289" t="s">
        <v>54</v>
      </c>
      <c r="J289" t="s">
        <v>64</v>
      </c>
      <c r="K289" t="s">
        <v>30</v>
      </c>
      <c r="L289" s="27" t="s">
        <v>114</v>
      </c>
      <c r="M289" t="s">
        <v>46</v>
      </c>
      <c r="N289" t="s">
        <v>128</v>
      </c>
      <c r="O289" t="s">
        <v>60</v>
      </c>
      <c r="P289" t="s">
        <v>128</v>
      </c>
      <c r="Q289" t="s">
        <v>505</v>
      </c>
      <c r="R289">
        <v>4</v>
      </c>
      <c r="S289" s="1">
        <v>250000</v>
      </c>
      <c r="T289" s="1">
        <f ca="1">ROUND(T_EMPLOYEES[[#This Row],[EMP_CTC1]]/12, 0)</f>
        <v>20833</v>
      </c>
      <c r="U289" s="1">
        <v>150000</v>
      </c>
      <c r="V289" s="1" t="s">
        <v>207</v>
      </c>
      <c r="W289" s="1" t="s">
        <v>207</v>
      </c>
      <c r="X28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Mikku  Agarwal (1022219)</v>
      </c>
      <c r="Y289">
        <v>100000</v>
      </c>
      <c r="Z289" s="29">
        <f t="shared" ca="1" si="5"/>
        <v>40</v>
      </c>
      <c r="AA289">
        <f ca="1">IF(T_EMPLOYEES[[#This Row],[EMPLOYEE NUMBER]]="","",ROW(T_EMPLOYEES[[#This Row],[EMPLOYEE LABEL]])-ROW(T_EMPLOYEES[[#Headers],[EMPLOYEE LABEL]]))</f>
        <v>286</v>
      </c>
      <c r="AB289">
        <f ca="1">IF(T_EMPLOYEES[[#This Row],[EMPLOYEE NUMBER]]="","",IF(COUNTIF(T_EMPLOYEES[EMPLOYEE NUMBER],T_EMPLOYEES[[#This Row],[EMPLOYEE NUMBER]])&gt;1,1,0))</f>
        <v>0</v>
      </c>
      <c r="AC289">
        <f ca="1">IF(T_EMPLOYEES[[#This Row],[EMPLOYEE NUMBER]]="","",IF(AND(T_EMPLOYEES[[#This Row],[DATE OF BIRTH]]&gt;0,T_EMPLOYEES[[#This Row],[DATE OF BIRTH]]&lt;TODAY()),0,1))</f>
        <v>0</v>
      </c>
      <c r="AD289">
        <f ca="1">IF(T_EMPLOYEES[[#This Row],[EMPLOYEE NUMBER]]="","",IF(AND(T_EMPLOYEES[[#This Row],[START DATE]]&gt;0,T_EMPLOYEES[[#This Row],[START DATE]]&lt;TODAY()+60),0,1))</f>
        <v>0</v>
      </c>
      <c r="AE289">
        <f ca="1">IF(T_EMPLOYEES[[#This Row],[EMPLOYEE NUMBER]]="","",MATCH(T_EMPLOYEES[[#This Row],[GENDER]],L_GENDER,0))</f>
        <v>2</v>
      </c>
      <c r="AF289">
        <f ca="1">IF(T_EMPLOYEES[[#This Row],[EMPLOYEE NUMBER]]="","",MATCH(T_EMPLOYEES[[#This Row],[HIRE SOURCE]],L_HIRESOURCE,0))</f>
        <v>4</v>
      </c>
      <c r="AG289">
        <f ca="1">IF(T_EMPLOYEES[[#This Row],[EMPLOYEE NUMBER]]="","",MATCH(T_EMPLOYEES[[#This Row],[ETHNICITY]],L_ETHNICITY,0))</f>
        <v>3</v>
      </c>
      <c r="AH289">
        <f ca="1">IF(T_EMPLOYEES[[#This Row],[EMPLOYEE NUMBER]]="","",MATCH(T_EMPLOYEES[[#This Row],[LOCATION]],L_LOCATION,0))</f>
        <v>1</v>
      </c>
      <c r="AI289">
        <f ca="1">IF(T_EMPLOYEES[[#This Row],[EMPLOYEE NUMBER]]="","",MATCH(T_EMPLOYEES[[#This Row],[DEPARTMENT]],L_DEPARTMENT,0))</f>
        <v>11</v>
      </c>
      <c r="AJ289">
        <f ca="1">IF(T_EMPLOYEES[[#This Row],[EMPLOYEE NUMBER]]="","",MATCH(T_EMPLOYEES[[#This Row],[JOB TYPE]],L_JOBTYPE,0))</f>
        <v>2</v>
      </c>
      <c r="AK289">
        <f ca="1">IF(T_EMPLOYEES[[#This Row],[EMPLOYEE NUMBER]]="","",MATCH(T_EMPLOYEES[[#This Row],[JOB CATEGORY]],L_JOBCATEGORY,0))</f>
        <v>15</v>
      </c>
      <c r="AL289">
        <f ca="1">IF(T_EMPLOYEES[[#This Row],[EMPLOYEE NUMBER]]="","",MATCH(T_EMPLOYEES[[#This Row],[JOB LEVEL]],L_JOBLEVEL,0))</f>
        <v>3</v>
      </c>
      <c r="AM289">
        <f ca="1">IF(T_EMPLOYEES[[#This Row],[EMPLOYEE NUMBER]]="","",MATCH(T_EMPLOYEES[[#This Row],[JOB TITLE]],L_JOBTITLE,0))</f>
        <v>15</v>
      </c>
      <c r="AN289">
        <f ca="1">IF(T_EMPLOYEES[[#This Row],[EMPLOYEE NUMBER]]="","",MATCH(T_EMPLOYEES[[#This Row],[MANAGER]],L_EMPLABELS,0))</f>
        <v>57</v>
      </c>
      <c r="AO289">
        <f ca="1">IF(T_EMPLOYEES[[#This Row],[EMPLOYEE NUMBER]]="","",IF(T_EMPLOYEES[[#This Row],[ERROR]]="",0,1))</f>
        <v>0</v>
      </c>
      <c r="AP28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0" spans="1:42">
      <c r="A290" t="s">
        <v>1032</v>
      </c>
      <c r="B290" t="s">
        <v>1033</v>
      </c>
      <c r="C290">
        <v>1031041</v>
      </c>
      <c r="D290" t="s">
        <v>1034</v>
      </c>
      <c r="E290" s="26">
        <v>34706</v>
      </c>
      <c r="F290" s="26">
        <v>44889</v>
      </c>
      <c r="H290" t="s">
        <v>27</v>
      </c>
      <c r="I290" t="s">
        <v>54</v>
      </c>
      <c r="J290" t="s">
        <v>64</v>
      </c>
      <c r="K290" t="s">
        <v>43</v>
      </c>
      <c r="L290" s="27" t="s">
        <v>114</v>
      </c>
      <c r="M290" t="s">
        <v>46</v>
      </c>
      <c r="N290" t="s">
        <v>151</v>
      </c>
      <c r="O290" t="s">
        <v>36</v>
      </c>
      <c r="P290" t="s">
        <v>151</v>
      </c>
      <c r="Q290" t="s">
        <v>505</v>
      </c>
      <c r="R290" s="27">
        <v>0</v>
      </c>
      <c r="S290" s="1">
        <v>250000</v>
      </c>
      <c r="T290" s="1">
        <f ca="1">ROUND(T_EMPLOYEES[[#This Row],[EMP_CTC1]]/12, 0)</f>
        <v>20833</v>
      </c>
      <c r="U290" s="1">
        <v>150000</v>
      </c>
      <c r="V290" s="1" t="s">
        <v>207</v>
      </c>
      <c r="W290" s="1" t="s">
        <v>207</v>
      </c>
      <c r="X29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Subodh Sunil Raut (1031041)</v>
      </c>
      <c r="Y290">
        <v>100000</v>
      </c>
      <c r="Z290" s="29">
        <f t="shared" ca="1" si="5"/>
        <v>40</v>
      </c>
      <c r="AA290">
        <f ca="1">IF(T_EMPLOYEES[[#This Row],[EMPLOYEE NUMBER]]="","",ROW(T_EMPLOYEES[[#This Row],[EMPLOYEE LABEL]])-ROW(T_EMPLOYEES[[#Headers],[EMPLOYEE LABEL]]))</f>
        <v>287</v>
      </c>
      <c r="AB290">
        <f ca="1">IF(T_EMPLOYEES[[#This Row],[EMPLOYEE NUMBER]]="","",IF(COUNTIF(T_EMPLOYEES[EMPLOYEE NUMBER],T_EMPLOYEES[[#This Row],[EMPLOYEE NUMBER]])&gt;1,1,0))</f>
        <v>0</v>
      </c>
      <c r="AC290">
        <f ca="1">IF(T_EMPLOYEES[[#This Row],[EMPLOYEE NUMBER]]="","",IF(AND(T_EMPLOYEES[[#This Row],[DATE OF BIRTH]]&gt;0,T_EMPLOYEES[[#This Row],[DATE OF BIRTH]]&lt;TODAY()),0,1))</f>
        <v>0</v>
      </c>
      <c r="AD290">
        <f ca="1">IF(T_EMPLOYEES[[#This Row],[EMPLOYEE NUMBER]]="","",IF(AND(T_EMPLOYEES[[#This Row],[START DATE]]&gt;0,T_EMPLOYEES[[#This Row],[START DATE]]&lt;TODAY()+60),0,1))</f>
        <v>0</v>
      </c>
      <c r="AE290">
        <f ca="1">IF(T_EMPLOYEES[[#This Row],[EMPLOYEE NUMBER]]="","",MATCH(T_EMPLOYEES[[#This Row],[GENDER]],L_GENDER,0))</f>
        <v>1</v>
      </c>
      <c r="AF290">
        <f ca="1">IF(T_EMPLOYEES[[#This Row],[EMPLOYEE NUMBER]]="","",MATCH(T_EMPLOYEES[[#This Row],[HIRE SOURCE]],L_HIRESOURCE,0))</f>
        <v>4</v>
      </c>
      <c r="AG290">
        <f ca="1">IF(T_EMPLOYEES[[#This Row],[EMPLOYEE NUMBER]]="","",MATCH(T_EMPLOYEES[[#This Row],[ETHNICITY]],L_ETHNICITY,0))</f>
        <v>3</v>
      </c>
      <c r="AH290">
        <f ca="1">IF(T_EMPLOYEES[[#This Row],[EMPLOYEE NUMBER]]="","",MATCH(T_EMPLOYEES[[#This Row],[LOCATION]],L_LOCATION,0))</f>
        <v>2</v>
      </c>
      <c r="AI290">
        <f ca="1">IF(T_EMPLOYEES[[#This Row],[EMPLOYEE NUMBER]]="","",MATCH(T_EMPLOYEES[[#This Row],[DEPARTMENT]],L_DEPARTMENT,0))</f>
        <v>11</v>
      </c>
      <c r="AJ290">
        <f ca="1">IF(T_EMPLOYEES[[#This Row],[EMPLOYEE NUMBER]]="","",MATCH(T_EMPLOYEES[[#This Row],[JOB TYPE]],L_JOBTYPE,0))</f>
        <v>2</v>
      </c>
      <c r="AK290">
        <f ca="1">IF(T_EMPLOYEES[[#This Row],[EMPLOYEE NUMBER]]="","",MATCH(T_EMPLOYEES[[#This Row],[JOB CATEGORY]],L_JOBCATEGORY,0))</f>
        <v>30</v>
      </c>
      <c r="AL290">
        <f ca="1">IF(T_EMPLOYEES[[#This Row],[EMPLOYEE NUMBER]]="","",MATCH(T_EMPLOYEES[[#This Row],[JOB LEVEL]],L_JOBLEVEL,0))</f>
        <v>1</v>
      </c>
      <c r="AM290">
        <f ca="1">IF(T_EMPLOYEES[[#This Row],[EMPLOYEE NUMBER]]="","",MATCH(T_EMPLOYEES[[#This Row],[JOB TITLE]],L_JOBTITLE,0))</f>
        <v>30</v>
      </c>
      <c r="AN290">
        <f ca="1">IF(T_EMPLOYEES[[#This Row],[EMPLOYEE NUMBER]]="","",MATCH(T_EMPLOYEES[[#This Row],[MANAGER]],L_EMPLABELS,0))</f>
        <v>57</v>
      </c>
      <c r="AO290">
        <f ca="1">IF(T_EMPLOYEES[[#This Row],[EMPLOYEE NUMBER]]="","",IF(T_EMPLOYEES[[#This Row],[ERROR]]="",0,1))</f>
        <v>0</v>
      </c>
      <c r="AP29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1" spans="1:42">
      <c r="A291" t="s">
        <v>74</v>
      </c>
      <c r="B291" t="s">
        <v>1035</v>
      </c>
      <c r="C291">
        <v>1031859</v>
      </c>
      <c r="D291" t="s">
        <v>1036</v>
      </c>
      <c r="E291" s="26">
        <v>34717</v>
      </c>
      <c r="F291" s="26">
        <v>44914</v>
      </c>
      <c r="H291" t="s">
        <v>27</v>
      </c>
      <c r="I291" t="s">
        <v>54</v>
      </c>
      <c r="J291" t="s">
        <v>64</v>
      </c>
      <c r="K291" t="s">
        <v>30</v>
      </c>
      <c r="L291" s="27" t="s">
        <v>45</v>
      </c>
      <c r="M291" t="s">
        <v>46</v>
      </c>
      <c r="N291" t="s">
        <v>160</v>
      </c>
      <c r="O291" t="s">
        <v>48</v>
      </c>
      <c r="P291" t="s">
        <v>160</v>
      </c>
      <c r="Q291" t="s">
        <v>288</v>
      </c>
      <c r="R291">
        <v>4</v>
      </c>
      <c r="S291" s="1">
        <v>250000</v>
      </c>
      <c r="T291" s="1">
        <f ca="1">ROUND(T_EMPLOYEES[[#This Row],[EMP_CTC1]]/12, 0)</f>
        <v>20833</v>
      </c>
      <c r="U291" s="1">
        <v>150000</v>
      </c>
      <c r="V291" s="1" t="s">
        <v>207</v>
      </c>
      <c r="W291" s="1" t="s">
        <v>207</v>
      </c>
      <c r="X29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 Dharani Kumar (1031859)</v>
      </c>
      <c r="Y291">
        <v>100000</v>
      </c>
      <c r="Z291" s="29">
        <f t="shared" ca="1" si="5"/>
        <v>40</v>
      </c>
      <c r="AA291">
        <f ca="1">IF(T_EMPLOYEES[[#This Row],[EMPLOYEE NUMBER]]="","",ROW(T_EMPLOYEES[[#This Row],[EMPLOYEE LABEL]])-ROW(T_EMPLOYEES[[#Headers],[EMPLOYEE LABEL]]))</f>
        <v>288</v>
      </c>
      <c r="AB291">
        <f ca="1">IF(T_EMPLOYEES[[#This Row],[EMPLOYEE NUMBER]]="","",IF(COUNTIF(T_EMPLOYEES[EMPLOYEE NUMBER],T_EMPLOYEES[[#This Row],[EMPLOYEE NUMBER]])&gt;1,1,0))</f>
        <v>0</v>
      </c>
      <c r="AC291">
        <f ca="1">IF(T_EMPLOYEES[[#This Row],[EMPLOYEE NUMBER]]="","",IF(AND(T_EMPLOYEES[[#This Row],[DATE OF BIRTH]]&gt;0,T_EMPLOYEES[[#This Row],[DATE OF BIRTH]]&lt;TODAY()),0,1))</f>
        <v>0</v>
      </c>
      <c r="AD291">
        <f ca="1">IF(T_EMPLOYEES[[#This Row],[EMPLOYEE NUMBER]]="","",IF(AND(T_EMPLOYEES[[#This Row],[START DATE]]&gt;0,T_EMPLOYEES[[#This Row],[START DATE]]&lt;TODAY()+60),0,1))</f>
        <v>0</v>
      </c>
      <c r="AE291">
        <f ca="1">IF(T_EMPLOYEES[[#This Row],[EMPLOYEE NUMBER]]="","",MATCH(T_EMPLOYEES[[#This Row],[GENDER]],L_GENDER,0))</f>
        <v>1</v>
      </c>
      <c r="AF291">
        <f ca="1">IF(T_EMPLOYEES[[#This Row],[EMPLOYEE NUMBER]]="","",MATCH(T_EMPLOYEES[[#This Row],[HIRE SOURCE]],L_HIRESOURCE,0))</f>
        <v>4</v>
      </c>
      <c r="AG291">
        <f ca="1">IF(T_EMPLOYEES[[#This Row],[EMPLOYEE NUMBER]]="","",MATCH(T_EMPLOYEES[[#This Row],[ETHNICITY]],L_ETHNICITY,0))</f>
        <v>3</v>
      </c>
      <c r="AH291">
        <f ca="1">IF(T_EMPLOYEES[[#This Row],[EMPLOYEE NUMBER]]="","",MATCH(T_EMPLOYEES[[#This Row],[LOCATION]],L_LOCATION,0))</f>
        <v>1</v>
      </c>
      <c r="AI291">
        <f ca="1">IF(T_EMPLOYEES[[#This Row],[EMPLOYEE NUMBER]]="","",MATCH(T_EMPLOYEES[[#This Row],[DEPARTMENT]],L_DEPARTMENT,0))</f>
        <v>2</v>
      </c>
      <c r="AJ291">
        <f ca="1">IF(T_EMPLOYEES[[#This Row],[EMPLOYEE NUMBER]]="","",MATCH(T_EMPLOYEES[[#This Row],[JOB TYPE]],L_JOBTYPE,0))</f>
        <v>2</v>
      </c>
      <c r="AK291">
        <f ca="1">IF(T_EMPLOYEES[[#This Row],[EMPLOYEE NUMBER]]="","",MATCH(T_EMPLOYEES[[#This Row],[JOB CATEGORY]],L_JOBCATEGORY,0))</f>
        <v>39</v>
      </c>
      <c r="AL291">
        <f ca="1">IF(T_EMPLOYEES[[#This Row],[EMPLOYEE NUMBER]]="","",MATCH(T_EMPLOYEES[[#This Row],[JOB LEVEL]],L_JOBLEVEL,0))</f>
        <v>2</v>
      </c>
      <c r="AM291">
        <f ca="1">IF(T_EMPLOYEES[[#This Row],[EMPLOYEE NUMBER]]="","",MATCH(T_EMPLOYEES[[#This Row],[JOB TITLE]],L_JOBTITLE,0))</f>
        <v>39</v>
      </c>
      <c r="AN291">
        <f ca="1">IF(T_EMPLOYEES[[#This Row],[EMPLOYEE NUMBER]]="","",MATCH(T_EMPLOYEES[[#This Row],[MANAGER]],L_EMPLABELS,0))</f>
        <v>52</v>
      </c>
      <c r="AO291">
        <f ca="1">IF(T_EMPLOYEES[[#This Row],[EMPLOYEE NUMBER]]="","",IF(T_EMPLOYEES[[#This Row],[ERROR]]="",0,1))</f>
        <v>0</v>
      </c>
      <c r="AP29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2" spans="1:42">
      <c r="A292" t="s">
        <v>1037</v>
      </c>
      <c r="B292" t="s">
        <v>1038</v>
      </c>
      <c r="C292">
        <v>1028400</v>
      </c>
      <c r="D292" t="s">
        <v>1039</v>
      </c>
      <c r="E292" s="26">
        <v>34722</v>
      </c>
      <c r="F292" s="26">
        <v>44613</v>
      </c>
      <c r="H292" t="s">
        <v>40</v>
      </c>
      <c r="I292" t="s">
        <v>54</v>
      </c>
      <c r="J292" t="s">
        <v>64</v>
      </c>
      <c r="K292" t="s">
        <v>30</v>
      </c>
      <c r="L292" s="27" t="s">
        <v>45</v>
      </c>
      <c r="M292" t="s">
        <v>46</v>
      </c>
      <c r="N292" t="s">
        <v>160</v>
      </c>
      <c r="O292" t="s">
        <v>48</v>
      </c>
      <c r="P292" t="s">
        <v>160</v>
      </c>
      <c r="Q292" t="s">
        <v>726</v>
      </c>
      <c r="R292" s="27">
        <v>4</v>
      </c>
      <c r="S292" s="1">
        <v>250000</v>
      </c>
      <c r="T292" s="1">
        <f ca="1">ROUND(T_EMPLOYEES[[#This Row],[EMP_CTC1]]/12, 0)</f>
        <v>20833</v>
      </c>
      <c r="U292" s="1">
        <v>150000</v>
      </c>
      <c r="V292" s="1" t="s">
        <v>207</v>
      </c>
      <c r="W292" s="1" t="s">
        <v>207</v>
      </c>
      <c r="X29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Rutuja Sanjay Harne (1028400)</v>
      </c>
      <c r="Y292">
        <v>100000</v>
      </c>
      <c r="Z292" s="29">
        <f t="shared" ca="1" si="5"/>
        <v>40</v>
      </c>
      <c r="AA292">
        <f ca="1">IF(T_EMPLOYEES[[#This Row],[EMPLOYEE NUMBER]]="","",ROW(T_EMPLOYEES[[#This Row],[EMPLOYEE LABEL]])-ROW(T_EMPLOYEES[[#Headers],[EMPLOYEE LABEL]]))</f>
        <v>289</v>
      </c>
      <c r="AB292">
        <f ca="1">IF(T_EMPLOYEES[[#This Row],[EMPLOYEE NUMBER]]="","",IF(COUNTIF(T_EMPLOYEES[EMPLOYEE NUMBER],T_EMPLOYEES[[#This Row],[EMPLOYEE NUMBER]])&gt;1,1,0))</f>
        <v>0</v>
      </c>
      <c r="AC292">
        <f ca="1">IF(T_EMPLOYEES[[#This Row],[EMPLOYEE NUMBER]]="","",IF(AND(T_EMPLOYEES[[#This Row],[DATE OF BIRTH]]&gt;0,T_EMPLOYEES[[#This Row],[DATE OF BIRTH]]&lt;TODAY()),0,1))</f>
        <v>0</v>
      </c>
      <c r="AD292">
        <f ca="1">IF(T_EMPLOYEES[[#This Row],[EMPLOYEE NUMBER]]="","",IF(AND(T_EMPLOYEES[[#This Row],[START DATE]]&gt;0,T_EMPLOYEES[[#This Row],[START DATE]]&lt;TODAY()+60),0,1))</f>
        <v>0</v>
      </c>
      <c r="AE292">
        <f ca="1">IF(T_EMPLOYEES[[#This Row],[EMPLOYEE NUMBER]]="","",MATCH(T_EMPLOYEES[[#This Row],[GENDER]],L_GENDER,0))</f>
        <v>2</v>
      </c>
      <c r="AF292">
        <f ca="1">IF(T_EMPLOYEES[[#This Row],[EMPLOYEE NUMBER]]="","",MATCH(T_EMPLOYEES[[#This Row],[HIRE SOURCE]],L_HIRESOURCE,0))</f>
        <v>4</v>
      </c>
      <c r="AG292">
        <f ca="1">IF(T_EMPLOYEES[[#This Row],[EMPLOYEE NUMBER]]="","",MATCH(T_EMPLOYEES[[#This Row],[ETHNICITY]],L_ETHNICITY,0))</f>
        <v>3</v>
      </c>
      <c r="AH292">
        <f ca="1">IF(T_EMPLOYEES[[#This Row],[EMPLOYEE NUMBER]]="","",MATCH(T_EMPLOYEES[[#This Row],[LOCATION]],L_LOCATION,0))</f>
        <v>1</v>
      </c>
      <c r="AI292">
        <f ca="1">IF(T_EMPLOYEES[[#This Row],[EMPLOYEE NUMBER]]="","",MATCH(T_EMPLOYEES[[#This Row],[DEPARTMENT]],L_DEPARTMENT,0))</f>
        <v>2</v>
      </c>
      <c r="AJ292">
        <f ca="1">IF(T_EMPLOYEES[[#This Row],[EMPLOYEE NUMBER]]="","",MATCH(T_EMPLOYEES[[#This Row],[JOB TYPE]],L_JOBTYPE,0))</f>
        <v>2</v>
      </c>
      <c r="AK292">
        <f ca="1">IF(T_EMPLOYEES[[#This Row],[EMPLOYEE NUMBER]]="","",MATCH(T_EMPLOYEES[[#This Row],[JOB CATEGORY]],L_JOBCATEGORY,0))</f>
        <v>39</v>
      </c>
      <c r="AL292">
        <f ca="1">IF(T_EMPLOYEES[[#This Row],[EMPLOYEE NUMBER]]="","",MATCH(T_EMPLOYEES[[#This Row],[JOB LEVEL]],L_JOBLEVEL,0))</f>
        <v>2</v>
      </c>
      <c r="AM292">
        <f ca="1">IF(T_EMPLOYEES[[#This Row],[EMPLOYEE NUMBER]]="","",MATCH(T_EMPLOYEES[[#This Row],[JOB TITLE]],L_JOBTITLE,0))</f>
        <v>39</v>
      </c>
      <c r="AN292">
        <f ca="1">IF(T_EMPLOYEES[[#This Row],[EMPLOYEE NUMBER]]="","",MATCH(T_EMPLOYEES[[#This Row],[MANAGER]],L_EMPLABELS,0))</f>
        <v>59</v>
      </c>
      <c r="AO292">
        <f ca="1">IF(T_EMPLOYEES[[#This Row],[EMPLOYEE NUMBER]]="","",IF(T_EMPLOYEES[[#This Row],[ERROR]]="",0,1))</f>
        <v>0</v>
      </c>
      <c r="AP29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3" spans="1:42">
      <c r="A293" t="s">
        <v>1040</v>
      </c>
      <c r="B293" t="s">
        <v>1041</v>
      </c>
      <c r="C293">
        <v>1031086</v>
      </c>
      <c r="D293" t="s">
        <v>1042</v>
      </c>
      <c r="E293" s="26">
        <v>34725</v>
      </c>
      <c r="F293" s="26">
        <v>44889</v>
      </c>
      <c r="H293" t="s">
        <v>27</v>
      </c>
      <c r="I293" t="s">
        <v>54</v>
      </c>
      <c r="J293" t="s">
        <v>64</v>
      </c>
      <c r="K293" t="s">
        <v>43</v>
      </c>
      <c r="L293" s="27" t="s">
        <v>114</v>
      </c>
      <c r="M293" t="s">
        <v>46</v>
      </c>
      <c r="N293" t="s">
        <v>151</v>
      </c>
      <c r="O293" t="s">
        <v>36</v>
      </c>
      <c r="P293" t="s">
        <v>151</v>
      </c>
      <c r="Q293" t="s">
        <v>468</v>
      </c>
      <c r="R293">
        <v>0</v>
      </c>
      <c r="S293" s="1">
        <v>250000</v>
      </c>
      <c r="T293" s="1">
        <f ca="1">ROUND(T_EMPLOYEES[[#This Row],[EMP_CTC1]]/12, 0)</f>
        <v>20833</v>
      </c>
      <c r="U293" s="1">
        <v>150000</v>
      </c>
      <c r="V293" s="1" t="s">
        <v>207</v>
      </c>
      <c r="W293" s="1" t="s">
        <v>207</v>
      </c>
      <c r="X29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Nikhil Balaji Agwane (1031086)</v>
      </c>
      <c r="Y293">
        <v>120000</v>
      </c>
      <c r="Z293" s="29">
        <f t="shared" ca="1" si="5"/>
        <v>40</v>
      </c>
      <c r="AA293">
        <f ca="1">IF(T_EMPLOYEES[[#This Row],[EMPLOYEE NUMBER]]="","",ROW(T_EMPLOYEES[[#This Row],[EMPLOYEE LABEL]])-ROW(T_EMPLOYEES[[#Headers],[EMPLOYEE LABEL]]))</f>
        <v>290</v>
      </c>
      <c r="AB293">
        <f ca="1">IF(T_EMPLOYEES[[#This Row],[EMPLOYEE NUMBER]]="","",IF(COUNTIF(T_EMPLOYEES[EMPLOYEE NUMBER],T_EMPLOYEES[[#This Row],[EMPLOYEE NUMBER]])&gt;1,1,0))</f>
        <v>0</v>
      </c>
      <c r="AC293">
        <f ca="1">IF(T_EMPLOYEES[[#This Row],[EMPLOYEE NUMBER]]="","",IF(AND(T_EMPLOYEES[[#This Row],[DATE OF BIRTH]]&gt;0,T_EMPLOYEES[[#This Row],[DATE OF BIRTH]]&lt;TODAY()),0,1))</f>
        <v>0</v>
      </c>
      <c r="AD293">
        <f ca="1">IF(T_EMPLOYEES[[#This Row],[EMPLOYEE NUMBER]]="","",IF(AND(T_EMPLOYEES[[#This Row],[START DATE]]&gt;0,T_EMPLOYEES[[#This Row],[START DATE]]&lt;TODAY()+60),0,1))</f>
        <v>0</v>
      </c>
      <c r="AE293">
        <f ca="1">IF(T_EMPLOYEES[[#This Row],[EMPLOYEE NUMBER]]="","",MATCH(T_EMPLOYEES[[#This Row],[GENDER]],L_GENDER,0))</f>
        <v>1</v>
      </c>
      <c r="AF293">
        <f ca="1">IF(T_EMPLOYEES[[#This Row],[EMPLOYEE NUMBER]]="","",MATCH(T_EMPLOYEES[[#This Row],[HIRE SOURCE]],L_HIRESOURCE,0))</f>
        <v>4</v>
      </c>
      <c r="AG293">
        <f ca="1">IF(T_EMPLOYEES[[#This Row],[EMPLOYEE NUMBER]]="","",MATCH(T_EMPLOYEES[[#This Row],[ETHNICITY]],L_ETHNICITY,0))</f>
        <v>3</v>
      </c>
      <c r="AH293">
        <f ca="1">IF(T_EMPLOYEES[[#This Row],[EMPLOYEE NUMBER]]="","",MATCH(T_EMPLOYEES[[#This Row],[LOCATION]],L_LOCATION,0))</f>
        <v>2</v>
      </c>
      <c r="AI293">
        <f ca="1">IF(T_EMPLOYEES[[#This Row],[EMPLOYEE NUMBER]]="","",MATCH(T_EMPLOYEES[[#This Row],[DEPARTMENT]],L_DEPARTMENT,0))</f>
        <v>11</v>
      </c>
      <c r="AJ293">
        <f ca="1">IF(T_EMPLOYEES[[#This Row],[EMPLOYEE NUMBER]]="","",MATCH(T_EMPLOYEES[[#This Row],[JOB TYPE]],L_JOBTYPE,0))</f>
        <v>2</v>
      </c>
      <c r="AK293">
        <f ca="1">IF(T_EMPLOYEES[[#This Row],[EMPLOYEE NUMBER]]="","",MATCH(T_EMPLOYEES[[#This Row],[JOB CATEGORY]],L_JOBCATEGORY,0))</f>
        <v>30</v>
      </c>
      <c r="AL293">
        <f ca="1">IF(T_EMPLOYEES[[#This Row],[EMPLOYEE NUMBER]]="","",MATCH(T_EMPLOYEES[[#This Row],[JOB LEVEL]],L_JOBLEVEL,0))</f>
        <v>1</v>
      </c>
      <c r="AM293">
        <f ca="1">IF(T_EMPLOYEES[[#This Row],[EMPLOYEE NUMBER]]="","",MATCH(T_EMPLOYEES[[#This Row],[JOB TITLE]],L_JOBTITLE,0))</f>
        <v>30</v>
      </c>
      <c r="AN293">
        <f ca="1">IF(T_EMPLOYEES[[#This Row],[EMPLOYEE NUMBER]]="","",MATCH(T_EMPLOYEES[[#This Row],[MANAGER]],L_EMPLABELS,0))</f>
        <v>56</v>
      </c>
      <c r="AO293">
        <f ca="1">IF(T_EMPLOYEES[[#This Row],[EMPLOYEE NUMBER]]="","",IF(T_EMPLOYEES[[#This Row],[ERROR]]="",0,1))</f>
        <v>0</v>
      </c>
      <c r="AP29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4" spans="1:42">
      <c r="A294" t="s">
        <v>1043</v>
      </c>
      <c r="B294" t="s">
        <v>1044</v>
      </c>
      <c r="C294">
        <v>1026347</v>
      </c>
      <c r="D294" t="s">
        <v>1045</v>
      </c>
      <c r="E294" s="26">
        <v>34733</v>
      </c>
      <c r="F294" s="26">
        <v>44445</v>
      </c>
      <c r="H294" t="s">
        <v>27</v>
      </c>
      <c r="I294" t="s">
        <v>54</v>
      </c>
      <c r="J294" t="s">
        <v>64</v>
      </c>
      <c r="K294" t="s">
        <v>43</v>
      </c>
      <c r="L294" s="27" t="s">
        <v>45</v>
      </c>
      <c r="M294" t="s">
        <v>46</v>
      </c>
      <c r="N294" t="s">
        <v>159</v>
      </c>
      <c r="O294" t="s">
        <v>48</v>
      </c>
      <c r="P294" t="s">
        <v>159</v>
      </c>
      <c r="Q294" t="s">
        <v>684</v>
      </c>
      <c r="R294" s="27">
        <v>4</v>
      </c>
      <c r="S294" s="1">
        <v>250000</v>
      </c>
      <c r="T294" s="1">
        <f ca="1">ROUND(T_EMPLOYEES[[#This Row],[EMP_CTC1]]/12, 0)</f>
        <v>20833</v>
      </c>
      <c r="U294" s="1">
        <v>150000</v>
      </c>
      <c r="V294" s="1" t="s">
        <v>207</v>
      </c>
      <c r="W294" s="1" t="s">
        <v>207</v>
      </c>
      <c r="X29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Sanjith Mohan (1026347)</v>
      </c>
      <c r="Y294">
        <v>120000</v>
      </c>
      <c r="Z294" s="29">
        <f t="shared" ca="1" si="5"/>
        <v>40</v>
      </c>
      <c r="AA294">
        <f ca="1">IF(T_EMPLOYEES[[#This Row],[EMPLOYEE NUMBER]]="","",ROW(T_EMPLOYEES[[#This Row],[EMPLOYEE LABEL]])-ROW(T_EMPLOYEES[[#Headers],[EMPLOYEE LABEL]]))</f>
        <v>291</v>
      </c>
      <c r="AB294">
        <f ca="1">IF(T_EMPLOYEES[[#This Row],[EMPLOYEE NUMBER]]="","",IF(COUNTIF(T_EMPLOYEES[EMPLOYEE NUMBER],T_EMPLOYEES[[#This Row],[EMPLOYEE NUMBER]])&gt;1,1,0))</f>
        <v>0</v>
      </c>
      <c r="AC294">
        <f ca="1">IF(T_EMPLOYEES[[#This Row],[EMPLOYEE NUMBER]]="","",IF(AND(T_EMPLOYEES[[#This Row],[DATE OF BIRTH]]&gt;0,T_EMPLOYEES[[#This Row],[DATE OF BIRTH]]&lt;TODAY()),0,1))</f>
        <v>0</v>
      </c>
      <c r="AD294">
        <f ca="1">IF(T_EMPLOYEES[[#This Row],[EMPLOYEE NUMBER]]="","",IF(AND(T_EMPLOYEES[[#This Row],[START DATE]]&gt;0,T_EMPLOYEES[[#This Row],[START DATE]]&lt;TODAY()+60),0,1))</f>
        <v>0</v>
      </c>
      <c r="AE294">
        <f ca="1">IF(T_EMPLOYEES[[#This Row],[EMPLOYEE NUMBER]]="","",MATCH(T_EMPLOYEES[[#This Row],[GENDER]],L_GENDER,0))</f>
        <v>1</v>
      </c>
      <c r="AF294">
        <f ca="1">IF(T_EMPLOYEES[[#This Row],[EMPLOYEE NUMBER]]="","",MATCH(T_EMPLOYEES[[#This Row],[HIRE SOURCE]],L_HIRESOURCE,0))</f>
        <v>4</v>
      </c>
      <c r="AG294">
        <f ca="1">IF(T_EMPLOYEES[[#This Row],[EMPLOYEE NUMBER]]="","",MATCH(T_EMPLOYEES[[#This Row],[ETHNICITY]],L_ETHNICITY,0))</f>
        <v>3</v>
      </c>
      <c r="AH294">
        <f ca="1">IF(T_EMPLOYEES[[#This Row],[EMPLOYEE NUMBER]]="","",MATCH(T_EMPLOYEES[[#This Row],[LOCATION]],L_LOCATION,0))</f>
        <v>2</v>
      </c>
      <c r="AI294">
        <f ca="1">IF(T_EMPLOYEES[[#This Row],[EMPLOYEE NUMBER]]="","",MATCH(T_EMPLOYEES[[#This Row],[DEPARTMENT]],L_DEPARTMENT,0))</f>
        <v>2</v>
      </c>
      <c r="AJ294">
        <f ca="1">IF(T_EMPLOYEES[[#This Row],[EMPLOYEE NUMBER]]="","",MATCH(T_EMPLOYEES[[#This Row],[JOB TYPE]],L_JOBTYPE,0))</f>
        <v>2</v>
      </c>
      <c r="AK294">
        <f ca="1">IF(T_EMPLOYEES[[#This Row],[EMPLOYEE NUMBER]]="","",MATCH(T_EMPLOYEES[[#This Row],[JOB CATEGORY]],L_JOBCATEGORY,0))</f>
        <v>38</v>
      </c>
      <c r="AL294">
        <f ca="1">IF(T_EMPLOYEES[[#This Row],[EMPLOYEE NUMBER]]="","",MATCH(T_EMPLOYEES[[#This Row],[JOB LEVEL]],L_JOBLEVEL,0))</f>
        <v>2</v>
      </c>
      <c r="AM294">
        <f ca="1">IF(T_EMPLOYEES[[#This Row],[EMPLOYEE NUMBER]]="","",MATCH(T_EMPLOYEES[[#This Row],[JOB TITLE]],L_JOBTITLE,0))</f>
        <v>38</v>
      </c>
      <c r="AN294">
        <f ca="1">IF(T_EMPLOYEES[[#This Row],[EMPLOYEE NUMBER]]="","",MATCH(T_EMPLOYEES[[#This Row],[MANAGER]],L_EMPLABELS,0))</f>
        <v>232</v>
      </c>
      <c r="AO294">
        <f ca="1">IF(T_EMPLOYEES[[#This Row],[EMPLOYEE NUMBER]]="","",IF(T_EMPLOYEES[[#This Row],[ERROR]]="",0,1))</f>
        <v>0</v>
      </c>
      <c r="AP29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5" spans="1:42">
      <c r="A295" t="s">
        <v>1046</v>
      </c>
      <c r="B295" t="s">
        <v>1047</v>
      </c>
      <c r="C295">
        <v>1031089</v>
      </c>
      <c r="D295" t="s">
        <v>1048</v>
      </c>
      <c r="E295" s="26">
        <v>34738</v>
      </c>
      <c r="F295" s="26">
        <v>44889</v>
      </c>
      <c r="H295" t="s">
        <v>40</v>
      </c>
      <c r="I295" t="s">
        <v>54</v>
      </c>
      <c r="J295" t="s">
        <v>64</v>
      </c>
      <c r="K295" t="s">
        <v>30</v>
      </c>
      <c r="L295" s="27" t="s">
        <v>114</v>
      </c>
      <c r="M295" t="s">
        <v>46</v>
      </c>
      <c r="N295" t="s">
        <v>151</v>
      </c>
      <c r="O295" t="s">
        <v>36</v>
      </c>
      <c r="P295" t="s">
        <v>151</v>
      </c>
      <c r="Q295" t="s">
        <v>468</v>
      </c>
      <c r="R295">
        <v>0</v>
      </c>
      <c r="S295" s="1">
        <v>250000</v>
      </c>
      <c r="T295" s="1">
        <f ca="1">ROUND(T_EMPLOYEES[[#This Row],[EMP_CTC1]]/12, 0)</f>
        <v>20833</v>
      </c>
      <c r="U295" s="1">
        <v>150000</v>
      </c>
      <c r="V295" s="1" t="s">
        <v>207</v>
      </c>
      <c r="W295" s="1" t="s">
        <v>207</v>
      </c>
      <c r="X29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YOGITA RAJENDRA BHOSALE (1031089)</v>
      </c>
      <c r="Y295">
        <v>120000</v>
      </c>
      <c r="Z295" s="29">
        <f t="shared" ca="1" si="5"/>
        <v>40</v>
      </c>
      <c r="AA295">
        <f ca="1">IF(T_EMPLOYEES[[#This Row],[EMPLOYEE NUMBER]]="","",ROW(T_EMPLOYEES[[#This Row],[EMPLOYEE LABEL]])-ROW(T_EMPLOYEES[[#Headers],[EMPLOYEE LABEL]]))</f>
        <v>292</v>
      </c>
      <c r="AB295">
        <f ca="1">IF(T_EMPLOYEES[[#This Row],[EMPLOYEE NUMBER]]="","",IF(COUNTIF(T_EMPLOYEES[EMPLOYEE NUMBER],T_EMPLOYEES[[#This Row],[EMPLOYEE NUMBER]])&gt;1,1,0))</f>
        <v>0</v>
      </c>
      <c r="AC295">
        <f ca="1">IF(T_EMPLOYEES[[#This Row],[EMPLOYEE NUMBER]]="","",IF(AND(T_EMPLOYEES[[#This Row],[DATE OF BIRTH]]&gt;0,T_EMPLOYEES[[#This Row],[DATE OF BIRTH]]&lt;TODAY()),0,1))</f>
        <v>0</v>
      </c>
      <c r="AD295">
        <f ca="1">IF(T_EMPLOYEES[[#This Row],[EMPLOYEE NUMBER]]="","",IF(AND(T_EMPLOYEES[[#This Row],[START DATE]]&gt;0,T_EMPLOYEES[[#This Row],[START DATE]]&lt;TODAY()+60),0,1))</f>
        <v>0</v>
      </c>
      <c r="AE295">
        <f ca="1">IF(T_EMPLOYEES[[#This Row],[EMPLOYEE NUMBER]]="","",MATCH(T_EMPLOYEES[[#This Row],[GENDER]],L_GENDER,0))</f>
        <v>2</v>
      </c>
      <c r="AF295">
        <f ca="1">IF(T_EMPLOYEES[[#This Row],[EMPLOYEE NUMBER]]="","",MATCH(T_EMPLOYEES[[#This Row],[HIRE SOURCE]],L_HIRESOURCE,0))</f>
        <v>4</v>
      </c>
      <c r="AG295">
        <f ca="1">IF(T_EMPLOYEES[[#This Row],[EMPLOYEE NUMBER]]="","",MATCH(T_EMPLOYEES[[#This Row],[ETHNICITY]],L_ETHNICITY,0))</f>
        <v>3</v>
      </c>
      <c r="AH295">
        <f ca="1">IF(T_EMPLOYEES[[#This Row],[EMPLOYEE NUMBER]]="","",MATCH(T_EMPLOYEES[[#This Row],[LOCATION]],L_LOCATION,0))</f>
        <v>1</v>
      </c>
      <c r="AI295">
        <f ca="1">IF(T_EMPLOYEES[[#This Row],[EMPLOYEE NUMBER]]="","",MATCH(T_EMPLOYEES[[#This Row],[DEPARTMENT]],L_DEPARTMENT,0))</f>
        <v>11</v>
      </c>
      <c r="AJ295">
        <f ca="1">IF(T_EMPLOYEES[[#This Row],[EMPLOYEE NUMBER]]="","",MATCH(T_EMPLOYEES[[#This Row],[JOB TYPE]],L_JOBTYPE,0))</f>
        <v>2</v>
      </c>
      <c r="AK295">
        <f ca="1">IF(T_EMPLOYEES[[#This Row],[EMPLOYEE NUMBER]]="","",MATCH(T_EMPLOYEES[[#This Row],[JOB CATEGORY]],L_JOBCATEGORY,0))</f>
        <v>30</v>
      </c>
      <c r="AL295">
        <f ca="1">IF(T_EMPLOYEES[[#This Row],[EMPLOYEE NUMBER]]="","",MATCH(T_EMPLOYEES[[#This Row],[JOB LEVEL]],L_JOBLEVEL,0))</f>
        <v>1</v>
      </c>
      <c r="AM295">
        <f ca="1">IF(T_EMPLOYEES[[#This Row],[EMPLOYEE NUMBER]]="","",MATCH(T_EMPLOYEES[[#This Row],[JOB TITLE]],L_JOBTITLE,0))</f>
        <v>30</v>
      </c>
      <c r="AN295">
        <f ca="1">IF(T_EMPLOYEES[[#This Row],[EMPLOYEE NUMBER]]="","",MATCH(T_EMPLOYEES[[#This Row],[MANAGER]],L_EMPLABELS,0))</f>
        <v>56</v>
      </c>
      <c r="AO295">
        <f ca="1">IF(T_EMPLOYEES[[#This Row],[EMPLOYEE NUMBER]]="","",IF(T_EMPLOYEES[[#This Row],[ERROR]]="",0,1))</f>
        <v>0</v>
      </c>
      <c r="AP29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6" spans="1:42">
      <c r="A296" t="s">
        <v>1049</v>
      </c>
      <c r="B296" t="s">
        <v>1050</v>
      </c>
      <c r="C296">
        <v>1033364</v>
      </c>
      <c r="D296" t="s">
        <v>1051</v>
      </c>
      <c r="E296" s="26">
        <v>34744</v>
      </c>
      <c r="F296" s="26">
        <v>45161</v>
      </c>
      <c r="H296" t="s">
        <v>27</v>
      </c>
      <c r="I296" t="s">
        <v>54</v>
      </c>
      <c r="J296" t="s">
        <v>64</v>
      </c>
      <c r="K296" t="s">
        <v>43</v>
      </c>
      <c r="L296" s="27" t="s">
        <v>45</v>
      </c>
      <c r="M296" t="s">
        <v>46</v>
      </c>
      <c r="N296" t="s">
        <v>128</v>
      </c>
      <c r="O296" t="s">
        <v>60</v>
      </c>
      <c r="P296" t="s">
        <v>128</v>
      </c>
      <c r="Q296" t="s">
        <v>559</v>
      </c>
      <c r="R296" s="27">
        <v>4</v>
      </c>
      <c r="S296" s="1">
        <v>250000</v>
      </c>
      <c r="T296" s="1">
        <f ca="1">ROUND(T_EMPLOYEES[[#This Row],[EMP_CTC1]]/12, 0)</f>
        <v>20833</v>
      </c>
      <c r="U296" s="1">
        <v>150000</v>
      </c>
      <c r="V296" s="1" t="s">
        <v>207</v>
      </c>
      <c r="W296" s="1" t="s">
        <v>207</v>
      </c>
      <c r="X29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Nitin Sumant Hubli (1033364)</v>
      </c>
      <c r="Y296">
        <v>120000</v>
      </c>
      <c r="Z296" s="29">
        <f t="shared" ca="1" si="5"/>
        <v>40</v>
      </c>
      <c r="AA296">
        <f ca="1">IF(T_EMPLOYEES[[#This Row],[EMPLOYEE NUMBER]]="","",ROW(T_EMPLOYEES[[#This Row],[EMPLOYEE LABEL]])-ROW(T_EMPLOYEES[[#Headers],[EMPLOYEE LABEL]]))</f>
        <v>293</v>
      </c>
      <c r="AB296">
        <f ca="1">IF(T_EMPLOYEES[[#This Row],[EMPLOYEE NUMBER]]="","",IF(COUNTIF(T_EMPLOYEES[EMPLOYEE NUMBER],T_EMPLOYEES[[#This Row],[EMPLOYEE NUMBER]])&gt;1,1,0))</f>
        <v>0</v>
      </c>
      <c r="AC296">
        <f ca="1">IF(T_EMPLOYEES[[#This Row],[EMPLOYEE NUMBER]]="","",IF(AND(T_EMPLOYEES[[#This Row],[DATE OF BIRTH]]&gt;0,T_EMPLOYEES[[#This Row],[DATE OF BIRTH]]&lt;TODAY()),0,1))</f>
        <v>0</v>
      </c>
      <c r="AD296">
        <f ca="1">IF(T_EMPLOYEES[[#This Row],[EMPLOYEE NUMBER]]="","",IF(AND(T_EMPLOYEES[[#This Row],[START DATE]]&gt;0,T_EMPLOYEES[[#This Row],[START DATE]]&lt;TODAY()+60),0,1))</f>
        <v>0</v>
      </c>
      <c r="AE296">
        <f ca="1">IF(T_EMPLOYEES[[#This Row],[EMPLOYEE NUMBER]]="","",MATCH(T_EMPLOYEES[[#This Row],[GENDER]],L_GENDER,0))</f>
        <v>1</v>
      </c>
      <c r="AF296">
        <f ca="1">IF(T_EMPLOYEES[[#This Row],[EMPLOYEE NUMBER]]="","",MATCH(T_EMPLOYEES[[#This Row],[HIRE SOURCE]],L_HIRESOURCE,0))</f>
        <v>4</v>
      </c>
      <c r="AG296">
        <f ca="1">IF(T_EMPLOYEES[[#This Row],[EMPLOYEE NUMBER]]="","",MATCH(T_EMPLOYEES[[#This Row],[ETHNICITY]],L_ETHNICITY,0))</f>
        <v>3</v>
      </c>
      <c r="AH296">
        <f ca="1">IF(T_EMPLOYEES[[#This Row],[EMPLOYEE NUMBER]]="","",MATCH(T_EMPLOYEES[[#This Row],[LOCATION]],L_LOCATION,0))</f>
        <v>2</v>
      </c>
      <c r="AI296">
        <f ca="1">IF(T_EMPLOYEES[[#This Row],[EMPLOYEE NUMBER]]="","",MATCH(T_EMPLOYEES[[#This Row],[DEPARTMENT]],L_DEPARTMENT,0))</f>
        <v>2</v>
      </c>
      <c r="AJ296">
        <f ca="1">IF(T_EMPLOYEES[[#This Row],[EMPLOYEE NUMBER]]="","",MATCH(T_EMPLOYEES[[#This Row],[JOB TYPE]],L_JOBTYPE,0))</f>
        <v>2</v>
      </c>
      <c r="AK296">
        <f ca="1">IF(T_EMPLOYEES[[#This Row],[EMPLOYEE NUMBER]]="","",MATCH(T_EMPLOYEES[[#This Row],[JOB CATEGORY]],L_JOBCATEGORY,0))</f>
        <v>15</v>
      </c>
      <c r="AL296">
        <f ca="1">IF(T_EMPLOYEES[[#This Row],[EMPLOYEE NUMBER]]="","",MATCH(T_EMPLOYEES[[#This Row],[JOB LEVEL]],L_JOBLEVEL,0))</f>
        <v>3</v>
      </c>
      <c r="AM296">
        <f ca="1">IF(T_EMPLOYEES[[#This Row],[EMPLOYEE NUMBER]]="","",MATCH(T_EMPLOYEES[[#This Row],[JOB TITLE]],L_JOBTITLE,0))</f>
        <v>15</v>
      </c>
      <c r="AN296">
        <f ca="1">IF(T_EMPLOYEES[[#This Row],[EMPLOYEE NUMBER]]="","",MATCH(T_EMPLOYEES[[#This Row],[MANAGER]],L_EMPLABELS,0))</f>
        <v>58</v>
      </c>
      <c r="AO296">
        <f ca="1">IF(T_EMPLOYEES[[#This Row],[EMPLOYEE NUMBER]]="","",IF(T_EMPLOYEES[[#This Row],[ERROR]]="",0,1))</f>
        <v>0</v>
      </c>
      <c r="AP29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7" spans="1:42">
      <c r="A297" t="s">
        <v>1052</v>
      </c>
      <c r="C297">
        <v>1032355</v>
      </c>
      <c r="D297" t="s">
        <v>1053</v>
      </c>
      <c r="E297" s="26">
        <v>34783</v>
      </c>
      <c r="F297" s="26">
        <v>44993</v>
      </c>
      <c r="H297" t="s">
        <v>27</v>
      </c>
      <c r="I297" t="s">
        <v>54</v>
      </c>
      <c r="J297" t="s">
        <v>64</v>
      </c>
      <c r="K297" t="s">
        <v>30</v>
      </c>
      <c r="L297" s="27" t="s">
        <v>45</v>
      </c>
      <c r="M297" t="s">
        <v>46</v>
      </c>
      <c r="N297" t="s">
        <v>161</v>
      </c>
      <c r="O297" t="s">
        <v>60</v>
      </c>
      <c r="P297" t="s">
        <v>161</v>
      </c>
      <c r="Q297" t="s">
        <v>448</v>
      </c>
      <c r="R297">
        <v>4</v>
      </c>
      <c r="S297" s="1">
        <v>250000</v>
      </c>
      <c r="T297" s="1">
        <f ca="1">ROUND(T_EMPLOYEES[[#This Row],[EMP_CTC1]]/12, 0)</f>
        <v>20833</v>
      </c>
      <c r="U297" s="1">
        <v>150000</v>
      </c>
      <c r="V297" s="1" t="s">
        <v>207</v>
      </c>
      <c r="W297" s="1" t="s">
        <v>207</v>
      </c>
      <c r="X29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Venkatesh  (1032355)</v>
      </c>
      <c r="Y297">
        <v>120000</v>
      </c>
      <c r="Z297" s="29">
        <f t="shared" ca="1" si="5"/>
        <v>40</v>
      </c>
      <c r="AA297">
        <f ca="1">IF(T_EMPLOYEES[[#This Row],[EMPLOYEE NUMBER]]="","",ROW(T_EMPLOYEES[[#This Row],[EMPLOYEE LABEL]])-ROW(T_EMPLOYEES[[#Headers],[EMPLOYEE LABEL]]))</f>
        <v>294</v>
      </c>
      <c r="AB297">
        <f ca="1">IF(T_EMPLOYEES[[#This Row],[EMPLOYEE NUMBER]]="","",IF(COUNTIF(T_EMPLOYEES[EMPLOYEE NUMBER],T_EMPLOYEES[[#This Row],[EMPLOYEE NUMBER]])&gt;1,1,0))</f>
        <v>0</v>
      </c>
      <c r="AC297">
        <f ca="1">IF(T_EMPLOYEES[[#This Row],[EMPLOYEE NUMBER]]="","",IF(AND(T_EMPLOYEES[[#This Row],[DATE OF BIRTH]]&gt;0,T_EMPLOYEES[[#This Row],[DATE OF BIRTH]]&lt;TODAY()),0,1))</f>
        <v>0</v>
      </c>
      <c r="AD297">
        <f ca="1">IF(T_EMPLOYEES[[#This Row],[EMPLOYEE NUMBER]]="","",IF(AND(T_EMPLOYEES[[#This Row],[START DATE]]&gt;0,T_EMPLOYEES[[#This Row],[START DATE]]&lt;TODAY()+60),0,1))</f>
        <v>0</v>
      </c>
      <c r="AE297">
        <f ca="1">IF(T_EMPLOYEES[[#This Row],[EMPLOYEE NUMBER]]="","",MATCH(T_EMPLOYEES[[#This Row],[GENDER]],L_GENDER,0))</f>
        <v>1</v>
      </c>
      <c r="AF297">
        <f ca="1">IF(T_EMPLOYEES[[#This Row],[EMPLOYEE NUMBER]]="","",MATCH(T_EMPLOYEES[[#This Row],[HIRE SOURCE]],L_HIRESOURCE,0))</f>
        <v>4</v>
      </c>
      <c r="AG297">
        <f ca="1">IF(T_EMPLOYEES[[#This Row],[EMPLOYEE NUMBER]]="","",MATCH(T_EMPLOYEES[[#This Row],[ETHNICITY]],L_ETHNICITY,0))</f>
        <v>3</v>
      </c>
      <c r="AH297">
        <f ca="1">IF(T_EMPLOYEES[[#This Row],[EMPLOYEE NUMBER]]="","",MATCH(T_EMPLOYEES[[#This Row],[LOCATION]],L_LOCATION,0))</f>
        <v>1</v>
      </c>
      <c r="AI297">
        <f ca="1">IF(T_EMPLOYEES[[#This Row],[EMPLOYEE NUMBER]]="","",MATCH(T_EMPLOYEES[[#This Row],[DEPARTMENT]],L_DEPARTMENT,0))</f>
        <v>2</v>
      </c>
      <c r="AJ297">
        <f ca="1">IF(T_EMPLOYEES[[#This Row],[EMPLOYEE NUMBER]]="","",MATCH(T_EMPLOYEES[[#This Row],[JOB TYPE]],L_JOBTYPE,0))</f>
        <v>2</v>
      </c>
      <c r="AK297">
        <f ca="1">IF(T_EMPLOYEES[[#This Row],[EMPLOYEE NUMBER]]="","",MATCH(T_EMPLOYEES[[#This Row],[JOB CATEGORY]],L_JOBCATEGORY,0))</f>
        <v>40</v>
      </c>
      <c r="AL297">
        <f ca="1">IF(T_EMPLOYEES[[#This Row],[EMPLOYEE NUMBER]]="","",MATCH(T_EMPLOYEES[[#This Row],[JOB LEVEL]],L_JOBLEVEL,0))</f>
        <v>3</v>
      </c>
      <c r="AM297">
        <f ca="1">IF(T_EMPLOYEES[[#This Row],[EMPLOYEE NUMBER]]="","",MATCH(T_EMPLOYEES[[#This Row],[JOB TITLE]],L_JOBTITLE,0))</f>
        <v>40</v>
      </c>
      <c r="AN297">
        <f ca="1">IF(T_EMPLOYEES[[#This Row],[EMPLOYEE NUMBER]]="","",MATCH(T_EMPLOYEES[[#This Row],[MANAGER]],L_EMPLABELS,0))</f>
        <v>83</v>
      </c>
      <c r="AO297">
        <f ca="1">IF(T_EMPLOYEES[[#This Row],[EMPLOYEE NUMBER]]="","",IF(T_EMPLOYEES[[#This Row],[ERROR]]="",0,1))</f>
        <v>0</v>
      </c>
      <c r="AP29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8" spans="1:42">
      <c r="A298" t="s">
        <v>1054</v>
      </c>
      <c r="B298" t="s">
        <v>351</v>
      </c>
      <c r="C298">
        <v>1020948</v>
      </c>
      <c r="D298" t="s">
        <v>1055</v>
      </c>
      <c r="E298" s="26">
        <v>34790</v>
      </c>
      <c r="F298" s="26">
        <v>43347</v>
      </c>
      <c r="H298" t="s">
        <v>27</v>
      </c>
      <c r="I298" t="s">
        <v>54</v>
      </c>
      <c r="J298" t="s">
        <v>64</v>
      </c>
      <c r="K298" t="s">
        <v>30</v>
      </c>
      <c r="L298" s="27" t="s">
        <v>114</v>
      </c>
      <c r="M298" t="s">
        <v>46</v>
      </c>
      <c r="N298" t="s">
        <v>128</v>
      </c>
      <c r="O298" t="s">
        <v>60</v>
      </c>
      <c r="P298" t="s">
        <v>128</v>
      </c>
      <c r="Q298" t="s">
        <v>206</v>
      </c>
      <c r="R298" s="27">
        <v>4</v>
      </c>
      <c r="S298" s="1">
        <v>250000</v>
      </c>
      <c r="T298" s="1">
        <f ca="1">ROUND(T_EMPLOYEES[[#This Row],[EMP_CTC1]]/12, 0)</f>
        <v>20833</v>
      </c>
      <c r="U298" s="1">
        <v>150000</v>
      </c>
      <c r="V298" s="1" t="s">
        <v>207</v>
      </c>
      <c r="W298" s="1" t="s">
        <v>207</v>
      </c>
      <c r="X29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Rangaraj  M (1020948)</v>
      </c>
      <c r="Y298">
        <v>120000</v>
      </c>
      <c r="Z298" s="29">
        <f t="shared" ca="1" si="5"/>
        <v>40</v>
      </c>
      <c r="AA298">
        <f ca="1">IF(T_EMPLOYEES[[#This Row],[EMPLOYEE NUMBER]]="","",ROW(T_EMPLOYEES[[#This Row],[EMPLOYEE LABEL]])-ROW(T_EMPLOYEES[[#Headers],[EMPLOYEE LABEL]]))</f>
        <v>295</v>
      </c>
      <c r="AB298">
        <f ca="1">IF(T_EMPLOYEES[[#This Row],[EMPLOYEE NUMBER]]="","",IF(COUNTIF(T_EMPLOYEES[EMPLOYEE NUMBER],T_EMPLOYEES[[#This Row],[EMPLOYEE NUMBER]])&gt;1,1,0))</f>
        <v>0</v>
      </c>
      <c r="AC298">
        <f ca="1">IF(T_EMPLOYEES[[#This Row],[EMPLOYEE NUMBER]]="","",IF(AND(T_EMPLOYEES[[#This Row],[DATE OF BIRTH]]&gt;0,T_EMPLOYEES[[#This Row],[DATE OF BIRTH]]&lt;TODAY()),0,1))</f>
        <v>0</v>
      </c>
      <c r="AD298">
        <f ca="1">IF(T_EMPLOYEES[[#This Row],[EMPLOYEE NUMBER]]="","",IF(AND(T_EMPLOYEES[[#This Row],[START DATE]]&gt;0,T_EMPLOYEES[[#This Row],[START DATE]]&lt;TODAY()+60),0,1))</f>
        <v>0</v>
      </c>
      <c r="AE298">
        <f ca="1">IF(T_EMPLOYEES[[#This Row],[EMPLOYEE NUMBER]]="","",MATCH(T_EMPLOYEES[[#This Row],[GENDER]],L_GENDER,0))</f>
        <v>1</v>
      </c>
      <c r="AF298">
        <f ca="1">IF(T_EMPLOYEES[[#This Row],[EMPLOYEE NUMBER]]="","",MATCH(T_EMPLOYEES[[#This Row],[HIRE SOURCE]],L_HIRESOURCE,0))</f>
        <v>4</v>
      </c>
      <c r="AG298">
        <f ca="1">IF(T_EMPLOYEES[[#This Row],[EMPLOYEE NUMBER]]="","",MATCH(T_EMPLOYEES[[#This Row],[ETHNICITY]],L_ETHNICITY,0))</f>
        <v>3</v>
      </c>
      <c r="AH298">
        <f ca="1">IF(T_EMPLOYEES[[#This Row],[EMPLOYEE NUMBER]]="","",MATCH(T_EMPLOYEES[[#This Row],[LOCATION]],L_LOCATION,0))</f>
        <v>1</v>
      </c>
      <c r="AI298">
        <f ca="1">IF(T_EMPLOYEES[[#This Row],[EMPLOYEE NUMBER]]="","",MATCH(T_EMPLOYEES[[#This Row],[DEPARTMENT]],L_DEPARTMENT,0))</f>
        <v>11</v>
      </c>
      <c r="AJ298">
        <f ca="1">IF(T_EMPLOYEES[[#This Row],[EMPLOYEE NUMBER]]="","",MATCH(T_EMPLOYEES[[#This Row],[JOB TYPE]],L_JOBTYPE,0))</f>
        <v>2</v>
      </c>
      <c r="AK298">
        <f ca="1">IF(T_EMPLOYEES[[#This Row],[EMPLOYEE NUMBER]]="","",MATCH(T_EMPLOYEES[[#This Row],[JOB CATEGORY]],L_JOBCATEGORY,0))</f>
        <v>15</v>
      </c>
      <c r="AL298">
        <f ca="1">IF(T_EMPLOYEES[[#This Row],[EMPLOYEE NUMBER]]="","",MATCH(T_EMPLOYEES[[#This Row],[JOB LEVEL]],L_JOBLEVEL,0))</f>
        <v>3</v>
      </c>
      <c r="AM298">
        <f ca="1">IF(T_EMPLOYEES[[#This Row],[EMPLOYEE NUMBER]]="","",MATCH(T_EMPLOYEES[[#This Row],[JOB TITLE]],L_JOBTITLE,0))</f>
        <v>15</v>
      </c>
      <c r="AN298">
        <f ca="1">IF(T_EMPLOYEES[[#This Row],[EMPLOYEE NUMBER]]="","",MATCH(T_EMPLOYEES[[#This Row],[MANAGER]],L_EMPLABELS,0))</f>
        <v>6</v>
      </c>
      <c r="AO298">
        <f ca="1">IF(T_EMPLOYEES[[#This Row],[EMPLOYEE NUMBER]]="","",IF(T_EMPLOYEES[[#This Row],[ERROR]]="",0,1))</f>
        <v>0</v>
      </c>
      <c r="AP29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9" spans="1:42">
      <c r="A299" t="s">
        <v>1056</v>
      </c>
      <c r="B299" t="s">
        <v>1057</v>
      </c>
      <c r="C299">
        <v>1033640</v>
      </c>
      <c r="D299" t="s">
        <v>1058</v>
      </c>
      <c r="E299" s="26">
        <v>34800</v>
      </c>
      <c r="F299" s="26">
        <v>45198</v>
      </c>
      <c r="H299" t="s">
        <v>27</v>
      </c>
      <c r="I299" t="s">
        <v>54</v>
      </c>
      <c r="J299" t="s">
        <v>64</v>
      </c>
      <c r="K299" t="s">
        <v>30</v>
      </c>
      <c r="L299" s="27" t="s">
        <v>45</v>
      </c>
      <c r="M299" t="s">
        <v>46</v>
      </c>
      <c r="N299" t="s">
        <v>160</v>
      </c>
      <c r="O299" t="s">
        <v>48</v>
      </c>
      <c r="P299" t="s">
        <v>160</v>
      </c>
      <c r="Q299" t="s">
        <v>311</v>
      </c>
      <c r="R299">
        <v>4</v>
      </c>
      <c r="S299" s="1">
        <v>250000</v>
      </c>
      <c r="T299" s="1">
        <f ca="1">ROUND(T_EMPLOYEES[[#This Row],[EMP_CTC1]]/12, 0)</f>
        <v>20833</v>
      </c>
      <c r="U299" s="1">
        <v>150000</v>
      </c>
      <c r="V299" s="1" t="s">
        <v>207</v>
      </c>
      <c r="W299" s="1" t="s">
        <v>207</v>
      </c>
      <c r="X29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Gangeneni Venkatamanoj Kumar (1033640)</v>
      </c>
      <c r="Y299">
        <v>120000</v>
      </c>
      <c r="Z299" s="29">
        <f t="shared" ca="1" si="5"/>
        <v>40</v>
      </c>
      <c r="AA299">
        <f ca="1">IF(T_EMPLOYEES[[#This Row],[EMPLOYEE NUMBER]]="","",ROW(T_EMPLOYEES[[#This Row],[EMPLOYEE LABEL]])-ROW(T_EMPLOYEES[[#Headers],[EMPLOYEE LABEL]]))</f>
        <v>296</v>
      </c>
      <c r="AB299">
        <f ca="1">IF(T_EMPLOYEES[[#This Row],[EMPLOYEE NUMBER]]="","",IF(COUNTIF(T_EMPLOYEES[EMPLOYEE NUMBER],T_EMPLOYEES[[#This Row],[EMPLOYEE NUMBER]])&gt;1,1,0))</f>
        <v>0</v>
      </c>
      <c r="AC299">
        <f ca="1">IF(T_EMPLOYEES[[#This Row],[EMPLOYEE NUMBER]]="","",IF(AND(T_EMPLOYEES[[#This Row],[DATE OF BIRTH]]&gt;0,T_EMPLOYEES[[#This Row],[DATE OF BIRTH]]&lt;TODAY()),0,1))</f>
        <v>0</v>
      </c>
      <c r="AD299">
        <f ca="1">IF(T_EMPLOYEES[[#This Row],[EMPLOYEE NUMBER]]="","",IF(AND(T_EMPLOYEES[[#This Row],[START DATE]]&gt;0,T_EMPLOYEES[[#This Row],[START DATE]]&lt;TODAY()+60),0,1))</f>
        <v>0</v>
      </c>
      <c r="AE299">
        <f ca="1">IF(T_EMPLOYEES[[#This Row],[EMPLOYEE NUMBER]]="","",MATCH(T_EMPLOYEES[[#This Row],[GENDER]],L_GENDER,0))</f>
        <v>1</v>
      </c>
      <c r="AF299">
        <f ca="1">IF(T_EMPLOYEES[[#This Row],[EMPLOYEE NUMBER]]="","",MATCH(T_EMPLOYEES[[#This Row],[HIRE SOURCE]],L_HIRESOURCE,0))</f>
        <v>4</v>
      </c>
      <c r="AG299">
        <f ca="1">IF(T_EMPLOYEES[[#This Row],[EMPLOYEE NUMBER]]="","",MATCH(T_EMPLOYEES[[#This Row],[ETHNICITY]],L_ETHNICITY,0))</f>
        <v>3</v>
      </c>
      <c r="AH299">
        <f ca="1">IF(T_EMPLOYEES[[#This Row],[EMPLOYEE NUMBER]]="","",MATCH(T_EMPLOYEES[[#This Row],[LOCATION]],L_LOCATION,0))</f>
        <v>1</v>
      </c>
      <c r="AI299">
        <f ca="1">IF(T_EMPLOYEES[[#This Row],[EMPLOYEE NUMBER]]="","",MATCH(T_EMPLOYEES[[#This Row],[DEPARTMENT]],L_DEPARTMENT,0))</f>
        <v>2</v>
      </c>
      <c r="AJ299">
        <f ca="1">IF(T_EMPLOYEES[[#This Row],[EMPLOYEE NUMBER]]="","",MATCH(T_EMPLOYEES[[#This Row],[JOB TYPE]],L_JOBTYPE,0))</f>
        <v>2</v>
      </c>
      <c r="AK299">
        <f ca="1">IF(T_EMPLOYEES[[#This Row],[EMPLOYEE NUMBER]]="","",MATCH(T_EMPLOYEES[[#This Row],[JOB CATEGORY]],L_JOBCATEGORY,0))</f>
        <v>39</v>
      </c>
      <c r="AL299">
        <f ca="1">IF(T_EMPLOYEES[[#This Row],[EMPLOYEE NUMBER]]="","",MATCH(T_EMPLOYEES[[#This Row],[JOB LEVEL]],L_JOBLEVEL,0))</f>
        <v>2</v>
      </c>
      <c r="AM299">
        <f ca="1">IF(T_EMPLOYEES[[#This Row],[EMPLOYEE NUMBER]]="","",MATCH(T_EMPLOYEES[[#This Row],[JOB TITLE]],L_JOBTITLE,0))</f>
        <v>39</v>
      </c>
      <c r="AN299">
        <f ca="1">IF(T_EMPLOYEES[[#This Row],[EMPLOYEE NUMBER]]="","",MATCH(T_EMPLOYEES[[#This Row],[MANAGER]],L_EMPLABELS,0))</f>
        <v>2</v>
      </c>
      <c r="AO299">
        <f ca="1">IF(T_EMPLOYEES[[#This Row],[EMPLOYEE NUMBER]]="","",IF(T_EMPLOYEES[[#This Row],[ERROR]]="",0,1))</f>
        <v>0</v>
      </c>
      <c r="AP29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0" spans="1:42">
      <c r="A300" t="s">
        <v>1059</v>
      </c>
      <c r="B300" t="s">
        <v>1060</v>
      </c>
      <c r="C300">
        <v>1032302</v>
      </c>
      <c r="D300" t="s">
        <v>1061</v>
      </c>
      <c r="E300" s="26">
        <v>34818</v>
      </c>
      <c r="F300" s="26">
        <v>44986</v>
      </c>
      <c r="H300" t="s">
        <v>40</v>
      </c>
      <c r="I300" t="s">
        <v>54</v>
      </c>
      <c r="J300" t="s">
        <v>64</v>
      </c>
      <c r="K300" t="s">
        <v>30</v>
      </c>
      <c r="L300" s="27" t="s">
        <v>45</v>
      </c>
      <c r="M300" t="s">
        <v>46</v>
      </c>
      <c r="N300" t="s">
        <v>111</v>
      </c>
      <c r="O300" t="s">
        <v>71</v>
      </c>
      <c r="P300" t="s">
        <v>111</v>
      </c>
      <c r="Q300" t="s">
        <v>288</v>
      </c>
      <c r="R300" s="27">
        <v>5</v>
      </c>
      <c r="S300" s="1">
        <v>250000</v>
      </c>
      <c r="T300" s="1">
        <f ca="1">ROUND(T_EMPLOYEES[[#This Row],[EMP_CTC1]]/12, 0)</f>
        <v>20833</v>
      </c>
      <c r="U300" s="1">
        <v>150000</v>
      </c>
      <c r="V300" s="1" t="s">
        <v>207</v>
      </c>
      <c r="W300" s="1" t="s">
        <v>207</v>
      </c>
      <c r="X30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Kothakota Leelavathi (1032302)</v>
      </c>
      <c r="Y300">
        <v>120000</v>
      </c>
      <c r="Z300" s="29">
        <f t="shared" ca="1" si="5"/>
        <v>40</v>
      </c>
      <c r="AA300">
        <f ca="1">IF(T_EMPLOYEES[[#This Row],[EMPLOYEE NUMBER]]="","",ROW(T_EMPLOYEES[[#This Row],[EMPLOYEE LABEL]])-ROW(T_EMPLOYEES[[#Headers],[EMPLOYEE LABEL]]))</f>
        <v>297</v>
      </c>
      <c r="AB300">
        <f ca="1">IF(T_EMPLOYEES[[#This Row],[EMPLOYEE NUMBER]]="","",IF(COUNTIF(T_EMPLOYEES[EMPLOYEE NUMBER],T_EMPLOYEES[[#This Row],[EMPLOYEE NUMBER]])&gt;1,1,0))</f>
        <v>0</v>
      </c>
      <c r="AC300">
        <f ca="1">IF(T_EMPLOYEES[[#This Row],[EMPLOYEE NUMBER]]="","",IF(AND(T_EMPLOYEES[[#This Row],[DATE OF BIRTH]]&gt;0,T_EMPLOYEES[[#This Row],[DATE OF BIRTH]]&lt;TODAY()),0,1))</f>
        <v>0</v>
      </c>
      <c r="AD300">
        <f ca="1">IF(T_EMPLOYEES[[#This Row],[EMPLOYEE NUMBER]]="","",IF(AND(T_EMPLOYEES[[#This Row],[START DATE]]&gt;0,T_EMPLOYEES[[#This Row],[START DATE]]&lt;TODAY()+60),0,1))</f>
        <v>0</v>
      </c>
      <c r="AE300">
        <f ca="1">IF(T_EMPLOYEES[[#This Row],[EMPLOYEE NUMBER]]="","",MATCH(T_EMPLOYEES[[#This Row],[GENDER]],L_GENDER,0))</f>
        <v>2</v>
      </c>
      <c r="AF300">
        <f ca="1">IF(T_EMPLOYEES[[#This Row],[EMPLOYEE NUMBER]]="","",MATCH(T_EMPLOYEES[[#This Row],[HIRE SOURCE]],L_HIRESOURCE,0))</f>
        <v>4</v>
      </c>
      <c r="AG300">
        <f ca="1">IF(T_EMPLOYEES[[#This Row],[EMPLOYEE NUMBER]]="","",MATCH(T_EMPLOYEES[[#This Row],[ETHNICITY]],L_ETHNICITY,0))</f>
        <v>3</v>
      </c>
      <c r="AH300">
        <f ca="1">IF(T_EMPLOYEES[[#This Row],[EMPLOYEE NUMBER]]="","",MATCH(T_EMPLOYEES[[#This Row],[LOCATION]],L_LOCATION,0))</f>
        <v>1</v>
      </c>
      <c r="AI300">
        <f ca="1">IF(T_EMPLOYEES[[#This Row],[EMPLOYEE NUMBER]]="","",MATCH(T_EMPLOYEES[[#This Row],[DEPARTMENT]],L_DEPARTMENT,0))</f>
        <v>2</v>
      </c>
      <c r="AJ300">
        <f ca="1">IF(T_EMPLOYEES[[#This Row],[EMPLOYEE NUMBER]]="","",MATCH(T_EMPLOYEES[[#This Row],[JOB TYPE]],L_JOBTYPE,0))</f>
        <v>2</v>
      </c>
      <c r="AK300">
        <f ca="1">IF(T_EMPLOYEES[[#This Row],[EMPLOYEE NUMBER]]="","",MATCH(T_EMPLOYEES[[#This Row],[JOB CATEGORY]],L_JOBCATEGORY,0))</f>
        <v>10</v>
      </c>
      <c r="AL300">
        <f ca="1">IF(T_EMPLOYEES[[#This Row],[EMPLOYEE NUMBER]]="","",MATCH(T_EMPLOYEES[[#This Row],[JOB LEVEL]],L_JOBLEVEL,0))</f>
        <v>4</v>
      </c>
      <c r="AM300">
        <f ca="1">IF(T_EMPLOYEES[[#This Row],[EMPLOYEE NUMBER]]="","",MATCH(T_EMPLOYEES[[#This Row],[JOB TITLE]],L_JOBTITLE,0))</f>
        <v>10</v>
      </c>
      <c r="AN300">
        <f ca="1">IF(T_EMPLOYEES[[#This Row],[EMPLOYEE NUMBER]]="","",MATCH(T_EMPLOYEES[[#This Row],[MANAGER]],L_EMPLABELS,0))</f>
        <v>52</v>
      </c>
      <c r="AO300">
        <f ca="1">IF(T_EMPLOYEES[[#This Row],[EMPLOYEE NUMBER]]="","",IF(T_EMPLOYEES[[#This Row],[ERROR]]="",0,1))</f>
        <v>0</v>
      </c>
      <c r="AP30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1" spans="1:42">
      <c r="A301" t="s">
        <v>1062</v>
      </c>
      <c r="B301" t="s">
        <v>1063</v>
      </c>
      <c r="C301">
        <v>1033743</v>
      </c>
      <c r="D301" t="s">
        <v>1064</v>
      </c>
      <c r="E301" s="26">
        <v>34827</v>
      </c>
      <c r="F301" s="26">
        <v>45216</v>
      </c>
      <c r="H301" t="s">
        <v>27</v>
      </c>
      <c r="I301" t="s">
        <v>54</v>
      </c>
      <c r="J301" t="s">
        <v>64</v>
      </c>
      <c r="K301" t="s">
        <v>30</v>
      </c>
      <c r="L301" s="27" t="s">
        <v>45</v>
      </c>
      <c r="M301" t="s">
        <v>46</v>
      </c>
      <c r="N301" t="s">
        <v>128</v>
      </c>
      <c r="O301" t="s">
        <v>60</v>
      </c>
      <c r="P301" t="s">
        <v>128</v>
      </c>
      <c r="Q301" t="s">
        <v>211</v>
      </c>
      <c r="R301">
        <v>4</v>
      </c>
      <c r="S301" s="1">
        <v>250000</v>
      </c>
      <c r="T301" s="1">
        <f ca="1">ROUND(T_EMPLOYEES[[#This Row],[EMP_CTC1]]/12, 0)</f>
        <v>20833</v>
      </c>
      <c r="U301" s="1">
        <v>150000</v>
      </c>
      <c r="V301" s="1" t="s">
        <v>1065</v>
      </c>
      <c r="W301" s="1" t="s">
        <v>1065</v>
      </c>
      <c r="X30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Rajesh Nayak (1033743)</v>
      </c>
      <c r="Y301">
        <v>120000</v>
      </c>
      <c r="Z301" s="29">
        <f t="shared" ca="1" si="5"/>
        <v>40</v>
      </c>
      <c r="AA301">
        <f ca="1">IF(T_EMPLOYEES[[#This Row],[EMPLOYEE NUMBER]]="","",ROW(T_EMPLOYEES[[#This Row],[EMPLOYEE LABEL]])-ROW(T_EMPLOYEES[[#Headers],[EMPLOYEE LABEL]]))</f>
        <v>298</v>
      </c>
      <c r="AB301">
        <f ca="1">IF(T_EMPLOYEES[[#This Row],[EMPLOYEE NUMBER]]="","",IF(COUNTIF(T_EMPLOYEES[EMPLOYEE NUMBER],T_EMPLOYEES[[#This Row],[EMPLOYEE NUMBER]])&gt;1,1,0))</f>
        <v>0</v>
      </c>
      <c r="AC301">
        <f ca="1">IF(T_EMPLOYEES[[#This Row],[EMPLOYEE NUMBER]]="","",IF(AND(T_EMPLOYEES[[#This Row],[DATE OF BIRTH]]&gt;0,T_EMPLOYEES[[#This Row],[DATE OF BIRTH]]&lt;TODAY()),0,1))</f>
        <v>0</v>
      </c>
      <c r="AD301">
        <f ca="1">IF(T_EMPLOYEES[[#This Row],[EMPLOYEE NUMBER]]="","",IF(AND(T_EMPLOYEES[[#This Row],[START DATE]]&gt;0,T_EMPLOYEES[[#This Row],[START DATE]]&lt;TODAY()+60),0,1))</f>
        <v>0</v>
      </c>
      <c r="AE301">
        <f ca="1">IF(T_EMPLOYEES[[#This Row],[EMPLOYEE NUMBER]]="","",MATCH(T_EMPLOYEES[[#This Row],[GENDER]],L_GENDER,0))</f>
        <v>1</v>
      </c>
      <c r="AF301">
        <f ca="1">IF(T_EMPLOYEES[[#This Row],[EMPLOYEE NUMBER]]="","",MATCH(T_EMPLOYEES[[#This Row],[HIRE SOURCE]],L_HIRESOURCE,0))</f>
        <v>4</v>
      </c>
      <c r="AG301">
        <f ca="1">IF(T_EMPLOYEES[[#This Row],[EMPLOYEE NUMBER]]="","",MATCH(T_EMPLOYEES[[#This Row],[ETHNICITY]],L_ETHNICITY,0))</f>
        <v>3</v>
      </c>
      <c r="AH301">
        <f ca="1">IF(T_EMPLOYEES[[#This Row],[EMPLOYEE NUMBER]]="","",MATCH(T_EMPLOYEES[[#This Row],[LOCATION]],L_LOCATION,0))</f>
        <v>1</v>
      </c>
      <c r="AI301">
        <f ca="1">IF(T_EMPLOYEES[[#This Row],[EMPLOYEE NUMBER]]="","",MATCH(T_EMPLOYEES[[#This Row],[DEPARTMENT]],L_DEPARTMENT,0))</f>
        <v>2</v>
      </c>
      <c r="AJ301">
        <f ca="1">IF(T_EMPLOYEES[[#This Row],[EMPLOYEE NUMBER]]="","",MATCH(T_EMPLOYEES[[#This Row],[JOB TYPE]],L_JOBTYPE,0))</f>
        <v>2</v>
      </c>
      <c r="AK301">
        <f ca="1">IF(T_EMPLOYEES[[#This Row],[EMPLOYEE NUMBER]]="","",MATCH(T_EMPLOYEES[[#This Row],[JOB CATEGORY]],L_JOBCATEGORY,0))</f>
        <v>15</v>
      </c>
      <c r="AL301">
        <f ca="1">IF(T_EMPLOYEES[[#This Row],[EMPLOYEE NUMBER]]="","",MATCH(T_EMPLOYEES[[#This Row],[JOB LEVEL]],L_JOBLEVEL,0))</f>
        <v>3</v>
      </c>
      <c r="AM301">
        <f ca="1">IF(T_EMPLOYEES[[#This Row],[EMPLOYEE NUMBER]]="","",MATCH(T_EMPLOYEES[[#This Row],[JOB TITLE]],L_JOBTITLE,0))</f>
        <v>15</v>
      </c>
      <c r="AN301">
        <f ca="1">IF(T_EMPLOYEES[[#This Row],[EMPLOYEE NUMBER]]="","",MATCH(T_EMPLOYEES[[#This Row],[MANAGER]],L_EMPLABELS,0))</f>
        <v>49</v>
      </c>
      <c r="AO301">
        <f ca="1">IF(T_EMPLOYEES[[#This Row],[EMPLOYEE NUMBER]]="","",IF(T_EMPLOYEES[[#This Row],[ERROR]]="",0,1))</f>
        <v>0</v>
      </c>
      <c r="AP30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2" spans="1:42">
      <c r="A302" t="s">
        <v>1066</v>
      </c>
      <c r="B302" t="s">
        <v>1067</v>
      </c>
      <c r="C302">
        <v>1020193</v>
      </c>
      <c r="D302" t="s">
        <v>1068</v>
      </c>
      <c r="E302" s="26">
        <v>34848</v>
      </c>
      <c r="F302" s="26">
        <v>43131</v>
      </c>
      <c r="H302" t="s">
        <v>40</v>
      </c>
      <c r="I302" t="s">
        <v>54</v>
      </c>
      <c r="J302" t="s">
        <v>64</v>
      </c>
      <c r="K302" t="s">
        <v>30</v>
      </c>
      <c r="L302" s="27" t="s">
        <v>45</v>
      </c>
      <c r="M302" t="s">
        <v>46</v>
      </c>
      <c r="N302" t="s">
        <v>152</v>
      </c>
      <c r="O302" t="s">
        <v>60</v>
      </c>
      <c r="P302" t="s">
        <v>152</v>
      </c>
      <c r="Q302" t="s">
        <v>684</v>
      </c>
      <c r="R302" s="27">
        <v>4</v>
      </c>
      <c r="S302" s="1">
        <v>250000</v>
      </c>
      <c r="T302" s="1">
        <f ca="1">ROUND(T_EMPLOYEES[[#This Row],[EMP_CTC1]]/12, 0)</f>
        <v>20833</v>
      </c>
      <c r="U302" s="1">
        <v>150000</v>
      </c>
      <c r="V302" s="1" t="s">
        <v>1065</v>
      </c>
      <c r="W302" s="1" t="s">
        <v>1065</v>
      </c>
      <c r="X30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Sanna Swetha (1020193)</v>
      </c>
      <c r="Y302">
        <v>120000</v>
      </c>
      <c r="Z302" s="29">
        <f t="shared" ca="1" si="5"/>
        <v>40</v>
      </c>
      <c r="AA302">
        <f ca="1">IF(T_EMPLOYEES[[#This Row],[EMPLOYEE NUMBER]]="","",ROW(T_EMPLOYEES[[#This Row],[EMPLOYEE LABEL]])-ROW(T_EMPLOYEES[[#Headers],[EMPLOYEE LABEL]]))</f>
        <v>299</v>
      </c>
      <c r="AB302">
        <f ca="1">IF(T_EMPLOYEES[[#This Row],[EMPLOYEE NUMBER]]="","",IF(COUNTIF(T_EMPLOYEES[EMPLOYEE NUMBER],T_EMPLOYEES[[#This Row],[EMPLOYEE NUMBER]])&gt;1,1,0))</f>
        <v>0</v>
      </c>
      <c r="AC302">
        <f ca="1">IF(T_EMPLOYEES[[#This Row],[EMPLOYEE NUMBER]]="","",IF(AND(T_EMPLOYEES[[#This Row],[DATE OF BIRTH]]&gt;0,T_EMPLOYEES[[#This Row],[DATE OF BIRTH]]&lt;TODAY()),0,1))</f>
        <v>0</v>
      </c>
      <c r="AD302">
        <f ca="1">IF(T_EMPLOYEES[[#This Row],[EMPLOYEE NUMBER]]="","",IF(AND(T_EMPLOYEES[[#This Row],[START DATE]]&gt;0,T_EMPLOYEES[[#This Row],[START DATE]]&lt;TODAY()+60),0,1))</f>
        <v>0</v>
      </c>
      <c r="AE302">
        <f ca="1">IF(T_EMPLOYEES[[#This Row],[EMPLOYEE NUMBER]]="","",MATCH(T_EMPLOYEES[[#This Row],[GENDER]],L_GENDER,0))</f>
        <v>2</v>
      </c>
      <c r="AF302">
        <f ca="1">IF(T_EMPLOYEES[[#This Row],[EMPLOYEE NUMBER]]="","",MATCH(T_EMPLOYEES[[#This Row],[HIRE SOURCE]],L_HIRESOURCE,0))</f>
        <v>4</v>
      </c>
      <c r="AG302">
        <f ca="1">IF(T_EMPLOYEES[[#This Row],[EMPLOYEE NUMBER]]="","",MATCH(T_EMPLOYEES[[#This Row],[ETHNICITY]],L_ETHNICITY,0))</f>
        <v>3</v>
      </c>
      <c r="AH302">
        <f ca="1">IF(T_EMPLOYEES[[#This Row],[EMPLOYEE NUMBER]]="","",MATCH(T_EMPLOYEES[[#This Row],[LOCATION]],L_LOCATION,0))</f>
        <v>1</v>
      </c>
      <c r="AI302">
        <f ca="1">IF(T_EMPLOYEES[[#This Row],[EMPLOYEE NUMBER]]="","",MATCH(T_EMPLOYEES[[#This Row],[DEPARTMENT]],L_DEPARTMENT,0))</f>
        <v>2</v>
      </c>
      <c r="AJ302">
        <f ca="1">IF(T_EMPLOYEES[[#This Row],[EMPLOYEE NUMBER]]="","",MATCH(T_EMPLOYEES[[#This Row],[JOB TYPE]],L_JOBTYPE,0))</f>
        <v>2</v>
      </c>
      <c r="AK302">
        <f ca="1">IF(T_EMPLOYEES[[#This Row],[EMPLOYEE NUMBER]]="","",MATCH(T_EMPLOYEES[[#This Row],[JOB CATEGORY]],L_JOBCATEGORY,0))</f>
        <v>31</v>
      </c>
      <c r="AL302">
        <f ca="1">IF(T_EMPLOYEES[[#This Row],[EMPLOYEE NUMBER]]="","",MATCH(T_EMPLOYEES[[#This Row],[JOB LEVEL]],L_JOBLEVEL,0))</f>
        <v>3</v>
      </c>
      <c r="AM302">
        <f ca="1">IF(T_EMPLOYEES[[#This Row],[EMPLOYEE NUMBER]]="","",MATCH(T_EMPLOYEES[[#This Row],[JOB TITLE]],L_JOBTITLE,0))</f>
        <v>31</v>
      </c>
      <c r="AN302">
        <f ca="1">IF(T_EMPLOYEES[[#This Row],[EMPLOYEE NUMBER]]="","",MATCH(T_EMPLOYEES[[#This Row],[MANAGER]],L_EMPLABELS,0))</f>
        <v>232</v>
      </c>
      <c r="AO302">
        <f ca="1">IF(T_EMPLOYEES[[#This Row],[EMPLOYEE NUMBER]]="","",IF(T_EMPLOYEES[[#This Row],[ERROR]]="",0,1))</f>
        <v>0</v>
      </c>
      <c r="AP30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3" spans="1:42">
      <c r="A303" t="s">
        <v>1069</v>
      </c>
      <c r="B303" t="s">
        <v>1070</v>
      </c>
      <c r="C303">
        <v>1028501</v>
      </c>
      <c r="D303" t="s">
        <v>1071</v>
      </c>
      <c r="E303" s="26">
        <v>34849</v>
      </c>
      <c r="F303" s="26">
        <v>44624</v>
      </c>
      <c r="H303" t="s">
        <v>40</v>
      </c>
      <c r="I303" t="s">
        <v>54</v>
      </c>
      <c r="J303" t="s">
        <v>64</v>
      </c>
      <c r="K303" t="s">
        <v>55</v>
      </c>
      <c r="L303" s="27" t="s">
        <v>45</v>
      </c>
      <c r="M303" t="s">
        <v>46</v>
      </c>
      <c r="N303" t="s">
        <v>159</v>
      </c>
      <c r="O303" t="s">
        <v>48</v>
      </c>
      <c r="P303" t="s">
        <v>159</v>
      </c>
      <c r="Q303" t="s">
        <v>684</v>
      </c>
      <c r="R303">
        <v>4</v>
      </c>
      <c r="S303" s="1">
        <v>250000</v>
      </c>
      <c r="T303" s="1">
        <f ca="1">ROUND(T_EMPLOYEES[[#This Row],[EMP_CTC1]]/12, 0)</f>
        <v>20833</v>
      </c>
      <c r="U303" s="1">
        <v>150000</v>
      </c>
      <c r="V303" s="1" t="s">
        <v>1065</v>
      </c>
      <c r="W303" s="1" t="s">
        <v>1065</v>
      </c>
      <c r="X30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Bhagyashree Pal (1028501)</v>
      </c>
      <c r="Y303">
        <v>120000</v>
      </c>
      <c r="Z303" s="29">
        <f t="shared" ca="1" si="5"/>
        <v>40</v>
      </c>
      <c r="AA303">
        <f ca="1">IF(T_EMPLOYEES[[#This Row],[EMPLOYEE NUMBER]]="","",ROW(T_EMPLOYEES[[#This Row],[EMPLOYEE LABEL]])-ROW(T_EMPLOYEES[[#Headers],[EMPLOYEE LABEL]]))</f>
        <v>300</v>
      </c>
      <c r="AB303">
        <f ca="1">IF(T_EMPLOYEES[[#This Row],[EMPLOYEE NUMBER]]="","",IF(COUNTIF(T_EMPLOYEES[EMPLOYEE NUMBER],T_EMPLOYEES[[#This Row],[EMPLOYEE NUMBER]])&gt;1,1,0))</f>
        <v>0</v>
      </c>
      <c r="AC303">
        <f ca="1">IF(T_EMPLOYEES[[#This Row],[EMPLOYEE NUMBER]]="","",IF(AND(T_EMPLOYEES[[#This Row],[DATE OF BIRTH]]&gt;0,T_EMPLOYEES[[#This Row],[DATE OF BIRTH]]&lt;TODAY()),0,1))</f>
        <v>0</v>
      </c>
      <c r="AD303">
        <f ca="1">IF(T_EMPLOYEES[[#This Row],[EMPLOYEE NUMBER]]="","",IF(AND(T_EMPLOYEES[[#This Row],[START DATE]]&gt;0,T_EMPLOYEES[[#This Row],[START DATE]]&lt;TODAY()+60),0,1))</f>
        <v>0</v>
      </c>
      <c r="AE303">
        <f ca="1">IF(T_EMPLOYEES[[#This Row],[EMPLOYEE NUMBER]]="","",MATCH(T_EMPLOYEES[[#This Row],[GENDER]],L_GENDER,0))</f>
        <v>2</v>
      </c>
      <c r="AF303">
        <f ca="1">IF(T_EMPLOYEES[[#This Row],[EMPLOYEE NUMBER]]="","",MATCH(T_EMPLOYEES[[#This Row],[HIRE SOURCE]],L_HIRESOURCE,0))</f>
        <v>4</v>
      </c>
      <c r="AG303">
        <f ca="1">IF(T_EMPLOYEES[[#This Row],[EMPLOYEE NUMBER]]="","",MATCH(T_EMPLOYEES[[#This Row],[ETHNICITY]],L_ETHNICITY,0))</f>
        <v>3</v>
      </c>
      <c r="AH303">
        <f ca="1">IF(T_EMPLOYEES[[#This Row],[EMPLOYEE NUMBER]]="","",MATCH(T_EMPLOYEES[[#This Row],[LOCATION]],L_LOCATION,0))</f>
        <v>3</v>
      </c>
      <c r="AI303">
        <f ca="1">IF(T_EMPLOYEES[[#This Row],[EMPLOYEE NUMBER]]="","",MATCH(T_EMPLOYEES[[#This Row],[DEPARTMENT]],L_DEPARTMENT,0))</f>
        <v>2</v>
      </c>
      <c r="AJ303">
        <f ca="1">IF(T_EMPLOYEES[[#This Row],[EMPLOYEE NUMBER]]="","",MATCH(T_EMPLOYEES[[#This Row],[JOB TYPE]],L_JOBTYPE,0))</f>
        <v>2</v>
      </c>
      <c r="AK303">
        <f ca="1">IF(T_EMPLOYEES[[#This Row],[EMPLOYEE NUMBER]]="","",MATCH(T_EMPLOYEES[[#This Row],[JOB CATEGORY]],L_JOBCATEGORY,0))</f>
        <v>38</v>
      </c>
      <c r="AL303">
        <f ca="1">IF(T_EMPLOYEES[[#This Row],[EMPLOYEE NUMBER]]="","",MATCH(T_EMPLOYEES[[#This Row],[JOB LEVEL]],L_JOBLEVEL,0))</f>
        <v>2</v>
      </c>
      <c r="AM303">
        <f ca="1">IF(T_EMPLOYEES[[#This Row],[EMPLOYEE NUMBER]]="","",MATCH(T_EMPLOYEES[[#This Row],[JOB TITLE]],L_JOBTITLE,0))</f>
        <v>38</v>
      </c>
      <c r="AN303">
        <f ca="1">IF(T_EMPLOYEES[[#This Row],[EMPLOYEE NUMBER]]="","",MATCH(T_EMPLOYEES[[#This Row],[MANAGER]],L_EMPLABELS,0))</f>
        <v>232</v>
      </c>
      <c r="AO303">
        <f ca="1">IF(T_EMPLOYEES[[#This Row],[EMPLOYEE NUMBER]]="","",IF(T_EMPLOYEES[[#This Row],[ERROR]]="",0,1))</f>
        <v>0</v>
      </c>
      <c r="AP30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4" spans="1:42">
      <c r="A304" t="s">
        <v>1072</v>
      </c>
      <c r="B304" t="s">
        <v>1073</v>
      </c>
      <c r="C304">
        <v>1031062</v>
      </c>
      <c r="D304" t="s">
        <v>1074</v>
      </c>
      <c r="E304" s="26">
        <v>34850</v>
      </c>
      <c r="F304" s="26">
        <v>44889</v>
      </c>
      <c r="H304" t="s">
        <v>27</v>
      </c>
      <c r="I304" t="s">
        <v>54</v>
      </c>
      <c r="J304" t="s">
        <v>64</v>
      </c>
      <c r="K304" t="s">
        <v>43</v>
      </c>
      <c r="L304" s="27" t="s">
        <v>114</v>
      </c>
      <c r="M304" t="s">
        <v>46</v>
      </c>
      <c r="N304" t="s">
        <v>151</v>
      </c>
      <c r="O304" t="s">
        <v>36</v>
      </c>
      <c r="P304" t="s">
        <v>151</v>
      </c>
      <c r="Q304" t="s">
        <v>206</v>
      </c>
      <c r="R304" s="27">
        <v>0</v>
      </c>
      <c r="S304" s="1">
        <v>250000</v>
      </c>
      <c r="T304" s="1">
        <f ca="1">ROUND(T_EMPLOYEES[[#This Row],[EMP_CTC1]]/12, 0)</f>
        <v>20833</v>
      </c>
      <c r="U304" s="1">
        <v>150000</v>
      </c>
      <c r="V304" s="1" t="s">
        <v>1065</v>
      </c>
      <c r="W304" s="1" t="s">
        <v>1065</v>
      </c>
      <c r="X30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Yogesh Kailas Lagad (1031062)</v>
      </c>
      <c r="Y304">
        <v>120000</v>
      </c>
      <c r="Z304" s="29">
        <f t="shared" ca="1" si="5"/>
        <v>40</v>
      </c>
      <c r="AA304">
        <f ca="1">IF(T_EMPLOYEES[[#This Row],[EMPLOYEE NUMBER]]="","",ROW(T_EMPLOYEES[[#This Row],[EMPLOYEE LABEL]])-ROW(T_EMPLOYEES[[#Headers],[EMPLOYEE LABEL]]))</f>
        <v>301</v>
      </c>
      <c r="AB304">
        <f ca="1">IF(T_EMPLOYEES[[#This Row],[EMPLOYEE NUMBER]]="","",IF(COUNTIF(T_EMPLOYEES[EMPLOYEE NUMBER],T_EMPLOYEES[[#This Row],[EMPLOYEE NUMBER]])&gt;1,1,0))</f>
        <v>0</v>
      </c>
      <c r="AC304">
        <f ca="1">IF(T_EMPLOYEES[[#This Row],[EMPLOYEE NUMBER]]="","",IF(AND(T_EMPLOYEES[[#This Row],[DATE OF BIRTH]]&gt;0,T_EMPLOYEES[[#This Row],[DATE OF BIRTH]]&lt;TODAY()),0,1))</f>
        <v>0</v>
      </c>
      <c r="AD304">
        <f ca="1">IF(T_EMPLOYEES[[#This Row],[EMPLOYEE NUMBER]]="","",IF(AND(T_EMPLOYEES[[#This Row],[START DATE]]&gt;0,T_EMPLOYEES[[#This Row],[START DATE]]&lt;TODAY()+60),0,1))</f>
        <v>0</v>
      </c>
      <c r="AE304">
        <f ca="1">IF(T_EMPLOYEES[[#This Row],[EMPLOYEE NUMBER]]="","",MATCH(T_EMPLOYEES[[#This Row],[GENDER]],L_GENDER,0))</f>
        <v>1</v>
      </c>
      <c r="AF304">
        <f ca="1">IF(T_EMPLOYEES[[#This Row],[EMPLOYEE NUMBER]]="","",MATCH(T_EMPLOYEES[[#This Row],[HIRE SOURCE]],L_HIRESOURCE,0))</f>
        <v>4</v>
      </c>
      <c r="AG304">
        <f ca="1">IF(T_EMPLOYEES[[#This Row],[EMPLOYEE NUMBER]]="","",MATCH(T_EMPLOYEES[[#This Row],[ETHNICITY]],L_ETHNICITY,0))</f>
        <v>3</v>
      </c>
      <c r="AH304">
        <f ca="1">IF(T_EMPLOYEES[[#This Row],[EMPLOYEE NUMBER]]="","",MATCH(T_EMPLOYEES[[#This Row],[LOCATION]],L_LOCATION,0))</f>
        <v>2</v>
      </c>
      <c r="AI304">
        <f ca="1">IF(T_EMPLOYEES[[#This Row],[EMPLOYEE NUMBER]]="","",MATCH(T_EMPLOYEES[[#This Row],[DEPARTMENT]],L_DEPARTMENT,0))</f>
        <v>11</v>
      </c>
      <c r="AJ304">
        <f ca="1">IF(T_EMPLOYEES[[#This Row],[EMPLOYEE NUMBER]]="","",MATCH(T_EMPLOYEES[[#This Row],[JOB TYPE]],L_JOBTYPE,0))</f>
        <v>2</v>
      </c>
      <c r="AK304">
        <f ca="1">IF(T_EMPLOYEES[[#This Row],[EMPLOYEE NUMBER]]="","",MATCH(T_EMPLOYEES[[#This Row],[JOB CATEGORY]],L_JOBCATEGORY,0))</f>
        <v>30</v>
      </c>
      <c r="AL304">
        <f ca="1">IF(T_EMPLOYEES[[#This Row],[EMPLOYEE NUMBER]]="","",MATCH(T_EMPLOYEES[[#This Row],[JOB LEVEL]],L_JOBLEVEL,0))</f>
        <v>1</v>
      </c>
      <c r="AM304">
        <f ca="1">IF(T_EMPLOYEES[[#This Row],[EMPLOYEE NUMBER]]="","",MATCH(T_EMPLOYEES[[#This Row],[JOB TITLE]],L_JOBTITLE,0))</f>
        <v>30</v>
      </c>
      <c r="AN304">
        <f ca="1">IF(T_EMPLOYEES[[#This Row],[EMPLOYEE NUMBER]]="","",MATCH(T_EMPLOYEES[[#This Row],[MANAGER]],L_EMPLABELS,0))</f>
        <v>6</v>
      </c>
      <c r="AO304">
        <f ca="1">IF(T_EMPLOYEES[[#This Row],[EMPLOYEE NUMBER]]="","",IF(T_EMPLOYEES[[#This Row],[ERROR]]="",0,1))</f>
        <v>0</v>
      </c>
      <c r="AP30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5" spans="1:42">
      <c r="A305" t="s">
        <v>1075</v>
      </c>
      <c r="B305" t="s">
        <v>1076</v>
      </c>
      <c r="C305">
        <v>1028167</v>
      </c>
      <c r="D305" t="s">
        <v>1077</v>
      </c>
      <c r="E305" s="26">
        <v>34860</v>
      </c>
      <c r="F305" s="26">
        <v>44588</v>
      </c>
      <c r="H305" t="s">
        <v>40</v>
      </c>
      <c r="I305" t="s">
        <v>54</v>
      </c>
      <c r="J305" t="s">
        <v>64</v>
      </c>
      <c r="K305" t="s">
        <v>30</v>
      </c>
      <c r="L305" s="27" t="s">
        <v>45</v>
      </c>
      <c r="M305" t="s">
        <v>46</v>
      </c>
      <c r="N305" t="s">
        <v>128</v>
      </c>
      <c r="O305" t="s">
        <v>60</v>
      </c>
      <c r="P305" t="s">
        <v>128</v>
      </c>
      <c r="Q305" t="s">
        <v>284</v>
      </c>
      <c r="R305">
        <v>4</v>
      </c>
      <c r="S305" s="1">
        <v>250000</v>
      </c>
      <c r="T305" s="1">
        <f ca="1">ROUND(T_EMPLOYEES[[#This Row],[EMP_CTC1]]/12, 0)</f>
        <v>20833</v>
      </c>
      <c r="U305" s="1">
        <v>150000</v>
      </c>
      <c r="V305" s="1" t="s">
        <v>1065</v>
      </c>
      <c r="W305" s="1" t="s">
        <v>1065</v>
      </c>
      <c r="X30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Kadiyala  prasanthi (1028167)</v>
      </c>
      <c r="Y305">
        <v>120000</v>
      </c>
      <c r="Z305" s="29">
        <f t="shared" ca="1" si="5"/>
        <v>40</v>
      </c>
      <c r="AA305">
        <f ca="1">IF(T_EMPLOYEES[[#This Row],[EMPLOYEE NUMBER]]="","",ROW(T_EMPLOYEES[[#This Row],[EMPLOYEE LABEL]])-ROW(T_EMPLOYEES[[#Headers],[EMPLOYEE LABEL]]))</f>
        <v>302</v>
      </c>
      <c r="AB305">
        <f ca="1">IF(T_EMPLOYEES[[#This Row],[EMPLOYEE NUMBER]]="","",IF(COUNTIF(T_EMPLOYEES[EMPLOYEE NUMBER],T_EMPLOYEES[[#This Row],[EMPLOYEE NUMBER]])&gt;1,1,0))</f>
        <v>0</v>
      </c>
      <c r="AC305">
        <f ca="1">IF(T_EMPLOYEES[[#This Row],[EMPLOYEE NUMBER]]="","",IF(AND(T_EMPLOYEES[[#This Row],[DATE OF BIRTH]]&gt;0,T_EMPLOYEES[[#This Row],[DATE OF BIRTH]]&lt;TODAY()),0,1))</f>
        <v>0</v>
      </c>
      <c r="AD305">
        <f ca="1">IF(T_EMPLOYEES[[#This Row],[EMPLOYEE NUMBER]]="","",IF(AND(T_EMPLOYEES[[#This Row],[START DATE]]&gt;0,T_EMPLOYEES[[#This Row],[START DATE]]&lt;TODAY()+60),0,1))</f>
        <v>0</v>
      </c>
      <c r="AE305">
        <f ca="1">IF(T_EMPLOYEES[[#This Row],[EMPLOYEE NUMBER]]="","",MATCH(T_EMPLOYEES[[#This Row],[GENDER]],L_GENDER,0))</f>
        <v>2</v>
      </c>
      <c r="AF305">
        <f ca="1">IF(T_EMPLOYEES[[#This Row],[EMPLOYEE NUMBER]]="","",MATCH(T_EMPLOYEES[[#This Row],[HIRE SOURCE]],L_HIRESOURCE,0))</f>
        <v>4</v>
      </c>
      <c r="AG305">
        <f ca="1">IF(T_EMPLOYEES[[#This Row],[EMPLOYEE NUMBER]]="","",MATCH(T_EMPLOYEES[[#This Row],[ETHNICITY]],L_ETHNICITY,0))</f>
        <v>3</v>
      </c>
      <c r="AH305">
        <f ca="1">IF(T_EMPLOYEES[[#This Row],[EMPLOYEE NUMBER]]="","",MATCH(T_EMPLOYEES[[#This Row],[LOCATION]],L_LOCATION,0))</f>
        <v>1</v>
      </c>
      <c r="AI305">
        <f ca="1">IF(T_EMPLOYEES[[#This Row],[EMPLOYEE NUMBER]]="","",MATCH(T_EMPLOYEES[[#This Row],[DEPARTMENT]],L_DEPARTMENT,0))</f>
        <v>2</v>
      </c>
      <c r="AJ305">
        <f ca="1">IF(T_EMPLOYEES[[#This Row],[EMPLOYEE NUMBER]]="","",MATCH(T_EMPLOYEES[[#This Row],[JOB TYPE]],L_JOBTYPE,0))</f>
        <v>2</v>
      </c>
      <c r="AK305">
        <f ca="1">IF(T_EMPLOYEES[[#This Row],[EMPLOYEE NUMBER]]="","",MATCH(T_EMPLOYEES[[#This Row],[JOB CATEGORY]],L_JOBCATEGORY,0))</f>
        <v>15</v>
      </c>
      <c r="AL305">
        <f ca="1">IF(T_EMPLOYEES[[#This Row],[EMPLOYEE NUMBER]]="","",MATCH(T_EMPLOYEES[[#This Row],[JOB LEVEL]],L_JOBLEVEL,0))</f>
        <v>3</v>
      </c>
      <c r="AM305">
        <f ca="1">IF(T_EMPLOYEES[[#This Row],[EMPLOYEE NUMBER]]="","",MATCH(T_EMPLOYEES[[#This Row],[JOB TITLE]],L_JOBTITLE,0))</f>
        <v>15</v>
      </c>
      <c r="AN305">
        <f ca="1">IF(T_EMPLOYEES[[#This Row],[EMPLOYEE NUMBER]]="","",MATCH(T_EMPLOYEES[[#This Row],[MANAGER]],L_EMPLABELS,0))</f>
        <v>96</v>
      </c>
      <c r="AO305">
        <f ca="1">IF(T_EMPLOYEES[[#This Row],[EMPLOYEE NUMBER]]="","",IF(T_EMPLOYEES[[#This Row],[ERROR]]="",0,1))</f>
        <v>0</v>
      </c>
      <c r="AP30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6" spans="1:42">
      <c r="A306" t="s">
        <v>926</v>
      </c>
      <c r="B306" t="s">
        <v>1078</v>
      </c>
      <c r="C306">
        <v>1033497</v>
      </c>
      <c r="D306" t="s">
        <v>1079</v>
      </c>
      <c r="E306" s="26">
        <v>34866</v>
      </c>
      <c r="F306" s="26">
        <v>45177</v>
      </c>
      <c r="H306" t="s">
        <v>40</v>
      </c>
      <c r="I306" t="s">
        <v>54</v>
      </c>
      <c r="J306" t="s">
        <v>64</v>
      </c>
      <c r="K306" t="s">
        <v>30</v>
      </c>
      <c r="L306" s="27" t="s">
        <v>45</v>
      </c>
      <c r="M306" t="s">
        <v>46</v>
      </c>
      <c r="N306" t="s">
        <v>128</v>
      </c>
      <c r="O306" t="s">
        <v>60</v>
      </c>
      <c r="P306" t="s">
        <v>128</v>
      </c>
      <c r="Q306" t="s">
        <v>559</v>
      </c>
      <c r="R306" s="27">
        <v>4</v>
      </c>
      <c r="S306" s="1">
        <v>250000</v>
      </c>
      <c r="T306" s="1">
        <f ca="1">ROUND(T_EMPLOYEES[[#This Row],[EMP_CTC1]]/12, 0)</f>
        <v>20833</v>
      </c>
      <c r="U306" s="1">
        <v>150000</v>
      </c>
      <c r="V306" s="1" t="s">
        <v>1065</v>
      </c>
      <c r="W306" s="1" t="s">
        <v>1065</v>
      </c>
      <c r="X30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Anusha Naik (1033497)</v>
      </c>
      <c r="Y306">
        <v>120000</v>
      </c>
      <c r="Z306" s="29">
        <f t="shared" ca="1" si="5"/>
        <v>40</v>
      </c>
      <c r="AA306">
        <f ca="1">IF(T_EMPLOYEES[[#This Row],[EMPLOYEE NUMBER]]="","",ROW(T_EMPLOYEES[[#This Row],[EMPLOYEE LABEL]])-ROW(T_EMPLOYEES[[#Headers],[EMPLOYEE LABEL]]))</f>
        <v>303</v>
      </c>
      <c r="AB306">
        <f ca="1">IF(T_EMPLOYEES[[#This Row],[EMPLOYEE NUMBER]]="","",IF(COUNTIF(T_EMPLOYEES[EMPLOYEE NUMBER],T_EMPLOYEES[[#This Row],[EMPLOYEE NUMBER]])&gt;1,1,0))</f>
        <v>0</v>
      </c>
      <c r="AC306">
        <f ca="1">IF(T_EMPLOYEES[[#This Row],[EMPLOYEE NUMBER]]="","",IF(AND(T_EMPLOYEES[[#This Row],[DATE OF BIRTH]]&gt;0,T_EMPLOYEES[[#This Row],[DATE OF BIRTH]]&lt;TODAY()),0,1))</f>
        <v>0</v>
      </c>
      <c r="AD306">
        <f ca="1">IF(T_EMPLOYEES[[#This Row],[EMPLOYEE NUMBER]]="","",IF(AND(T_EMPLOYEES[[#This Row],[START DATE]]&gt;0,T_EMPLOYEES[[#This Row],[START DATE]]&lt;TODAY()+60),0,1))</f>
        <v>0</v>
      </c>
      <c r="AE306">
        <f ca="1">IF(T_EMPLOYEES[[#This Row],[EMPLOYEE NUMBER]]="","",MATCH(T_EMPLOYEES[[#This Row],[GENDER]],L_GENDER,0))</f>
        <v>2</v>
      </c>
      <c r="AF306">
        <f ca="1">IF(T_EMPLOYEES[[#This Row],[EMPLOYEE NUMBER]]="","",MATCH(T_EMPLOYEES[[#This Row],[HIRE SOURCE]],L_HIRESOURCE,0))</f>
        <v>4</v>
      </c>
      <c r="AG306">
        <f ca="1">IF(T_EMPLOYEES[[#This Row],[EMPLOYEE NUMBER]]="","",MATCH(T_EMPLOYEES[[#This Row],[ETHNICITY]],L_ETHNICITY,0))</f>
        <v>3</v>
      </c>
      <c r="AH306">
        <f ca="1">IF(T_EMPLOYEES[[#This Row],[EMPLOYEE NUMBER]]="","",MATCH(T_EMPLOYEES[[#This Row],[LOCATION]],L_LOCATION,0))</f>
        <v>1</v>
      </c>
      <c r="AI306">
        <f ca="1">IF(T_EMPLOYEES[[#This Row],[EMPLOYEE NUMBER]]="","",MATCH(T_EMPLOYEES[[#This Row],[DEPARTMENT]],L_DEPARTMENT,0))</f>
        <v>2</v>
      </c>
      <c r="AJ306">
        <f ca="1">IF(T_EMPLOYEES[[#This Row],[EMPLOYEE NUMBER]]="","",MATCH(T_EMPLOYEES[[#This Row],[JOB TYPE]],L_JOBTYPE,0))</f>
        <v>2</v>
      </c>
      <c r="AK306">
        <f ca="1">IF(T_EMPLOYEES[[#This Row],[EMPLOYEE NUMBER]]="","",MATCH(T_EMPLOYEES[[#This Row],[JOB CATEGORY]],L_JOBCATEGORY,0))</f>
        <v>15</v>
      </c>
      <c r="AL306">
        <f ca="1">IF(T_EMPLOYEES[[#This Row],[EMPLOYEE NUMBER]]="","",MATCH(T_EMPLOYEES[[#This Row],[JOB LEVEL]],L_JOBLEVEL,0))</f>
        <v>3</v>
      </c>
      <c r="AM306">
        <f ca="1">IF(T_EMPLOYEES[[#This Row],[EMPLOYEE NUMBER]]="","",MATCH(T_EMPLOYEES[[#This Row],[JOB TITLE]],L_JOBTITLE,0))</f>
        <v>15</v>
      </c>
      <c r="AN306">
        <f ca="1">IF(T_EMPLOYEES[[#This Row],[EMPLOYEE NUMBER]]="","",MATCH(T_EMPLOYEES[[#This Row],[MANAGER]],L_EMPLABELS,0))</f>
        <v>58</v>
      </c>
      <c r="AO306">
        <f ca="1">IF(T_EMPLOYEES[[#This Row],[EMPLOYEE NUMBER]]="","",IF(T_EMPLOYEES[[#This Row],[ERROR]]="",0,1))</f>
        <v>0</v>
      </c>
      <c r="AP30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7" spans="1:42">
      <c r="A307" t="s">
        <v>1080</v>
      </c>
      <c r="B307" t="s">
        <v>1081</v>
      </c>
      <c r="C307">
        <v>1019823</v>
      </c>
      <c r="D307" t="s">
        <v>1082</v>
      </c>
      <c r="E307" s="26">
        <v>34872</v>
      </c>
      <c r="F307" s="26">
        <v>42998</v>
      </c>
      <c r="H307" t="s">
        <v>40</v>
      </c>
      <c r="I307" t="s">
        <v>54</v>
      </c>
      <c r="J307" t="s">
        <v>64</v>
      </c>
      <c r="K307" t="s">
        <v>43</v>
      </c>
      <c r="L307" s="27" t="s">
        <v>118</v>
      </c>
      <c r="M307" t="s">
        <v>46</v>
      </c>
      <c r="N307" t="s">
        <v>128</v>
      </c>
      <c r="O307" t="s">
        <v>60</v>
      </c>
      <c r="P307" t="s">
        <v>128</v>
      </c>
      <c r="Q307" t="s">
        <v>353</v>
      </c>
      <c r="R307">
        <v>4</v>
      </c>
      <c r="S307" s="1">
        <v>250000</v>
      </c>
      <c r="T307" s="1">
        <f ca="1">ROUND(T_EMPLOYEES[[#This Row],[EMP_CTC1]]/12, 0)</f>
        <v>20833</v>
      </c>
      <c r="U307" s="1">
        <v>150000</v>
      </c>
      <c r="V307" s="1" t="s">
        <v>1065</v>
      </c>
      <c r="W307" s="1" t="s">
        <v>1065</v>
      </c>
      <c r="X30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Veera Hema Chekkera (1019823)</v>
      </c>
      <c r="Y307">
        <v>120000</v>
      </c>
      <c r="Z307" s="29">
        <f t="shared" ca="1" si="5"/>
        <v>40</v>
      </c>
      <c r="AA307">
        <f ca="1">IF(T_EMPLOYEES[[#This Row],[EMPLOYEE NUMBER]]="","",ROW(T_EMPLOYEES[[#This Row],[EMPLOYEE LABEL]])-ROW(T_EMPLOYEES[[#Headers],[EMPLOYEE LABEL]]))</f>
        <v>304</v>
      </c>
      <c r="AB307">
        <f ca="1">IF(T_EMPLOYEES[[#This Row],[EMPLOYEE NUMBER]]="","",IF(COUNTIF(T_EMPLOYEES[EMPLOYEE NUMBER],T_EMPLOYEES[[#This Row],[EMPLOYEE NUMBER]])&gt;1,1,0))</f>
        <v>0</v>
      </c>
      <c r="AC307">
        <f ca="1">IF(T_EMPLOYEES[[#This Row],[EMPLOYEE NUMBER]]="","",IF(AND(T_EMPLOYEES[[#This Row],[DATE OF BIRTH]]&gt;0,T_EMPLOYEES[[#This Row],[DATE OF BIRTH]]&lt;TODAY()),0,1))</f>
        <v>0</v>
      </c>
      <c r="AD307">
        <f ca="1">IF(T_EMPLOYEES[[#This Row],[EMPLOYEE NUMBER]]="","",IF(AND(T_EMPLOYEES[[#This Row],[START DATE]]&gt;0,T_EMPLOYEES[[#This Row],[START DATE]]&lt;TODAY()+60),0,1))</f>
        <v>0</v>
      </c>
      <c r="AE307">
        <f ca="1">IF(T_EMPLOYEES[[#This Row],[EMPLOYEE NUMBER]]="","",MATCH(T_EMPLOYEES[[#This Row],[GENDER]],L_GENDER,0))</f>
        <v>2</v>
      </c>
      <c r="AF307">
        <f ca="1">IF(T_EMPLOYEES[[#This Row],[EMPLOYEE NUMBER]]="","",MATCH(T_EMPLOYEES[[#This Row],[HIRE SOURCE]],L_HIRESOURCE,0))</f>
        <v>4</v>
      </c>
      <c r="AG307">
        <f ca="1">IF(T_EMPLOYEES[[#This Row],[EMPLOYEE NUMBER]]="","",MATCH(T_EMPLOYEES[[#This Row],[ETHNICITY]],L_ETHNICITY,0))</f>
        <v>3</v>
      </c>
      <c r="AH307">
        <f ca="1">IF(T_EMPLOYEES[[#This Row],[EMPLOYEE NUMBER]]="","",MATCH(T_EMPLOYEES[[#This Row],[LOCATION]],L_LOCATION,0))</f>
        <v>2</v>
      </c>
      <c r="AI307">
        <f ca="1">IF(T_EMPLOYEES[[#This Row],[EMPLOYEE NUMBER]]="","",MATCH(T_EMPLOYEES[[#This Row],[DEPARTMENT]],L_DEPARTMENT,0))</f>
        <v>12</v>
      </c>
      <c r="AJ307">
        <f ca="1">IF(T_EMPLOYEES[[#This Row],[EMPLOYEE NUMBER]]="","",MATCH(T_EMPLOYEES[[#This Row],[JOB TYPE]],L_JOBTYPE,0))</f>
        <v>2</v>
      </c>
      <c r="AK307">
        <f ca="1">IF(T_EMPLOYEES[[#This Row],[EMPLOYEE NUMBER]]="","",MATCH(T_EMPLOYEES[[#This Row],[JOB CATEGORY]],L_JOBCATEGORY,0))</f>
        <v>15</v>
      </c>
      <c r="AL307">
        <f ca="1">IF(T_EMPLOYEES[[#This Row],[EMPLOYEE NUMBER]]="","",MATCH(T_EMPLOYEES[[#This Row],[JOB LEVEL]],L_JOBLEVEL,0))</f>
        <v>3</v>
      </c>
      <c r="AM307">
        <f ca="1">IF(T_EMPLOYEES[[#This Row],[EMPLOYEE NUMBER]]="","",MATCH(T_EMPLOYEES[[#This Row],[JOB TITLE]],L_JOBTITLE,0))</f>
        <v>15</v>
      </c>
      <c r="AN307">
        <f ca="1">IF(T_EMPLOYEES[[#This Row],[EMPLOYEE NUMBER]]="","",MATCH(T_EMPLOYEES[[#This Row],[MANAGER]],L_EMPLABELS,0))</f>
        <v>137</v>
      </c>
      <c r="AO307">
        <f ca="1">IF(T_EMPLOYEES[[#This Row],[EMPLOYEE NUMBER]]="","",IF(T_EMPLOYEES[[#This Row],[ERROR]]="",0,1))</f>
        <v>0</v>
      </c>
      <c r="AP30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8" spans="1:42">
      <c r="A308" t="s">
        <v>1083</v>
      </c>
      <c r="B308" t="s">
        <v>1084</v>
      </c>
      <c r="C308">
        <v>1031049</v>
      </c>
      <c r="D308" t="s">
        <v>1085</v>
      </c>
      <c r="E308" s="26">
        <v>34873</v>
      </c>
      <c r="F308" s="26">
        <v>44889</v>
      </c>
      <c r="H308" t="s">
        <v>27</v>
      </c>
      <c r="I308" t="s">
        <v>54</v>
      </c>
      <c r="J308" t="s">
        <v>64</v>
      </c>
      <c r="K308" t="s">
        <v>30</v>
      </c>
      <c r="L308" s="27" t="s">
        <v>114</v>
      </c>
      <c r="M308" t="s">
        <v>46</v>
      </c>
      <c r="N308" t="s">
        <v>151</v>
      </c>
      <c r="O308" t="s">
        <v>36</v>
      </c>
      <c r="P308" t="s">
        <v>151</v>
      </c>
      <c r="Q308" t="s">
        <v>505</v>
      </c>
      <c r="R308" s="27">
        <v>0</v>
      </c>
      <c r="S308" s="1">
        <v>250000</v>
      </c>
      <c r="T308" s="1">
        <f ca="1">ROUND(T_EMPLOYEES[[#This Row],[EMP_CTC1]]/12, 0)</f>
        <v>20833</v>
      </c>
      <c r="U308" s="1">
        <v>150000</v>
      </c>
      <c r="V308" s="1" t="s">
        <v>1065</v>
      </c>
      <c r="W308" s="1" t="s">
        <v>1065</v>
      </c>
      <c r="X30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Aditya Pachori (1031049)</v>
      </c>
      <c r="Y308">
        <v>120000</v>
      </c>
      <c r="Z308" s="29">
        <f t="shared" ca="1" si="5"/>
        <v>40</v>
      </c>
      <c r="AA308">
        <f ca="1">IF(T_EMPLOYEES[[#This Row],[EMPLOYEE NUMBER]]="","",ROW(T_EMPLOYEES[[#This Row],[EMPLOYEE LABEL]])-ROW(T_EMPLOYEES[[#Headers],[EMPLOYEE LABEL]]))</f>
        <v>305</v>
      </c>
      <c r="AB308">
        <f ca="1">IF(T_EMPLOYEES[[#This Row],[EMPLOYEE NUMBER]]="","",IF(COUNTIF(T_EMPLOYEES[EMPLOYEE NUMBER],T_EMPLOYEES[[#This Row],[EMPLOYEE NUMBER]])&gt;1,1,0))</f>
        <v>0</v>
      </c>
      <c r="AC308">
        <f ca="1">IF(T_EMPLOYEES[[#This Row],[EMPLOYEE NUMBER]]="","",IF(AND(T_EMPLOYEES[[#This Row],[DATE OF BIRTH]]&gt;0,T_EMPLOYEES[[#This Row],[DATE OF BIRTH]]&lt;TODAY()),0,1))</f>
        <v>0</v>
      </c>
      <c r="AD308">
        <f ca="1">IF(T_EMPLOYEES[[#This Row],[EMPLOYEE NUMBER]]="","",IF(AND(T_EMPLOYEES[[#This Row],[START DATE]]&gt;0,T_EMPLOYEES[[#This Row],[START DATE]]&lt;TODAY()+60),0,1))</f>
        <v>0</v>
      </c>
      <c r="AE308">
        <f ca="1">IF(T_EMPLOYEES[[#This Row],[EMPLOYEE NUMBER]]="","",MATCH(T_EMPLOYEES[[#This Row],[GENDER]],L_GENDER,0))</f>
        <v>1</v>
      </c>
      <c r="AF308">
        <f ca="1">IF(T_EMPLOYEES[[#This Row],[EMPLOYEE NUMBER]]="","",MATCH(T_EMPLOYEES[[#This Row],[HIRE SOURCE]],L_HIRESOURCE,0))</f>
        <v>4</v>
      </c>
      <c r="AG308">
        <f ca="1">IF(T_EMPLOYEES[[#This Row],[EMPLOYEE NUMBER]]="","",MATCH(T_EMPLOYEES[[#This Row],[ETHNICITY]],L_ETHNICITY,0))</f>
        <v>3</v>
      </c>
      <c r="AH308">
        <f ca="1">IF(T_EMPLOYEES[[#This Row],[EMPLOYEE NUMBER]]="","",MATCH(T_EMPLOYEES[[#This Row],[LOCATION]],L_LOCATION,0))</f>
        <v>1</v>
      </c>
      <c r="AI308">
        <f ca="1">IF(T_EMPLOYEES[[#This Row],[EMPLOYEE NUMBER]]="","",MATCH(T_EMPLOYEES[[#This Row],[DEPARTMENT]],L_DEPARTMENT,0))</f>
        <v>11</v>
      </c>
      <c r="AJ308">
        <f ca="1">IF(T_EMPLOYEES[[#This Row],[EMPLOYEE NUMBER]]="","",MATCH(T_EMPLOYEES[[#This Row],[JOB TYPE]],L_JOBTYPE,0))</f>
        <v>2</v>
      </c>
      <c r="AK308">
        <f ca="1">IF(T_EMPLOYEES[[#This Row],[EMPLOYEE NUMBER]]="","",MATCH(T_EMPLOYEES[[#This Row],[JOB CATEGORY]],L_JOBCATEGORY,0))</f>
        <v>30</v>
      </c>
      <c r="AL308">
        <f ca="1">IF(T_EMPLOYEES[[#This Row],[EMPLOYEE NUMBER]]="","",MATCH(T_EMPLOYEES[[#This Row],[JOB LEVEL]],L_JOBLEVEL,0))</f>
        <v>1</v>
      </c>
      <c r="AM308">
        <f ca="1">IF(T_EMPLOYEES[[#This Row],[EMPLOYEE NUMBER]]="","",MATCH(T_EMPLOYEES[[#This Row],[JOB TITLE]],L_JOBTITLE,0))</f>
        <v>30</v>
      </c>
      <c r="AN308">
        <f ca="1">IF(T_EMPLOYEES[[#This Row],[EMPLOYEE NUMBER]]="","",MATCH(T_EMPLOYEES[[#This Row],[MANAGER]],L_EMPLABELS,0))</f>
        <v>57</v>
      </c>
      <c r="AO308">
        <f ca="1">IF(T_EMPLOYEES[[#This Row],[EMPLOYEE NUMBER]]="","",IF(T_EMPLOYEES[[#This Row],[ERROR]]="",0,1))</f>
        <v>0</v>
      </c>
      <c r="AP30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9" spans="1:42">
      <c r="A309" t="s">
        <v>1086</v>
      </c>
      <c r="B309" t="s">
        <v>63</v>
      </c>
      <c r="C309">
        <v>1028754</v>
      </c>
      <c r="D309" t="s">
        <v>1087</v>
      </c>
      <c r="E309" s="26">
        <v>34889</v>
      </c>
      <c r="F309" s="26">
        <v>44655</v>
      </c>
      <c r="H309" t="s">
        <v>27</v>
      </c>
      <c r="I309" t="s">
        <v>54</v>
      </c>
      <c r="J309" t="s">
        <v>64</v>
      </c>
      <c r="K309" t="s">
        <v>30</v>
      </c>
      <c r="L309" s="27" t="s">
        <v>45</v>
      </c>
      <c r="M309" t="s">
        <v>46</v>
      </c>
      <c r="N309" t="s">
        <v>156</v>
      </c>
      <c r="O309" t="s">
        <v>36</v>
      </c>
      <c r="P309" t="s">
        <v>156</v>
      </c>
      <c r="Q309" t="s">
        <v>684</v>
      </c>
      <c r="R309">
        <v>0</v>
      </c>
      <c r="S309" s="1">
        <v>250000</v>
      </c>
      <c r="T309" s="1">
        <f ca="1">ROUND(T_EMPLOYEES[[#This Row],[EMP_CTC1]]/12, 0)</f>
        <v>20833</v>
      </c>
      <c r="U309" s="1">
        <v>150000</v>
      </c>
      <c r="V309" s="1" t="s">
        <v>1065</v>
      </c>
      <c r="W309" s="1" t="s">
        <v>1065</v>
      </c>
      <c r="X30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Cijo M (1028754)</v>
      </c>
      <c r="Y309">
        <v>120000</v>
      </c>
      <c r="Z309" s="29">
        <f t="shared" ca="1" si="5"/>
        <v>40</v>
      </c>
      <c r="AA309">
        <f ca="1">IF(T_EMPLOYEES[[#This Row],[EMPLOYEE NUMBER]]="","",ROW(T_EMPLOYEES[[#This Row],[EMPLOYEE LABEL]])-ROW(T_EMPLOYEES[[#Headers],[EMPLOYEE LABEL]]))</f>
        <v>306</v>
      </c>
      <c r="AB309">
        <f ca="1">IF(T_EMPLOYEES[[#This Row],[EMPLOYEE NUMBER]]="","",IF(COUNTIF(T_EMPLOYEES[EMPLOYEE NUMBER],T_EMPLOYEES[[#This Row],[EMPLOYEE NUMBER]])&gt;1,1,0))</f>
        <v>0</v>
      </c>
      <c r="AC309">
        <f ca="1">IF(T_EMPLOYEES[[#This Row],[EMPLOYEE NUMBER]]="","",IF(AND(T_EMPLOYEES[[#This Row],[DATE OF BIRTH]]&gt;0,T_EMPLOYEES[[#This Row],[DATE OF BIRTH]]&lt;TODAY()),0,1))</f>
        <v>0</v>
      </c>
      <c r="AD309">
        <f ca="1">IF(T_EMPLOYEES[[#This Row],[EMPLOYEE NUMBER]]="","",IF(AND(T_EMPLOYEES[[#This Row],[START DATE]]&gt;0,T_EMPLOYEES[[#This Row],[START DATE]]&lt;TODAY()+60),0,1))</f>
        <v>0</v>
      </c>
      <c r="AE309">
        <f ca="1">IF(T_EMPLOYEES[[#This Row],[EMPLOYEE NUMBER]]="","",MATCH(T_EMPLOYEES[[#This Row],[GENDER]],L_GENDER,0))</f>
        <v>1</v>
      </c>
      <c r="AF309">
        <f ca="1">IF(T_EMPLOYEES[[#This Row],[EMPLOYEE NUMBER]]="","",MATCH(T_EMPLOYEES[[#This Row],[HIRE SOURCE]],L_HIRESOURCE,0))</f>
        <v>4</v>
      </c>
      <c r="AG309">
        <f ca="1">IF(T_EMPLOYEES[[#This Row],[EMPLOYEE NUMBER]]="","",MATCH(T_EMPLOYEES[[#This Row],[ETHNICITY]],L_ETHNICITY,0))</f>
        <v>3</v>
      </c>
      <c r="AH309">
        <f ca="1">IF(T_EMPLOYEES[[#This Row],[EMPLOYEE NUMBER]]="","",MATCH(T_EMPLOYEES[[#This Row],[LOCATION]],L_LOCATION,0))</f>
        <v>1</v>
      </c>
      <c r="AI309">
        <f ca="1">IF(T_EMPLOYEES[[#This Row],[EMPLOYEE NUMBER]]="","",MATCH(T_EMPLOYEES[[#This Row],[DEPARTMENT]],L_DEPARTMENT,0))</f>
        <v>2</v>
      </c>
      <c r="AJ309">
        <f ca="1">IF(T_EMPLOYEES[[#This Row],[EMPLOYEE NUMBER]]="","",MATCH(T_EMPLOYEES[[#This Row],[JOB TYPE]],L_JOBTYPE,0))</f>
        <v>2</v>
      </c>
      <c r="AK309">
        <f ca="1">IF(T_EMPLOYEES[[#This Row],[EMPLOYEE NUMBER]]="","",MATCH(T_EMPLOYEES[[#This Row],[JOB CATEGORY]],L_JOBCATEGORY,0))</f>
        <v>35</v>
      </c>
      <c r="AL309">
        <f ca="1">IF(T_EMPLOYEES[[#This Row],[EMPLOYEE NUMBER]]="","",MATCH(T_EMPLOYEES[[#This Row],[JOB LEVEL]],L_JOBLEVEL,0))</f>
        <v>1</v>
      </c>
      <c r="AM309">
        <f ca="1">IF(T_EMPLOYEES[[#This Row],[EMPLOYEE NUMBER]]="","",MATCH(T_EMPLOYEES[[#This Row],[JOB TITLE]],L_JOBTITLE,0))</f>
        <v>35</v>
      </c>
      <c r="AN309">
        <f ca="1">IF(T_EMPLOYEES[[#This Row],[EMPLOYEE NUMBER]]="","",MATCH(T_EMPLOYEES[[#This Row],[MANAGER]],L_EMPLABELS,0))</f>
        <v>232</v>
      </c>
      <c r="AO309">
        <f ca="1">IF(T_EMPLOYEES[[#This Row],[EMPLOYEE NUMBER]]="","",IF(T_EMPLOYEES[[#This Row],[ERROR]]="",0,1))</f>
        <v>0</v>
      </c>
      <c r="AP30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0" spans="1:42">
      <c r="A310" t="s">
        <v>1088</v>
      </c>
      <c r="B310" t="s">
        <v>1089</v>
      </c>
      <c r="C310">
        <v>1024656</v>
      </c>
      <c r="D310" t="s">
        <v>1090</v>
      </c>
      <c r="E310" s="26">
        <v>34890</v>
      </c>
      <c r="F310" s="26">
        <v>44252</v>
      </c>
      <c r="H310" t="s">
        <v>40</v>
      </c>
      <c r="I310" t="s">
        <v>54</v>
      </c>
      <c r="J310" t="s">
        <v>64</v>
      </c>
      <c r="K310" t="s">
        <v>30</v>
      </c>
      <c r="L310" s="27" t="s">
        <v>45</v>
      </c>
      <c r="M310" t="s">
        <v>46</v>
      </c>
      <c r="N310" t="s">
        <v>128</v>
      </c>
      <c r="O310" t="s">
        <v>60</v>
      </c>
      <c r="P310" t="s">
        <v>128</v>
      </c>
      <c r="Q310" t="s">
        <v>218</v>
      </c>
      <c r="R310" s="27">
        <v>4</v>
      </c>
      <c r="S310" s="1">
        <v>250000</v>
      </c>
      <c r="T310" s="1">
        <f ca="1">ROUND(T_EMPLOYEES[[#This Row],[EMP_CTC1]]/12, 0)</f>
        <v>20833</v>
      </c>
      <c r="U310" s="1">
        <v>150000</v>
      </c>
      <c r="V310" s="1" t="s">
        <v>1065</v>
      </c>
      <c r="W310" s="1" t="s">
        <v>1065</v>
      </c>
      <c r="X31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Asha  Nadendla (1024656)</v>
      </c>
      <c r="Y310">
        <v>120000</v>
      </c>
      <c r="Z310" s="29">
        <f t="shared" ca="1" si="5"/>
        <v>40</v>
      </c>
      <c r="AA310">
        <f ca="1">IF(T_EMPLOYEES[[#This Row],[EMPLOYEE NUMBER]]="","",ROW(T_EMPLOYEES[[#This Row],[EMPLOYEE LABEL]])-ROW(T_EMPLOYEES[[#Headers],[EMPLOYEE LABEL]]))</f>
        <v>307</v>
      </c>
      <c r="AB310">
        <f ca="1">IF(T_EMPLOYEES[[#This Row],[EMPLOYEE NUMBER]]="","",IF(COUNTIF(T_EMPLOYEES[EMPLOYEE NUMBER],T_EMPLOYEES[[#This Row],[EMPLOYEE NUMBER]])&gt;1,1,0))</f>
        <v>0</v>
      </c>
      <c r="AC310">
        <f ca="1">IF(T_EMPLOYEES[[#This Row],[EMPLOYEE NUMBER]]="","",IF(AND(T_EMPLOYEES[[#This Row],[DATE OF BIRTH]]&gt;0,T_EMPLOYEES[[#This Row],[DATE OF BIRTH]]&lt;TODAY()),0,1))</f>
        <v>0</v>
      </c>
      <c r="AD310">
        <f ca="1">IF(T_EMPLOYEES[[#This Row],[EMPLOYEE NUMBER]]="","",IF(AND(T_EMPLOYEES[[#This Row],[START DATE]]&gt;0,T_EMPLOYEES[[#This Row],[START DATE]]&lt;TODAY()+60),0,1))</f>
        <v>0</v>
      </c>
      <c r="AE310">
        <f ca="1">IF(T_EMPLOYEES[[#This Row],[EMPLOYEE NUMBER]]="","",MATCH(T_EMPLOYEES[[#This Row],[GENDER]],L_GENDER,0))</f>
        <v>2</v>
      </c>
      <c r="AF310">
        <f ca="1">IF(T_EMPLOYEES[[#This Row],[EMPLOYEE NUMBER]]="","",MATCH(T_EMPLOYEES[[#This Row],[HIRE SOURCE]],L_HIRESOURCE,0))</f>
        <v>4</v>
      </c>
      <c r="AG310">
        <f ca="1">IF(T_EMPLOYEES[[#This Row],[EMPLOYEE NUMBER]]="","",MATCH(T_EMPLOYEES[[#This Row],[ETHNICITY]],L_ETHNICITY,0))</f>
        <v>3</v>
      </c>
      <c r="AH310">
        <f ca="1">IF(T_EMPLOYEES[[#This Row],[EMPLOYEE NUMBER]]="","",MATCH(T_EMPLOYEES[[#This Row],[LOCATION]],L_LOCATION,0))</f>
        <v>1</v>
      </c>
      <c r="AI310">
        <f ca="1">IF(T_EMPLOYEES[[#This Row],[EMPLOYEE NUMBER]]="","",MATCH(T_EMPLOYEES[[#This Row],[DEPARTMENT]],L_DEPARTMENT,0))</f>
        <v>2</v>
      </c>
      <c r="AJ310">
        <f ca="1">IF(T_EMPLOYEES[[#This Row],[EMPLOYEE NUMBER]]="","",MATCH(T_EMPLOYEES[[#This Row],[JOB TYPE]],L_JOBTYPE,0))</f>
        <v>2</v>
      </c>
      <c r="AK310">
        <f ca="1">IF(T_EMPLOYEES[[#This Row],[EMPLOYEE NUMBER]]="","",MATCH(T_EMPLOYEES[[#This Row],[JOB CATEGORY]],L_JOBCATEGORY,0))</f>
        <v>15</v>
      </c>
      <c r="AL310">
        <f ca="1">IF(T_EMPLOYEES[[#This Row],[EMPLOYEE NUMBER]]="","",MATCH(T_EMPLOYEES[[#This Row],[JOB LEVEL]],L_JOBLEVEL,0))</f>
        <v>3</v>
      </c>
      <c r="AM310">
        <f ca="1">IF(T_EMPLOYEES[[#This Row],[EMPLOYEE NUMBER]]="","",MATCH(T_EMPLOYEES[[#This Row],[JOB TITLE]],L_JOBTITLE,0))</f>
        <v>15</v>
      </c>
      <c r="AN310">
        <f ca="1">IF(T_EMPLOYEES[[#This Row],[EMPLOYEE NUMBER]]="","",MATCH(T_EMPLOYEES[[#This Row],[MANAGER]],L_EMPLABELS,0))</f>
        <v>43</v>
      </c>
      <c r="AO310">
        <f ca="1">IF(T_EMPLOYEES[[#This Row],[EMPLOYEE NUMBER]]="","",IF(T_EMPLOYEES[[#This Row],[ERROR]]="",0,1))</f>
        <v>0</v>
      </c>
      <c r="AP31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1" spans="1:42">
      <c r="A311" t="s">
        <v>580</v>
      </c>
      <c r="B311" t="s">
        <v>1091</v>
      </c>
      <c r="C311">
        <v>1031875</v>
      </c>
      <c r="D311" t="s">
        <v>1092</v>
      </c>
      <c r="E311" s="26">
        <v>34901</v>
      </c>
      <c r="F311" s="26">
        <v>44914</v>
      </c>
      <c r="H311" t="s">
        <v>40</v>
      </c>
      <c r="I311" t="s">
        <v>54</v>
      </c>
      <c r="J311" t="s">
        <v>64</v>
      </c>
      <c r="K311" t="s">
        <v>43</v>
      </c>
      <c r="L311" s="27" t="s">
        <v>45</v>
      </c>
      <c r="M311" t="s">
        <v>46</v>
      </c>
      <c r="N311" t="s">
        <v>89</v>
      </c>
      <c r="O311" t="s">
        <v>60</v>
      </c>
      <c r="P311" t="s">
        <v>89</v>
      </c>
      <c r="Q311" t="s">
        <v>288</v>
      </c>
      <c r="R311">
        <v>4</v>
      </c>
      <c r="S311" s="1">
        <v>250000</v>
      </c>
      <c r="T311" s="1">
        <f ca="1">ROUND(T_EMPLOYEES[[#This Row],[EMP_CTC1]]/12, 0)</f>
        <v>20833</v>
      </c>
      <c r="U311" s="1">
        <v>150000</v>
      </c>
      <c r="V311" s="1" t="s">
        <v>1065</v>
      </c>
      <c r="W311" s="1" t="s">
        <v>1065</v>
      </c>
      <c r="X31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Priya B U (1031875)</v>
      </c>
      <c r="Y311">
        <v>120000</v>
      </c>
      <c r="Z311" s="29">
        <f t="shared" ca="1" si="5"/>
        <v>40</v>
      </c>
      <c r="AA311">
        <f ca="1">IF(T_EMPLOYEES[[#This Row],[EMPLOYEE NUMBER]]="","",ROW(T_EMPLOYEES[[#This Row],[EMPLOYEE LABEL]])-ROW(T_EMPLOYEES[[#Headers],[EMPLOYEE LABEL]]))</f>
        <v>308</v>
      </c>
      <c r="AB311">
        <f ca="1">IF(T_EMPLOYEES[[#This Row],[EMPLOYEE NUMBER]]="","",IF(COUNTIF(T_EMPLOYEES[EMPLOYEE NUMBER],T_EMPLOYEES[[#This Row],[EMPLOYEE NUMBER]])&gt;1,1,0))</f>
        <v>0</v>
      </c>
      <c r="AC311">
        <f ca="1">IF(T_EMPLOYEES[[#This Row],[EMPLOYEE NUMBER]]="","",IF(AND(T_EMPLOYEES[[#This Row],[DATE OF BIRTH]]&gt;0,T_EMPLOYEES[[#This Row],[DATE OF BIRTH]]&lt;TODAY()),0,1))</f>
        <v>0</v>
      </c>
      <c r="AD311">
        <f ca="1">IF(T_EMPLOYEES[[#This Row],[EMPLOYEE NUMBER]]="","",IF(AND(T_EMPLOYEES[[#This Row],[START DATE]]&gt;0,T_EMPLOYEES[[#This Row],[START DATE]]&lt;TODAY()+60),0,1))</f>
        <v>0</v>
      </c>
      <c r="AE311">
        <f ca="1">IF(T_EMPLOYEES[[#This Row],[EMPLOYEE NUMBER]]="","",MATCH(T_EMPLOYEES[[#This Row],[GENDER]],L_GENDER,0))</f>
        <v>2</v>
      </c>
      <c r="AF311">
        <f ca="1">IF(T_EMPLOYEES[[#This Row],[EMPLOYEE NUMBER]]="","",MATCH(T_EMPLOYEES[[#This Row],[HIRE SOURCE]],L_HIRESOURCE,0))</f>
        <v>4</v>
      </c>
      <c r="AG311">
        <f ca="1">IF(T_EMPLOYEES[[#This Row],[EMPLOYEE NUMBER]]="","",MATCH(T_EMPLOYEES[[#This Row],[ETHNICITY]],L_ETHNICITY,0))</f>
        <v>3</v>
      </c>
      <c r="AH311">
        <f ca="1">IF(T_EMPLOYEES[[#This Row],[EMPLOYEE NUMBER]]="","",MATCH(T_EMPLOYEES[[#This Row],[LOCATION]],L_LOCATION,0))</f>
        <v>2</v>
      </c>
      <c r="AI311">
        <f ca="1">IF(T_EMPLOYEES[[#This Row],[EMPLOYEE NUMBER]]="","",MATCH(T_EMPLOYEES[[#This Row],[DEPARTMENT]],L_DEPARTMENT,0))</f>
        <v>2</v>
      </c>
      <c r="AJ311">
        <f ca="1">IF(T_EMPLOYEES[[#This Row],[EMPLOYEE NUMBER]]="","",MATCH(T_EMPLOYEES[[#This Row],[JOB TYPE]],L_JOBTYPE,0))</f>
        <v>2</v>
      </c>
      <c r="AK311">
        <f ca="1">IF(T_EMPLOYEES[[#This Row],[EMPLOYEE NUMBER]]="","",MATCH(T_EMPLOYEES[[#This Row],[JOB CATEGORY]],L_JOBCATEGORY,0))</f>
        <v>6</v>
      </c>
      <c r="AL311">
        <f ca="1">IF(T_EMPLOYEES[[#This Row],[EMPLOYEE NUMBER]]="","",MATCH(T_EMPLOYEES[[#This Row],[JOB LEVEL]],L_JOBLEVEL,0))</f>
        <v>3</v>
      </c>
      <c r="AM311">
        <f ca="1">IF(T_EMPLOYEES[[#This Row],[EMPLOYEE NUMBER]]="","",MATCH(T_EMPLOYEES[[#This Row],[JOB TITLE]],L_JOBTITLE,0))</f>
        <v>6</v>
      </c>
      <c r="AN311">
        <f ca="1">IF(T_EMPLOYEES[[#This Row],[EMPLOYEE NUMBER]]="","",MATCH(T_EMPLOYEES[[#This Row],[MANAGER]],L_EMPLABELS,0))</f>
        <v>52</v>
      </c>
      <c r="AO311">
        <f ca="1">IF(T_EMPLOYEES[[#This Row],[EMPLOYEE NUMBER]]="","",IF(T_EMPLOYEES[[#This Row],[ERROR]]="",0,1))</f>
        <v>0</v>
      </c>
      <c r="AP31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2" spans="1:42">
      <c r="A312" t="s">
        <v>1093</v>
      </c>
      <c r="B312" t="s">
        <v>1094</v>
      </c>
      <c r="C312">
        <v>1031088</v>
      </c>
      <c r="D312" t="s">
        <v>1095</v>
      </c>
      <c r="E312" s="26">
        <v>34903</v>
      </c>
      <c r="F312" s="26">
        <v>44889</v>
      </c>
      <c r="H312" t="s">
        <v>27</v>
      </c>
      <c r="I312" t="s">
        <v>54</v>
      </c>
      <c r="J312" t="s">
        <v>64</v>
      </c>
      <c r="K312" t="s">
        <v>43</v>
      </c>
      <c r="L312" s="27" t="s">
        <v>114</v>
      </c>
      <c r="M312" t="s">
        <v>46</v>
      </c>
      <c r="N312" t="s">
        <v>151</v>
      </c>
      <c r="O312" t="s">
        <v>36</v>
      </c>
      <c r="P312" t="s">
        <v>151</v>
      </c>
      <c r="Q312" t="s">
        <v>505</v>
      </c>
      <c r="R312" s="27">
        <v>0</v>
      </c>
      <c r="S312" s="1">
        <v>250000</v>
      </c>
      <c r="T312" s="1">
        <f ca="1">ROUND(T_EMPLOYEES[[#This Row],[EMP_CTC1]]/12, 0)</f>
        <v>20833</v>
      </c>
      <c r="U312" s="1">
        <v>150000</v>
      </c>
      <c r="V312" s="1" t="s">
        <v>1065</v>
      </c>
      <c r="W312" s="1" t="s">
        <v>1065</v>
      </c>
      <c r="X31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Chetan Dattatray Chavan (1031088)</v>
      </c>
      <c r="Y312">
        <v>120000</v>
      </c>
      <c r="Z312" s="29">
        <f t="shared" ca="1" si="5"/>
        <v>40</v>
      </c>
      <c r="AA312">
        <f ca="1">IF(T_EMPLOYEES[[#This Row],[EMPLOYEE NUMBER]]="","",ROW(T_EMPLOYEES[[#This Row],[EMPLOYEE LABEL]])-ROW(T_EMPLOYEES[[#Headers],[EMPLOYEE LABEL]]))</f>
        <v>309</v>
      </c>
      <c r="AB312">
        <f ca="1">IF(T_EMPLOYEES[[#This Row],[EMPLOYEE NUMBER]]="","",IF(COUNTIF(T_EMPLOYEES[EMPLOYEE NUMBER],T_EMPLOYEES[[#This Row],[EMPLOYEE NUMBER]])&gt;1,1,0))</f>
        <v>0</v>
      </c>
      <c r="AC312">
        <f ca="1">IF(T_EMPLOYEES[[#This Row],[EMPLOYEE NUMBER]]="","",IF(AND(T_EMPLOYEES[[#This Row],[DATE OF BIRTH]]&gt;0,T_EMPLOYEES[[#This Row],[DATE OF BIRTH]]&lt;TODAY()),0,1))</f>
        <v>0</v>
      </c>
      <c r="AD312">
        <f ca="1">IF(T_EMPLOYEES[[#This Row],[EMPLOYEE NUMBER]]="","",IF(AND(T_EMPLOYEES[[#This Row],[START DATE]]&gt;0,T_EMPLOYEES[[#This Row],[START DATE]]&lt;TODAY()+60),0,1))</f>
        <v>0</v>
      </c>
      <c r="AE312">
        <f ca="1">IF(T_EMPLOYEES[[#This Row],[EMPLOYEE NUMBER]]="","",MATCH(T_EMPLOYEES[[#This Row],[GENDER]],L_GENDER,0))</f>
        <v>1</v>
      </c>
      <c r="AF312">
        <f ca="1">IF(T_EMPLOYEES[[#This Row],[EMPLOYEE NUMBER]]="","",MATCH(T_EMPLOYEES[[#This Row],[HIRE SOURCE]],L_HIRESOURCE,0))</f>
        <v>4</v>
      </c>
      <c r="AG312">
        <f ca="1">IF(T_EMPLOYEES[[#This Row],[EMPLOYEE NUMBER]]="","",MATCH(T_EMPLOYEES[[#This Row],[ETHNICITY]],L_ETHNICITY,0))</f>
        <v>3</v>
      </c>
      <c r="AH312">
        <f ca="1">IF(T_EMPLOYEES[[#This Row],[EMPLOYEE NUMBER]]="","",MATCH(T_EMPLOYEES[[#This Row],[LOCATION]],L_LOCATION,0))</f>
        <v>2</v>
      </c>
      <c r="AI312">
        <f ca="1">IF(T_EMPLOYEES[[#This Row],[EMPLOYEE NUMBER]]="","",MATCH(T_EMPLOYEES[[#This Row],[DEPARTMENT]],L_DEPARTMENT,0))</f>
        <v>11</v>
      </c>
      <c r="AJ312">
        <f ca="1">IF(T_EMPLOYEES[[#This Row],[EMPLOYEE NUMBER]]="","",MATCH(T_EMPLOYEES[[#This Row],[JOB TYPE]],L_JOBTYPE,0))</f>
        <v>2</v>
      </c>
      <c r="AK312">
        <f ca="1">IF(T_EMPLOYEES[[#This Row],[EMPLOYEE NUMBER]]="","",MATCH(T_EMPLOYEES[[#This Row],[JOB CATEGORY]],L_JOBCATEGORY,0))</f>
        <v>30</v>
      </c>
      <c r="AL312">
        <f ca="1">IF(T_EMPLOYEES[[#This Row],[EMPLOYEE NUMBER]]="","",MATCH(T_EMPLOYEES[[#This Row],[JOB LEVEL]],L_JOBLEVEL,0))</f>
        <v>1</v>
      </c>
      <c r="AM312">
        <f ca="1">IF(T_EMPLOYEES[[#This Row],[EMPLOYEE NUMBER]]="","",MATCH(T_EMPLOYEES[[#This Row],[JOB TITLE]],L_JOBTITLE,0))</f>
        <v>30</v>
      </c>
      <c r="AN312">
        <f ca="1">IF(T_EMPLOYEES[[#This Row],[EMPLOYEE NUMBER]]="","",MATCH(T_EMPLOYEES[[#This Row],[MANAGER]],L_EMPLABELS,0))</f>
        <v>57</v>
      </c>
      <c r="AO312">
        <f ca="1">IF(T_EMPLOYEES[[#This Row],[EMPLOYEE NUMBER]]="","",IF(T_EMPLOYEES[[#This Row],[ERROR]]="",0,1))</f>
        <v>0</v>
      </c>
      <c r="AP31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3" spans="1:42">
      <c r="A313" t="s">
        <v>1096</v>
      </c>
      <c r="B313" t="s">
        <v>1097</v>
      </c>
      <c r="C313">
        <v>1030797</v>
      </c>
      <c r="D313" t="s">
        <v>1098</v>
      </c>
      <c r="E313" s="26">
        <v>34913</v>
      </c>
      <c r="F313" s="26">
        <v>44865</v>
      </c>
      <c r="H313" t="s">
        <v>40</v>
      </c>
      <c r="I313" t="s">
        <v>54</v>
      </c>
      <c r="J313" t="s">
        <v>64</v>
      </c>
      <c r="K313" t="s">
        <v>43</v>
      </c>
      <c r="L313" s="27" t="s">
        <v>45</v>
      </c>
      <c r="M313" t="s">
        <v>46</v>
      </c>
      <c r="N313" t="s">
        <v>89</v>
      </c>
      <c r="O313" t="s">
        <v>60</v>
      </c>
      <c r="P313" t="s">
        <v>89</v>
      </c>
      <c r="Q313" t="s">
        <v>272</v>
      </c>
      <c r="R313">
        <v>4</v>
      </c>
      <c r="S313" s="1">
        <v>250000</v>
      </c>
      <c r="T313" s="1">
        <f ca="1">ROUND(T_EMPLOYEES[[#This Row],[EMP_CTC1]]/12, 0)</f>
        <v>20833</v>
      </c>
      <c r="U313" s="1">
        <v>150000</v>
      </c>
      <c r="V313" s="1" t="s">
        <v>1065</v>
      </c>
      <c r="W313" s="1" t="s">
        <v>1065</v>
      </c>
      <c r="X31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Seerla Pujitha (1030797)</v>
      </c>
      <c r="Y313">
        <v>120000</v>
      </c>
      <c r="Z313" s="29">
        <f t="shared" ca="1" si="5"/>
        <v>40</v>
      </c>
      <c r="AA313">
        <f ca="1">IF(T_EMPLOYEES[[#This Row],[EMPLOYEE NUMBER]]="","",ROW(T_EMPLOYEES[[#This Row],[EMPLOYEE LABEL]])-ROW(T_EMPLOYEES[[#Headers],[EMPLOYEE LABEL]]))</f>
        <v>310</v>
      </c>
      <c r="AB313">
        <f ca="1">IF(T_EMPLOYEES[[#This Row],[EMPLOYEE NUMBER]]="","",IF(COUNTIF(T_EMPLOYEES[EMPLOYEE NUMBER],T_EMPLOYEES[[#This Row],[EMPLOYEE NUMBER]])&gt;1,1,0))</f>
        <v>0</v>
      </c>
      <c r="AC313">
        <f ca="1">IF(T_EMPLOYEES[[#This Row],[EMPLOYEE NUMBER]]="","",IF(AND(T_EMPLOYEES[[#This Row],[DATE OF BIRTH]]&gt;0,T_EMPLOYEES[[#This Row],[DATE OF BIRTH]]&lt;TODAY()),0,1))</f>
        <v>0</v>
      </c>
      <c r="AD313">
        <f ca="1">IF(T_EMPLOYEES[[#This Row],[EMPLOYEE NUMBER]]="","",IF(AND(T_EMPLOYEES[[#This Row],[START DATE]]&gt;0,T_EMPLOYEES[[#This Row],[START DATE]]&lt;TODAY()+60),0,1))</f>
        <v>0</v>
      </c>
      <c r="AE313">
        <f ca="1">IF(T_EMPLOYEES[[#This Row],[EMPLOYEE NUMBER]]="","",MATCH(T_EMPLOYEES[[#This Row],[GENDER]],L_GENDER,0))</f>
        <v>2</v>
      </c>
      <c r="AF313">
        <f ca="1">IF(T_EMPLOYEES[[#This Row],[EMPLOYEE NUMBER]]="","",MATCH(T_EMPLOYEES[[#This Row],[HIRE SOURCE]],L_HIRESOURCE,0))</f>
        <v>4</v>
      </c>
      <c r="AG313">
        <f ca="1">IF(T_EMPLOYEES[[#This Row],[EMPLOYEE NUMBER]]="","",MATCH(T_EMPLOYEES[[#This Row],[ETHNICITY]],L_ETHNICITY,0))</f>
        <v>3</v>
      </c>
      <c r="AH313">
        <f ca="1">IF(T_EMPLOYEES[[#This Row],[EMPLOYEE NUMBER]]="","",MATCH(T_EMPLOYEES[[#This Row],[LOCATION]],L_LOCATION,0))</f>
        <v>2</v>
      </c>
      <c r="AI313">
        <f ca="1">IF(T_EMPLOYEES[[#This Row],[EMPLOYEE NUMBER]]="","",MATCH(T_EMPLOYEES[[#This Row],[DEPARTMENT]],L_DEPARTMENT,0))</f>
        <v>2</v>
      </c>
      <c r="AJ313">
        <f ca="1">IF(T_EMPLOYEES[[#This Row],[EMPLOYEE NUMBER]]="","",MATCH(T_EMPLOYEES[[#This Row],[JOB TYPE]],L_JOBTYPE,0))</f>
        <v>2</v>
      </c>
      <c r="AK313">
        <f ca="1">IF(T_EMPLOYEES[[#This Row],[EMPLOYEE NUMBER]]="","",MATCH(T_EMPLOYEES[[#This Row],[JOB CATEGORY]],L_JOBCATEGORY,0))</f>
        <v>6</v>
      </c>
      <c r="AL313">
        <f ca="1">IF(T_EMPLOYEES[[#This Row],[EMPLOYEE NUMBER]]="","",MATCH(T_EMPLOYEES[[#This Row],[JOB LEVEL]],L_JOBLEVEL,0))</f>
        <v>3</v>
      </c>
      <c r="AM313">
        <f ca="1">IF(T_EMPLOYEES[[#This Row],[EMPLOYEE NUMBER]]="","",MATCH(T_EMPLOYEES[[#This Row],[JOB TITLE]],L_JOBTITLE,0))</f>
        <v>6</v>
      </c>
      <c r="AN313">
        <f ca="1">IF(T_EMPLOYEES[[#This Row],[EMPLOYEE NUMBER]]="","",MATCH(T_EMPLOYEES[[#This Row],[MANAGER]],L_EMPLABELS,0))</f>
        <v>62</v>
      </c>
      <c r="AO313">
        <f ca="1">IF(T_EMPLOYEES[[#This Row],[EMPLOYEE NUMBER]]="","",IF(T_EMPLOYEES[[#This Row],[ERROR]]="",0,1))</f>
        <v>0</v>
      </c>
      <c r="AP31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4" spans="1:42">
      <c r="A314" t="s">
        <v>1099</v>
      </c>
      <c r="B314" t="s">
        <v>668</v>
      </c>
      <c r="C314">
        <v>1025477</v>
      </c>
      <c r="D314" t="s">
        <v>1100</v>
      </c>
      <c r="E314" s="26">
        <v>34933</v>
      </c>
      <c r="F314" s="26">
        <v>44356</v>
      </c>
      <c r="H314" t="s">
        <v>40</v>
      </c>
      <c r="I314" t="s">
        <v>54</v>
      </c>
      <c r="J314" t="s">
        <v>64</v>
      </c>
      <c r="K314" t="s">
        <v>30</v>
      </c>
      <c r="L314" s="27" t="s">
        <v>45</v>
      </c>
      <c r="M314" t="s">
        <v>46</v>
      </c>
      <c r="N314" t="s">
        <v>89</v>
      </c>
      <c r="O314" t="s">
        <v>60</v>
      </c>
      <c r="P314" t="s">
        <v>89</v>
      </c>
      <c r="Q314" t="s">
        <v>418</v>
      </c>
      <c r="R314" s="27">
        <v>4</v>
      </c>
      <c r="S314" s="1">
        <v>250000</v>
      </c>
      <c r="T314" s="1">
        <f ca="1">ROUND(T_EMPLOYEES[[#This Row],[EMP_CTC1]]/12, 0)</f>
        <v>20833</v>
      </c>
      <c r="U314" s="1">
        <v>150000</v>
      </c>
      <c r="V314" s="1" t="s">
        <v>1065</v>
      </c>
      <c r="W314" s="1" t="s">
        <v>1065</v>
      </c>
      <c r="X31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Kuntapalli  Kavitha (1025477)</v>
      </c>
      <c r="Y314">
        <v>120000</v>
      </c>
      <c r="Z314" s="29">
        <f t="shared" ca="1" si="5"/>
        <v>40</v>
      </c>
      <c r="AA314">
        <f ca="1">IF(T_EMPLOYEES[[#This Row],[EMPLOYEE NUMBER]]="","",ROW(T_EMPLOYEES[[#This Row],[EMPLOYEE LABEL]])-ROW(T_EMPLOYEES[[#Headers],[EMPLOYEE LABEL]]))</f>
        <v>311</v>
      </c>
      <c r="AB314">
        <f ca="1">IF(T_EMPLOYEES[[#This Row],[EMPLOYEE NUMBER]]="","",IF(COUNTIF(T_EMPLOYEES[EMPLOYEE NUMBER],T_EMPLOYEES[[#This Row],[EMPLOYEE NUMBER]])&gt;1,1,0))</f>
        <v>0</v>
      </c>
      <c r="AC314">
        <f ca="1">IF(T_EMPLOYEES[[#This Row],[EMPLOYEE NUMBER]]="","",IF(AND(T_EMPLOYEES[[#This Row],[DATE OF BIRTH]]&gt;0,T_EMPLOYEES[[#This Row],[DATE OF BIRTH]]&lt;TODAY()),0,1))</f>
        <v>0</v>
      </c>
      <c r="AD314">
        <f ca="1">IF(T_EMPLOYEES[[#This Row],[EMPLOYEE NUMBER]]="","",IF(AND(T_EMPLOYEES[[#This Row],[START DATE]]&gt;0,T_EMPLOYEES[[#This Row],[START DATE]]&lt;TODAY()+60),0,1))</f>
        <v>0</v>
      </c>
      <c r="AE314">
        <f ca="1">IF(T_EMPLOYEES[[#This Row],[EMPLOYEE NUMBER]]="","",MATCH(T_EMPLOYEES[[#This Row],[GENDER]],L_GENDER,0))</f>
        <v>2</v>
      </c>
      <c r="AF314">
        <f ca="1">IF(T_EMPLOYEES[[#This Row],[EMPLOYEE NUMBER]]="","",MATCH(T_EMPLOYEES[[#This Row],[HIRE SOURCE]],L_HIRESOURCE,0))</f>
        <v>4</v>
      </c>
      <c r="AG314">
        <f ca="1">IF(T_EMPLOYEES[[#This Row],[EMPLOYEE NUMBER]]="","",MATCH(T_EMPLOYEES[[#This Row],[ETHNICITY]],L_ETHNICITY,0))</f>
        <v>3</v>
      </c>
      <c r="AH314">
        <f ca="1">IF(T_EMPLOYEES[[#This Row],[EMPLOYEE NUMBER]]="","",MATCH(T_EMPLOYEES[[#This Row],[LOCATION]],L_LOCATION,0))</f>
        <v>1</v>
      </c>
      <c r="AI314">
        <f ca="1">IF(T_EMPLOYEES[[#This Row],[EMPLOYEE NUMBER]]="","",MATCH(T_EMPLOYEES[[#This Row],[DEPARTMENT]],L_DEPARTMENT,0))</f>
        <v>2</v>
      </c>
      <c r="AJ314">
        <f ca="1">IF(T_EMPLOYEES[[#This Row],[EMPLOYEE NUMBER]]="","",MATCH(T_EMPLOYEES[[#This Row],[JOB TYPE]],L_JOBTYPE,0))</f>
        <v>2</v>
      </c>
      <c r="AK314">
        <f ca="1">IF(T_EMPLOYEES[[#This Row],[EMPLOYEE NUMBER]]="","",MATCH(T_EMPLOYEES[[#This Row],[JOB CATEGORY]],L_JOBCATEGORY,0))</f>
        <v>6</v>
      </c>
      <c r="AL314">
        <f ca="1">IF(T_EMPLOYEES[[#This Row],[EMPLOYEE NUMBER]]="","",MATCH(T_EMPLOYEES[[#This Row],[JOB LEVEL]],L_JOBLEVEL,0))</f>
        <v>3</v>
      </c>
      <c r="AM314">
        <f ca="1">IF(T_EMPLOYEES[[#This Row],[EMPLOYEE NUMBER]]="","",MATCH(T_EMPLOYEES[[#This Row],[JOB TITLE]],L_JOBTITLE,0))</f>
        <v>6</v>
      </c>
      <c r="AN314">
        <f ca="1">IF(T_EMPLOYEES[[#This Row],[EMPLOYEE NUMBER]]="","",MATCH(T_EMPLOYEES[[#This Row],[MANAGER]],L_EMPLABELS,0))</f>
        <v>120</v>
      </c>
      <c r="AO314">
        <f ca="1">IF(T_EMPLOYEES[[#This Row],[EMPLOYEE NUMBER]]="","",IF(T_EMPLOYEES[[#This Row],[ERROR]]="",0,1))</f>
        <v>0</v>
      </c>
      <c r="AP31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5" spans="1:42">
      <c r="A315" t="s">
        <v>1101</v>
      </c>
      <c r="B315" t="s">
        <v>1102</v>
      </c>
      <c r="C315">
        <v>1026468</v>
      </c>
      <c r="D315" t="s">
        <v>1103</v>
      </c>
      <c r="E315" s="26">
        <v>34942</v>
      </c>
      <c r="F315" s="26">
        <v>44456</v>
      </c>
      <c r="H315" t="s">
        <v>27</v>
      </c>
      <c r="I315" t="s">
        <v>54</v>
      </c>
      <c r="J315" t="s">
        <v>64</v>
      </c>
      <c r="K315" t="s">
        <v>30</v>
      </c>
      <c r="L315" s="27" t="s">
        <v>45</v>
      </c>
      <c r="M315" t="s">
        <v>46</v>
      </c>
      <c r="N315" t="s">
        <v>89</v>
      </c>
      <c r="O315" t="s">
        <v>60</v>
      </c>
      <c r="P315" t="s">
        <v>89</v>
      </c>
      <c r="Q315" t="s">
        <v>418</v>
      </c>
      <c r="R315">
        <v>4</v>
      </c>
      <c r="S315" s="1">
        <v>250000</v>
      </c>
      <c r="T315" s="1">
        <f ca="1">ROUND(T_EMPLOYEES[[#This Row],[EMP_CTC1]]/12, 0)</f>
        <v>20833</v>
      </c>
      <c r="U315" s="1">
        <v>150000</v>
      </c>
      <c r="V315" s="1" t="s">
        <v>1065</v>
      </c>
      <c r="W315" s="1" t="s">
        <v>1065</v>
      </c>
      <c r="X31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Kunduru Rajanikanth Reddy (1026468)</v>
      </c>
      <c r="Y315">
        <v>120000</v>
      </c>
      <c r="Z315" s="29">
        <f t="shared" ca="1" si="5"/>
        <v>40</v>
      </c>
      <c r="AA315">
        <f ca="1">IF(T_EMPLOYEES[[#This Row],[EMPLOYEE NUMBER]]="","",ROW(T_EMPLOYEES[[#This Row],[EMPLOYEE LABEL]])-ROW(T_EMPLOYEES[[#Headers],[EMPLOYEE LABEL]]))</f>
        <v>312</v>
      </c>
      <c r="AB315">
        <f ca="1">IF(T_EMPLOYEES[[#This Row],[EMPLOYEE NUMBER]]="","",IF(COUNTIF(T_EMPLOYEES[EMPLOYEE NUMBER],T_EMPLOYEES[[#This Row],[EMPLOYEE NUMBER]])&gt;1,1,0))</f>
        <v>0</v>
      </c>
      <c r="AC315">
        <f ca="1">IF(T_EMPLOYEES[[#This Row],[EMPLOYEE NUMBER]]="","",IF(AND(T_EMPLOYEES[[#This Row],[DATE OF BIRTH]]&gt;0,T_EMPLOYEES[[#This Row],[DATE OF BIRTH]]&lt;TODAY()),0,1))</f>
        <v>0</v>
      </c>
      <c r="AD315">
        <f ca="1">IF(T_EMPLOYEES[[#This Row],[EMPLOYEE NUMBER]]="","",IF(AND(T_EMPLOYEES[[#This Row],[START DATE]]&gt;0,T_EMPLOYEES[[#This Row],[START DATE]]&lt;TODAY()+60),0,1))</f>
        <v>0</v>
      </c>
      <c r="AE315">
        <f ca="1">IF(T_EMPLOYEES[[#This Row],[EMPLOYEE NUMBER]]="","",MATCH(T_EMPLOYEES[[#This Row],[GENDER]],L_GENDER,0))</f>
        <v>1</v>
      </c>
      <c r="AF315">
        <f ca="1">IF(T_EMPLOYEES[[#This Row],[EMPLOYEE NUMBER]]="","",MATCH(T_EMPLOYEES[[#This Row],[HIRE SOURCE]],L_HIRESOURCE,0))</f>
        <v>4</v>
      </c>
      <c r="AG315">
        <f ca="1">IF(T_EMPLOYEES[[#This Row],[EMPLOYEE NUMBER]]="","",MATCH(T_EMPLOYEES[[#This Row],[ETHNICITY]],L_ETHNICITY,0))</f>
        <v>3</v>
      </c>
      <c r="AH315">
        <f ca="1">IF(T_EMPLOYEES[[#This Row],[EMPLOYEE NUMBER]]="","",MATCH(T_EMPLOYEES[[#This Row],[LOCATION]],L_LOCATION,0))</f>
        <v>1</v>
      </c>
      <c r="AI315">
        <f ca="1">IF(T_EMPLOYEES[[#This Row],[EMPLOYEE NUMBER]]="","",MATCH(T_EMPLOYEES[[#This Row],[DEPARTMENT]],L_DEPARTMENT,0))</f>
        <v>2</v>
      </c>
      <c r="AJ315">
        <f ca="1">IF(T_EMPLOYEES[[#This Row],[EMPLOYEE NUMBER]]="","",MATCH(T_EMPLOYEES[[#This Row],[JOB TYPE]],L_JOBTYPE,0))</f>
        <v>2</v>
      </c>
      <c r="AK315">
        <f ca="1">IF(T_EMPLOYEES[[#This Row],[EMPLOYEE NUMBER]]="","",MATCH(T_EMPLOYEES[[#This Row],[JOB CATEGORY]],L_JOBCATEGORY,0))</f>
        <v>6</v>
      </c>
      <c r="AL315">
        <f ca="1">IF(T_EMPLOYEES[[#This Row],[EMPLOYEE NUMBER]]="","",MATCH(T_EMPLOYEES[[#This Row],[JOB LEVEL]],L_JOBLEVEL,0))</f>
        <v>3</v>
      </c>
      <c r="AM315">
        <f ca="1">IF(T_EMPLOYEES[[#This Row],[EMPLOYEE NUMBER]]="","",MATCH(T_EMPLOYEES[[#This Row],[JOB TITLE]],L_JOBTITLE,0))</f>
        <v>6</v>
      </c>
      <c r="AN315">
        <f ca="1">IF(T_EMPLOYEES[[#This Row],[EMPLOYEE NUMBER]]="","",MATCH(T_EMPLOYEES[[#This Row],[MANAGER]],L_EMPLABELS,0))</f>
        <v>120</v>
      </c>
      <c r="AO315">
        <f ca="1">IF(T_EMPLOYEES[[#This Row],[EMPLOYEE NUMBER]]="","",IF(T_EMPLOYEES[[#This Row],[ERROR]]="",0,1))</f>
        <v>0</v>
      </c>
      <c r="AP31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6" spans="1:42">
      <c r="A316" t="s">
        <v>1104</v>
      </c>
      <c r="B316" t="s">
        <v>1105</v>
      </c>
      <c r="C316">
        <v>1025771</v>
      </c>
      <c r="D316" t="s">
        <v>1106</v>
      </c>
      <c r="E316" s="26">
        <v>34946</v>
      </c>
      <c r="F316" s="26">
        <v>44389</v>
      </c>
      <c r="H316" t="s">
        <v>40</v>
      </c>
      <c r="I316" t="s">
        <v>54</v>
      </c>
      <c r="J316" t="s">
        <v>64</v>
      </c>
      <c r="K316" t="s">
        <v>30</v>
      </c>
      <c r="L316" s="27" t="s">
        <v>45</v>
      </c>
      <c r="M316" t="s">
        <v>46</v>
      </c>
      <c r="N316" t="s">
        <v>128</v>
      </c>
      <c r="O316" t="s">
        <v>60</v>
      </c>
      <c r="P316" t="s">
        <v>128</v>
      </c>
      <c r="Q316" t="s">
        <v>218</v>
      </c>
      <c r="R316" s="27">
        <v>4</v>
      </c>
      <c r="S316" s="1">
        <v>250000</v>
      </c>
      <c r="T316" s="1">
        <f ca="1">ROUND(T_EMPLOYEES[[#This Row],[EMP_CTC1]]/12, 0)</f>
        <v>20833</v>
      </c>
      <c r="U316" s="1">
        <v>150000</v>
      </c>
      <c r="V316" s="1" t="s">
        <v>1065</v>
      </c>
      <c r="W316" s="1" t="s">
        <v>1065</v>
      </c>
      <c r="X31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Priyanka Bajj (1025771)</v>
      </c>
      <c r="Y316">
        <v>120000</v>
      </c>
      <c r="Z316" s="29">
        <f t="shared" ca="1" si="5"/>
        <v>40</v>
      </c>
      <c r="AA316">
        <f ca="1">IF(T_EMPLOYEES[[#This Row],[EMPLOYEE NUMBER]]="","",ROW(T_EMPLOYEES[[#This Row],[EMPLOYEE LABEL]])-ROW(T_EMPLOYEES[[#Headers],[EMPLOYEE LABEL]]))</f>
        <v>313</v>
      </c>
      <c r="AB316">
        <f ca="1">IF(T_EMPLOYEES[[#This Row],[EMPLOYEE NUMBER]]="","",IF(COUNTIF(T_EMPLOYEES[EMPLOYEE NUMBER],T_EMPLOYEES[[#This Row],[EMPLOYEE NUMBER]])&gt;1,1,0))</f>
        <v>0</v>
      </c>
      <c r="AC316">
        <f ca="1">IF(T_EMPLOYEES[[#This Row],[EMPLOYEE NUMBER]]="","",IF(AND(T_EMPLOYEES[[#This Row],[DATE OF BIRTH]]&gt;0,T_EMPLOYEES[[#This Row],[DATE OF BIRTH]]&lt;TODAY()),0,1))</f>
        <v>0</v>
      </c>
      <c r="AD316">
        <f ca="1">IF(T_EMPLOYEES[[#This Row],[EMPLOYEE NUMBER]]="","",IF(AND(T_EMPLOYEES[[#This Row],[START DATE]]&gt;0,T_EMPLOYEES[[#This Row],[START DATE]]&lt;TODAY()+60),0,1))</f>
        <v>0</v>
      </c>
      <c r="AE316">
        <f ca="1">IF(T_EMPLOYEES[[#This Row],[EMPLOYEE NUMBER]]="","",MATCH(T_EMPLOYEES[[#This Row],[GENDER]],L_GENDER,0))</f>
        <v>2</v>
      </c>
      <c r="AF316">
        <f ca="1">IF(T_EMPLOYEES[[#This Row],[EMPLOYEE NUMBER]]="","",MATCH(T_EMPLOYEES[[#This Row],[HIRE SOURCE]],L_HIRESOURCE,0))</f>
        <v>4</v>
      </c>
      <c r="AG316">
        <f ca="1">IF(T_EMPLOYEES[[#This Row],[EMPLOYEE NUMBER]]="","",MATCH(T_EMPLOYEES[[#This Row],[ETHNICITY]],L_ETHNICITY,0))</f>
        <v>3</v>
      </c>
      <c r="AH316">
        <f ca="1">IF(T_EMPLOYEES[[#This Row],[EMPLOYEE NUMBER]]="","",MATCH(T_EMPLOYEES[[#This Row],[LOCATION]],L_LOCATION,0))</f>
        <v>1</v>
      </c>
      <c r="AI316">
        <f ca="1">IF(T_EMPLOYEES[[#This Row],[EMPLOYEE NUMBER]]="","",MATCH(T_EMPLOYEES[[#This Row],[DEPARTMENT]],L_DEPARTMENT,0))</f>
        <v>2</v>
      </c>
      <c r="AJ316">
        <f ca="1">IF(T_EMPLOYEES[[#This Row],[EMPLOYEE NUMBER]]="","",MATCH(T_EMPLOYEES[[#This Row],[JOB TYPE]],L_JOBTYPE,0))</f>
        <v>2</v>
      </c>
      <c r="AK316">
        <f ca="1">IF(T_EMPLOYEES[[#This Row],[EMPLOYEE NUMBER]]="","",MATCH(T_EMPLOYEES[[#This Row],[JOB CATEGORY]],L_JOBCATEGORY,0))</f>
        <v>15</v>
      </c>
      <c r="AL316">
        <f ca="1">IF(T_EMPLOYEES[[#This Row],[EMPLOYEE NUMBER]]="","",MATCH(T_EMPLOYEES[[#This Row],[JOB LEVEL]],L_JOBLEVEL,0))</f>
        <v>3</v>
      </c>
      <c r="AM316">
        <f ca="1">IF(T_EMPLOYEES[[#This Row],[EMPLOYEE NUMBER]]="","",MATCH(T_EMPLOYEES[[#This Row],[JOB TITLE]],L_JOBTITLE,0))</f>
        <v>15</v>
      </c>
      <c r="AN316">
        <f ca="1">IF(T_EMPLOYEES[[#This Row],[EMPLOYEE NUMBER]]="","",MATCH(T_EMPLOYEES[[#This Row],[MANAGER]],L_EMPLABELS,0))</f>
        <v>43</v>
      </c>
      <c r="AO316">
        <f ca="1">IF(T_EMPLOYEES[[#This Row],[EMPLOYEE NUMBER]]="","",IF(T_EMPLOYEES[[#This Row],[ERROR]]="",0,1))</f>
        <v>0</v>
      </c>
      <c r="AP31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7" spans="1:42">
      <c r="A317" t="s">
        <v>1107</v>
      </c>
      <c r="B317" t="s">
        <v>1108</v>
      </c>
      <c r="C317">
        <v>1028452</v>
      </c>
      <c r="D317" t="s">
        <v>1109</v>
      </c>
      <c r="E317" s="26">
        <v>34964</v>
      </c>
      <c r="F317" s="26">
        <v>44620</v>
      </c>
      <c r="H317" t="s">
        <v>40</v>
      </c>
      <c r="I317" t="s">
        <v>54</v>
      </c>
      <c r="J317" t="s">
        <v>64</v>
      </c>
      <c r="K317" t="s">
        <v>30</v>
      </c>
      <c r="L317" s="27" t="s">
        <v>114</v>
      </c>
      <c r="M317" t="s">
        <v>46</v>
      </c>
      <c r="N317" t="s">
        <v>128</v>
      </c>
      <c r="O317" t="s">
        <v>60</v>
      </c>
      <c r="P317" t="s">
        <v>128</v>
      </c>
      <c r="Q317" t="s">
        <v>468</v>
      </c>
      <c r="R317">
        <v>4</v>
      </c>
      <c r="S317" s="1">
        <v>250000</v>
      </c>
      <c r="T317" s="1">
        <f ca="1">ROUND(T_EMPLOYEES[[#This Row],[EMP_CTC1]]/12, 0)</f>
        <v>20833</v>
      </c>
      <c r="U317" s="1">
        <v>150000</v>
      </c>
      <c r="V317" s="1" t="s">
        <v>1065</v>
      </c>
      <c r="W317" s="1" t="s">
        <v>1065</v>
      </c>
      <c r="X31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Madhusmita Das (1028452)</v>
      </c>
      <c r="Y317">
        <v>120000</v>
      </c>
      <c r="Z317" s="29">
        <f t="shared" ca="1" si="5"/>
        <v>40</v>
      </c>
      <c r="AA317">
        <f ca="1">IF(T_EMPLOYEES[[#This Row],[EMPLOYEE NUMBER]]="","",ROW(T_EMPLOYEES[[#This Row],[EMPLOYEE LABEL]])-ROW(T_EMPLOYEES[[#Headers],[EMPLOYEE LABEL]]))</f>
        <v>314</v>
      </c>
      <c r="AB317">
        <f ca="1">IF(T_EMPLOYEES[[#This Row],[EMPLOYEE NUMBER]]="","",IF(COUNTIF(T_EMPLOYEES[EMPLOYEE NUMBER],T_EMPLOYEES[[#This Row],[EMPLOYEE NUMBER]])&gt;1,1,0))</f>
        <v>0</v>
      </c>
      <c r="AC317">
        <f ca="1">IF(T_EMPLOYEES[[#This Row],[EMPLOYEE NUMBER]]="","",IF(AND(T_EMPLOYEES[[#This Row],[DATE OF BIRTH]]&gt;0,T_EMPLOYEES[[#This Row],[DATE OF BIRTH]]&lt;TODAY()),0,1))</f>
        <v>0</v>
      </c>
      <c r="AD317">
        <f ca="1">IF(T_EMPLOYEES[[#This Row],[EMPLOYEE NUMBER]]="","",IF(AND(T_EMPLOYEES[[#This Row],[START DATE]]&gt;0,T_EMPLOYEES[[#This Row],[START DATE]]&lt;TODAY()+60),0,1))</f>
        <v>0</v>
      </c>
      <c r="AE317">
        <f ca="1">IF(T_EMPLOYEES[[#This Row],[EMPLOYEE NUMBER]]="","",MATCH(T_EMPLOYEES[[#This Row],[GENDER]],L_GENDER,0))</f>
        <v>2</v>
      </c>
      <c r="AF317">
        <f ca="1">IF(T_EMPLOYEES[[#This Row],[EMPLOYEE NUMBER]]="","",MATCH(T_EMPLOYEES[[#This Row],[HIRE SOURCE]],L_HIRESOURCE,0))</f>
        <v>4</v>
      </c>
      <c r="AG317">
        <f ca="1">IF(T_EMPLOYEES[[#This Row],[EMPLOYEE NUMBER]]="","",MATCH(T_EMPLOYEES[[#This Row],[ETHNICITY]],L_ETHNICITY,0))</f>
        <v>3</v>
      </c>
      <c r="AH317">
        <f ca="1">IF(T_EMPLOYEES[[#This Row],[EMPLOYEE NUMBER]]="","",MATCH(T_EMPLOYEES[[#This Row],[LOCATION]],L_LOCATION,0))</f>
        <v>1</v>
      </c>
      <c r="AI317">
        <f ca="1">IF(T_EMPLOYEES[[#This Row],[EMPLOYEE NUMBER]]="","",MATCH(T_EMPLOYEES[[#This Row],[DEPARTMENT]],L_DEPARTMENT,0))</f>
        <v>11</v>
      </c>
      <c r="AJ317">
        <f ca="1">IF(T_EMPLOYEES[[#This Row],[EMPLOYEE NUMBER]]="","",MATCH(T_EMPLOYEES[[#This Row],[JOB TYPE]],L_JOBTYPE,0))</f>
        <v>2</v>
      </c>
      <c r="AK317">
        <f ca="1">IF(T_EMPLOYEES[[#This Row],[EMPLOYEE NUMBER]]="","",MATCH(T_EMPLOYEES[[#This Row],[JOB CATEGORY]],L_JOBCATEGORY,0))</f>
        <v>15</v>
      </c>
      <c r="AL317">
        <f ca="1">IF(T_EMPLOYEES[[#This Row],[EMPLOYEE NUMBER]]="","",MATCH(T_EMPLOYEES[[#This Row],[JOB LEVEL]],L_JOBLEVEL,0))</f>
        <v>3</v>
      </c>
      <c r="AM317">
        <f ca="1">IF(T_EMPLOYEES[[#This Row],[EMPLOYEE NUMBER]]="","",MATCH(T_EMPLOYEES[[#This Row],[JOB TITLE]],L_JOBTITLE,0))</f>
        <v>15</v>
      </c>
      <c r="AN317">
        <f ca="1">IF(T_EMPLOYEES[[#This Row],[EMPLOYEE NUMBER]]="","",MATCH(T_EMPLOYEES[[#This Row],[MANAGER]],L_EMPLABELS,0))</f>
        <v>56</v>
      </c>
      <c r="AO317">
        <f ca="1">IF(T_EMPLOYEES[[#This Row],[EMPLOYEE NUMBER]]="","",IF(T_EMPLOYEES[[#This Row],[ERROR]]="",0,1))</f>
        <v>0</v>
      </c>
      <c r="AP31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8" spans="1:42">
      <c r="A318" t="s">
        <v>1110</v>
      </c>
      <c r="B318" t="s">
        <v>1111</v>
      </c>
      <c r="C318">
        <v>1029029</v>
      </c>
      <c r="D318" t="s">
        <v>1112</v>
      </c>
      <c r="E318" s="26">
        <v>34986</v>
      </c>
      <c r="F318" s="26">
        <v>44692</v>
      </c>
      <c r="H318" t="s">
        <v>27</v>
      </c>
      <c r="I318" t="s">
        <v>54</v>
      </c>
      <c r="J318" t="s">
        <v>64</v>
      </c>
      <c r="K318" t="s">
        <v>30</v>
      </c>
      <c r="L318" s="27" t="s">
        <v>45</v>
      </c>
      <c r="M318" t="s">
        <v>46</v>
      </c>
      <c r="N318" t="s">
        <v>156</v>
      </c>
      <c r="O318" t="s">
        <v>36</v>
      </c>
      <c r="P318" t="s">
        <v>156</v>
      </c>
      <c r="Q318" t="s">
        <v>907</v>
      </c>
      <c r="R318" s="27">
        <v>0</v>
      </c>
      <c r="S318" s="1">
        <v>250000</v>
      </c>
      <c r="T318" s="1">
        <f ca="1">ROUND(T_EMPLOYEES[[#This Row],[EMP_CTC1]]/12, 0)</f>
        <v>20833</v>
      </c>
      <c r="U318" s="1">
        <v>150000</v>
      </c>
      <c r="V318" s="1" t="s">
        <v>1065</v>
      </c>
      <c r="W318" s="1" t="s">
        <v>1065</v>
      </c>
      <c r="X31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Arab Mohammed Iftekhar (1029029)</v>
      </c>
      <c r="Y318">
        <v>120000</v>
      </c>
      <c r="Z318" s="29">
        <f t="shared" ca="1" si="5"/>
        <v>40</v>
      </c>
      <c r="AA318">
        <f ca="1">IF(T_EMPLOYEES[[#This Row],[EMPLOYEE NUMBER]]="","",ROW(T_EMPLOYEES[[#This Row],[EMPLOYEE LABEL]])-ROW(T_EMPLOYEES[[#Headers],[EMPLOYEE LABEL]]))</f>
        <v>315</v>
      </c>
      <c r="AB318">
        <f ca="1">IF(T_EMPLOYEES[[#This Row],[EMPLOYEE NUMBER]]="","",IF(COUNTIF(T_EMPLOYEES[EMPLOYEE NUMBER],T_EMPLOYEES[[#This Row],[EMPLOYEE NUMBER]])&gt;1,1,0))</f>
        <v>0</v>
      </c>
      <c r="AC318">
        <f ca="1">IF(T_EMPLOYEES[[#This Row],[EMPLOYEE NUMBER]]="","",IF(AND(T_EMPLOYEES[[#This Row],[DATE OF BIRTH]]&gt;0,T_EMPLOYEES[[#This Row],[DATE OF BIRTH]]&lt;TODAY()),0,1))</f>
        <v>0</v>
      </c>
      <c r="AD318">
        <f ca="1">IF(T_EMPLOYEES[[#This Row],[EMPLOYEE NUMBER]]="","",IF(AND(T_EMPLOYEES[[#This Row],[START DATE]]&gt;0,T_EMPLOYEES[[#This Row],[START DATE]]&lt;TODAY()+60),0,1))</f>
        <v>0</v>
      </c>
      <c r="AE318">
        <f ca="1">IF(T_EMPLOYEES[[#This Row],[EMPLOYEE NUMBER]]="","",MATCH(T_EMPLOYEES[[#This Row],[GENDER]],L_GENDER,0))</f>
        <v>1</v>
      </c>
      <c r="AF318">
        <f ca="1">IF(T_EMPLOYEES[[#This Row],[EMPLOYEE NUMBER]]="","",MATCH(T_EMPLOYEES[[#This Row],[HIRE SOURCE]],L_HIRESOURCE,0))</f>
        <v>4</v>
      </c>
      <c r="AG318">
        <f ca="1">IF(T_EMPLOYEES[[#This Row],[EMPLOYEE NUMBER]]="","",MATCH(T_EMPLOYEES[[#This Row],[ETHNICITY]],L_ETHNICITY,0))</f>
        <v>3</v>
      </c>
      <c r="AH318">
        <f ca="1">IF(T_EMPLOYEES[[#This Row],[EMPLOYEE NUMBER]]="","",MATCH(T_EMPLOYEES[[#This Row],[LOCATION]],L_LOCATION,0))</f>
        <v>1</v>
      </c>
      <c r="AI318">
        <f ca="1">IF(T_EMPLOYEES[[#This Row],[EMPLOYEE NUMBER]]="","",MATCH(T_EMPLOYEES[[#This Row],[DEPARTMENT]],L_DEPARTMENT,0))</f>
        <v>2</v>
      </c>
      <c r="AJ318">
        <f ca="1">IF(T_EMPLOYEES[[#This Row],[EMPLOYEE NUMBER]]="","",MATCH(T_EMPLOYEES[[#This Row],[JOB TYPE]],L_JOBTYPE,0))</f>
        <v>2</v>
      </c>
      <c r="AK318">
        <f ca="1">IF(T_EMPLOYEES[[#This Row],[EMPLOYEE NUMBER]]="","",MATCH(T_EMPLOYEES[[#This Row],[JOB CATEGORY]],L_JOBCATEGORY,0))</f>
        <v>35</v>
      </c>
      <c r="AL318">
        <f ca="1">IF(T_EMPLOYEES[[#This Row],[EMPLOYEE NUMBER]]="","",MATCH(T_EMPLOYEES[[#This Row],[JOB LEVEL]],L_JOBLEVEL,0))</f>
        <v>1</v>
      </c>
      <c r="AM318">
        <f ca="1">IF(T_EMPLOYEES[[#This Row],[EMPLOYEE NUMBER]]="","",MATCH(T_EMPLOYEES[[#This Row],[JOB TITLE]],L_JOBTITLE,0))</f>
        <v>35</v>
      </c>
      <c r="AN318">
        <f ca="1">IF(T_EMPLOYEES[[#This Row],[EMPLOYEE NUMBER]]="","",MATCH(T_EMPLOYEES[[#This Row],[MANAGER]],L_EMPLABELS,0))</f>
        <v>108</v>
      </c>
      <c r="AO318">
        <f ca="1">IF(T_EMPLOYEES[[#This Row],[EMPLOYEE NUMBER]]="","",IF(T_EMPLOYEES[[#This Row],[ERROR]]="",0,1))</f>
        <v>0</v>
      </c>
      <c r="AP31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9" spans="1:42">
      <c r="A319" t="s">
        <v>639</v>
      </c>
      <c r="B319" t="s">
        <v>1113</v>
      </c>
      <c r="C319">
        <v>1028386</v>
      </c>
      <c r="D319" t="s">
        <v>1114</v>
      </c>
      <c r="E319" s="26">
        <v>35022</v>
      </c>
      <c r="F319" s="26">
        <v>44613</v>
      </c>
      <c r="H319" t="s">
        <v>27</v>
      </c>
      <c r="I319" t="s">
        <v>54</v>
      </c>
      <c r="J319" t="s">
        <v>64</v>
      </c>
      <c r="K319" t="s">
        <v>30</v>
      </c>
      <c r="L319" s="27" t="s">
        <v>45</v>
      </c>
      <c r="M319" t="s">
        <v>46</v>
      </c>
      <c r="N319" t="s">
        <v>125</v>
      </c>
      <c r="O319" t="s">
        <v>71</v>
      </c>
      <c r="P319" t="s">
        <v>125</v>
      </c>
      <c r="Q319" t="s">
        <v>778</v>
      </c>
      <c r="R319">
        <v>5</v>
      </c>
      <c r="S319" s="1">
        <v>250000</v>
      </c>
      <c r="T319" s="1">
        <f ca="1">ROUND(T_EMPLOYEES[[#This Row],[EMP_CTC1]]/12, 0)</f>
        <v>20833</v>
      </c>
      <c r="U319" s="1">
        <v>150000</v>
      </c>
      <c r="V319" s="1" t="s">
        <v>1065</v>
      </c>
      <c r="W319" s="1" t="s">
        <v>1065</v>
      </c>
      <c r="X31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Shaik Khadheer Basha (1028386)</v>
      </c>
      <c r="Y319">
        <v>120000</v>
      </c>
      <c r="Z319" s="29">
        <f t="shared" ca="1" si="5"/>
        <v>40</v>
      </c>
      <c r="AA319">
        <f ca="1">IF(T_EMPLOYEES[[#This Row],[EMPLOYEE NUMBER]]="","",ROW(T_EMPLOYEES[[#This Row],[EMPLOYEE LABEL]])-ROW(T_EMPLOYEES[[#Headers],[EMPLOYEE LABEL]]))</f>
        <v>316</v>
      </c>
      <c r="AB319">
        <f ca="1">IF(T_EMPLOYEES[[#This Row],[EMPLOYEE NUMBER]]="","",IF(COUNTIF(T_EMPLOYEES[EMPLOYEE NUMBER],T_EMPLOYEES[[#This Row],[EMPLOYEE NUMBER]])&gt;1,1,0))</f>
        <v>0</v>
      </c>
      <c r="AC319">
        <f ca="1">IF(T_EMPLOYEES[[#This Row],[EMPLOYEE NUMBER]]="","",IF(AND(T_EMPLOYEES[[#This Row],[DATE OF BIRTH]]&gt;0,T_EMPLOYEES[[#This Row],[DATE OF BIRTH]]&lt;TODAY()),0,1))</f>
        <v>0</v>
      </c>
      <c r="AD319">
        <f ca="1">IF(T_EMPLOYEES[[#This Row],[EMPLOYEE NUMBER]]="","",IF(AND(T_EMPLOYEES[[#This Row],[START DATE]]&gt;0,T_EMPLOYEES[[#This Row],[START DATE]]&lt;TODAY()+60),0,1))</f>
        <v>0</v>
      </c>
      <c r="AE319">
        <f ca="1">IF(T_EMPLOYEES[[#This Row],[EMPLOYEE NUMBER]]="","",MATCH(T_EMPLOYEES[[#This Row],[GENDER]],L_GENDER,0))</f>
        <v>1</v>
      </c>
      <c r="AF319">
        <f ca="1">IF(T_EMPLOYEES[[#This Row],[EMPLOYEE NUMBER]]="","",MATCH(T_EMPLOYEES[[#This Row],[HIRE SOURCE]],L_HIRESOURCE,0))</f>
        <v>4</v>
      </c>
      <c r="AG319">
        <f ca="1">IF(T_EMPLOYEES[[#This Row],[EMPLOYEE NUMBER]]="","",MATCH(T_EMPLOYEES[[#This Row],[ETHNICITY]],L_ETHNICITY,0))</f>
        <v>3</v>
      </c>
      <c r="AH319">
        <f ca="1">IF(T_EMPLOYEES[[#This Row],[EMPLOYEE NUMBER]]="","",MATCH(T_EMPLOYEES[[#This Row],[LOCATION]],L_LOCATION,0))</f>
        <v>1</v>
      </c>
      <c r="AI319">
        <f ca="1">IF(T_EMPLOYEES[[#This Row],[EMPLOYEE NUMBER]]="","",MATCH(T_EMPLOYEES[[#This Row],[DEPARTMENT]],L_DEPARTMENT,0))</f>
        <v>2</v>
      </c>
      <c r="AJ319">
        <f ca="1">IF(T_EMPLOYEES[[#This Row],[EMPLOYEE NUMBER]]="","",MATCH(T_EMPLOYEES[[#This Row],[JOB TYPE]],L_JOBTYPE,0))</f>
        <v>2</v>
      </c>
      <c r="AK319">
        <f ca="1">IF(T_EMPLOYEES[[#This Row],[EMPLOYEE NUMBER]]="","",MATCH(T_EMPLOYEES[[#This Row],[JOB CATEGORY]],L_JOBCATEGORY,0))</f>
        <v>14</v>
      </c>
      <c r="AL319">
        <f ca="1">IF(T_EMPLOYEES[[#This Row],[EMPLOYEE NUMBER]]="","",MATCH(T_EMPLOYEES[[#This Row],[JOB LEVEL]],L_JOBLEVEL,0))</f>
        <v>4</v>
      </c>
      <c r="AM319">
        <f ca="1">IF(T_EMPLOYEES[[#This Row],[EMPLOYEE NUMBER]]="","",MATCH(T_EMPLOYEES[[#This Row],[JOB TITLE]],L_JOBTITLE,0))</f>
        <v>14</v>
      </c>
      <c r="AN319">
        <f ca="1">IF(T_EMPLOYEES[[#This Row],[EMPLOYEE NUMBER]]="","",MATCH(T_EMPLOYEES[[#This Row],[MANAGER]],L_EMPLABELS,0))</f>
        <v>198</v>
      </c>
      <c r="AO319">
        <f ca="1">IF(T_EMPLOYEES[[#This Row],[EMPLOYEE NUMBER]]="","",IF(T_EMPLOYEES[[#This Row],[ERROR]]="",0,1))</f>
        <v>0</v>
      </c>
      <c r="AP31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0" spans="1:42">
      <c r="A320" t="s">
        <v>1115</v>
      </c>
      <c r="B320" t="s">
        <v>763</v>
      </c>
      <c r="C320">
        <v>1028498</v>
      </c>
      <c r="D320" t="s">
        <v>1116</v>
      </c>
      <c r="E320" s="26">
        <v>35079</v>
      </c>
      <c r="F320" s="26">
        <v>44624</v>
      </c>
      <c r="H320" t="s">
        <v>27</v>
      </c>
      <c r="I320" t="s">
        <v>54</v>
      </c>
      <c r="J320" t="s">
        <v>64</v>
      </c>
      <c r="K320" t="s">
        <v>77</v>
      </c>
      <c r="L320" s="27" t="s">
        <v>45</v>
      </c>
      <c r="M320" t="s">
        <v>46</v>
      </c>
      <c r="N320" t="s">
        <v>160</v>
      </c>
      <c r="O320" t="s">
        <v>48</v>
      </c>
      <c r="P320" t="s">
        <v>160</v>
      </c>
      <c r="Q320" t="s">
        <v>284</v>
      </c>
      <c r="R320" s="27">
        <v>4</v>
      </c>
      <c r="S320" s="1">
        <v>250000</v>
      </c>
      <c r="T320" s="1">
        <f ca="1">ROUND(T_EMPLOYEES[[#This Row],[EMP_CTC1]]/12, 0)</f>
        <v>20833</v>
      </c>
      <c r="U320" s="1">
        <v>150000</v>
      </c>
      <c r="V320" s="1" t="s">
        <v>1065</v>
      </c>
      <c r="W320" s="1" t="s">
        <v>1065</v>
      </c>
      <c r="X32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Chandan  Kumar (1028498)</v>
      </c>
      <c r="Y320">
        <v>120000</v>
      </c>
      <c r="Z320" s="29">
        <f t="shared" ca="1" si="5"/>
        <v>40</v>
      </c>
      <c r="AA320">
        <f ca="1">IF(T_EMPLOYEES[[#This Row],[EMPLOYEE NUMBER]]="","",ROW(T_EMPLOYEES[[#This Row],[EMPLOYEE LABEL]])-ROW(T_EMPLOYEES[[#Headers],[EMPLOYEE LABEL]]))</f>
        <v>317</v>
      </c>
      <c r="AB320">
        <f ca="1">IF(T_EMPLOYEES[[#This Row],[EMPLOYEE NUMBER]]="","",IF(COUNTIF(T_EMPLOYEES[EMPLOYEE NUMBER],T_EMPLOYEES[[#This Row],[EMPLOYEE NUMBER]])&gt;1,1,0))</f>
        <v>0</v>
      </c>
      <c r="AC320">
        <f ca="1">IF(T_EMPLOYEES[[#This Row],[EMPLOYEE NUMBER]]="","",IF(AND(T_EMPLOYEES[[#This Row],[DATE OF BIRTH]]&gt;0,T_EMPLOYEES[[#This Row],[DATE OF BIRTH]]&lt;TODAY()),0,1))</f>
        <v>0</v>
      </c>
      <c r="AD320">
        <f ca="1">IF(T_EMPLOYEES[[#This Row],[EMPLOYEE NUMBER]]="","",IF(AND(T_EMPLOYEES[[#This Row],[START DATE]]&gt;0,T_EMPLOYEES[[#This Row],[START DATE]]&lt;TODAY()+60),0,1))</f>
        <v>0</v>
      </c>
      <c r="AE320">
        <f ca="1">IF(T_EMPLOYEES[[#This Row],[EMPLOYEE NUMBER]]="","",MATCH(T_EMPLOYEES[[#This Row],[GENDER]],L_GENDER,0))</f>
        <v>1</v>
      </c>
      <c r="AF320">
        <f ca="1">IF(T_EMPLOYEES[[#This Row],[EMPLOYEE NUMBER]]="","",MATCH(T_EMPLOYEES[[#This Row],[HIRE SOURCE]],L_HIRESOURCE,0))</f>
        <v>4</v>
      </c>
      <c r="AG320">
        <f ca="1">IF(T_EMPLOYEES[[#This Row],[EMPLOYEE NUMBER]]="","",MATCH(T_EMPLOYEES[[#This Row],[ETHNICITY]],L_ETHNICITY,0))</f>
        <v>3</v>
      </c>
      <c r="AH320">
        <f ca="1">IF(T_EMPLOYEES[[#This Row],[EMPLOYEE NUMBER]]="","",MATCH(T_EMPLOYEES[[#This Row],[LOCATION]],L_LOCATION,0))</f>
        <v>5</v>
      </c>
      <c r="AI320">
        <f ca="1">IF(T_EMPLOYEES[[#This Row],[EMPLOYEE NUMBER]]="","",MATCH(T_EMPLOYEES[[#This Row],[DEPARTMENT]],L_DEPARTMENT,0))</f>
        <v>2</v>
      </c>
      <c r="AJ320">
        <f ca="1">IF(T_EMPLOYEES[[#This Row],[EMPLOYEE NUMBER]]="","",MATCH(T_EMPLOYEES[[#This Row],[JOB TYPE]],L_JOBTYPE,0))</f>
        <v>2</v>
      </c>
      <c r="AK320">
        <f ca="1">IF(T_EMPLOYEES[[#This Row],[EMPLOYEE NUMBER]]="","",MATCH(T_EMPLOYEES[[#This Row],[JOB CATEGORY]],L_JOBCATEGORY,0))</f>
        <v>39</v>
      </c>
      <c r="AL320">
        <f ca="1">IF(T_EMPLOYEES[[#This Row],[EMPLOYEE NUMBER]]="","",MATCH(T_EMPLOYEES[[#This Row],[JOB LEVEL]],L_JOBLEVEL,0))</f>
        <v>2</v>
      </c>
      <c r="AM320">
        <f ca="1">IF(T_EMPLOYEES[[#This Row],[EMPLOYEE NUMBER]]="","",MATCH(T_EMPLOYEES[[#This Row],[JOB TITLE]],L_JOBTITLE,0))</f>
        <v>39</v>
      </c>
      <c r="AN320">
        <f ca="1">IF(T_EMPLOYEES[[#This Row],[EMPLOYEE NUMBER]]="","",MATCH(T_EMPLOYEES[[#This Row],[MANAGER]],L_EMPLABELS,0))</f>
        <v>96</v>
      </c>
      <c r="AO320">
        <f ca="1">IF(T_EMPLOYEES[[#This Row],[EMPLOYEE NUMBER]]="","",IF(T_EMPLOYEES[[#This Row],[ERROR]]="",0,1))</f>
        <v>0</v>
      </c>
      <c r="AP32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1" spans="1:42">
      <c r="A321" t="s">
        <v>1117</v>
      </c>
      <c r="B321" t="s">
        <v>1118</v>
      </c>
      <c r="C321">
        <v>1030012</v>
      </c>
      <c r="D321" t="s">
        <v>1119</v>
      </c>
      <c r="E321" s="26">
        <v>35079</v>
      </c>
      <c r="F321" s="26">
        <v>44799</v>
      </c>
      <c r="H321" t="s">
        <v>40</v>
      </c>
      <c r="I321" t="s">
        <v>54</v>
      </c>
      <c r="J321" t="s">
        <v>64</v>
      </c>
      <c r="K321" t="s">
        <v>55</v>
      </c>
      <c r="L321" s="27" t="s">
        <v>45</v>
      </c>
      <c r="M321" t="s">
        <v>46</v>
      </c>
      <c r="N321" t="s">
        <v>128</v>
      </c>
      <c r="O321" t="s">
        <v>60</v>
      </c>
      <c r="P321" t="s">
        <v>128</v>
      </c>
      <c r="Q321" t="s">
        <v>549</v>
      </c>
      <c r="R321">
        <v>4</v>
      </c>
      <c r="S321" s="1">
        <v>250000</v>
      </c>
      <c r="T321" s="1">
        <f ca="1">ROUND(T_EMPLOYEES[[#This Row],[EMP_CTC1]]/12, 0)</f>
        <v>20833</v>
      </c>
      <c r="U321" s="1">
        <v>150000</v>
      </c>
      <c r="V321" s="1" t="s">
        <v>1065</v>
      </c>
      <c r="W321" s="1" t="s">
        <v>1065</v>
      </c>
      <c r="X32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Divya  Shalini (1030012)</v>
      </c>
      <c r="Y321">
        <v>120000</v>
      </c>
      <c r="Z321" s="29">
        <f t="shared" ca="1" si="5"/>
        <v>40</v>
      </c>
      <c r="AA321">
        <f ca="1">IF(T_EMPLOYEES[[#This Row],[EMPLOYEE NUMBER]]="","",ROW(T_EMPLOYEES[[#This Row],[EMPLOYEE LABEL]])-ROW(T_EMPLOYEES[[#Headers],[EMPLOYEE LABEL]]))</f>
        <v>318</v>
      </c>
      <c r="AB321">
        <f ca="1">IF(T_EMPLOYEES[[#This Row],[EMPLOYEE NUMBER]]="","",IF(COUNTIF(T_EMPLOYEES[EMPLOYEE NUMBER],T_EMPLOYEES[[#This Row],[EMPLOYEE NUMBER]])&gt;1,1,0))</f>
        <v>0</v>
      </c>
      <c r="AC321">
        <f ca="1">IF(T_EMPLOYEES[[#This Row],[EMPLOYEE NUMBER]]="","",IF(AND(T_EMPLOYEES[[#This Row],[DATE OF BIRTH]]&gt;0,T_EMPLOYEES[[#This Row],[DATE OF BIRTH]]&lt;TODAY()),0,1))</f>
        <v>0</v>
      </c>
      <c r="AD321">
        <f ca="1">IF(T_EMPLOYEES[[#This Row],[EMPLOYEE NUMBER]]="","",IF(AND(T_EMPLOYEES[[#This Row],[START DATE]]&gt;0,T_EMPLOYEES[[#This Row],[START DATE]]&lt;TODAY()+60),0,1))</f>
        <v>0</v>
      </c>
      <c r="AE321">
        <f ca="1">IF(T_EMPLOYEES[[#This Row],[EMPLOYEE NUMBER]]="","",MATCH(T_EMPLOYEES[[#This Row],[GENDER]],L_GENDER,0))</f>
        <v>2</v>
      </c>
      <c r="AF321">
        <f ca="1">IF(T_EMPLOYEES[[#This Row],[EMPLOYEE NUMBER]]="","",MATCH(T_EMPLOYEES[[#This Row],[HIRE SOURCE]],L_HIRESOURCE,0))</f>
        <v>4</v>
      </c>
      <c r="AG321">
        <f ca="1">IF(T_EMPLOYEES[[#This Row],[EMPLOYEE NUMBER]]="","",MATCH(T_EMPLOYEES[[#This Row],[ETHNICITY]],L_ETHNICITY,0))</f>
        <v>3</v>
      </c>
      <c r="AH321">
        <f ca="1">IF(T_EMPLOYEES[[#This Row],[EMPLOYEE NUMBER]]="","",MATCH(T_EMPLOYEES[[#This Row],[LOCATION]],L_LOCATION,0))</f>
        <v>3</v>
      </c>
      <c r="AI321">
        <f ca="1">IF(T_EMPLOYEES[[#This Row],[EMPLOYEE NUMBER]]="","",MATCH(T_EMPLOYEES[[#This Row],[DEPARTMENT]],L_DEPARTMENT,0))</f>
        <v>2</v>
      </c>
      <c r="AJ321">
        <f ca="1">IF(T_EMPLOYEES[[#This Row],[EMPLOYEE NUMBER]]="","",MATCH(T_EMPLOYEES[[#This Row],[JOB TYPE]],L_JOBTYPE,0))</f>
        <v>2</v>
      </c>
      <c r="AK321">
        <f ca="1">IF(T_EMPLOYEES[[#This Row],[EMPLOYEE NUMBER]]="","",MATCH(T_EMPLOYEES[[#This Row],[JOB CATEGORY]],L_JOBCATEGORY,0))</f>
        <v>15</v>
      </c>
      <c r="AL321">
        <f ca="1">IF(T_EMPLOYEES[[#This Row],[EMPLOYEE NUMBER]]="","",MATCH(T_EMPLOYEES[[#This Row],[JOB LEVEL]],L_JOBLEVEL,0))</f>
        <v>3</v>
      </c>
      <c r="AM321">
        <f ca="1">IF(T_EMPLOYEES[[#This Row],[EMPLOYEE NUMBER]]="","",MATCH(T_EMPLOYEES[[#This Row],[JOB TITLE]],L_JOBTITLE,0))</f>
        <v>15</v>
      </c>
      <c r="AN321">
        <f ca="1">IF(T_EMPLOYEES[[#This Row],[EMPLOYEE NUMBER]]="","",MATCH(T_EMPLOYEES[[#This Row],[MANAGER]],L_EMPLABELS,0))</f>
        <v>50</v>
      </c>
      <c r="AO321">
        <f ca="1">IF(T_EMPLOYEES[[#This Row],[EMPLOYEE NUMBER]]="","",IF(T_EMPLOYEES[[#This Row],[ERROR]]="",0,1))</f>
        <v>0</v>
      </c>
      <c r="AP32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2" spans="1:42">
      <c r="A322" t="s">
        <v>63</v>
      </c>
      <c r="B322" t="s">
        <v>1120</v>
      </c>
      <c r="C322">
        <v>1031887</v>
      </c>
      <c r="D322" t="s">
        <v>1121</v>
      </c>
      <c r="E322" s="26">
        <v>35089</v>
      </c>
      <c r="F322" s="26">
        <v>44914</v>
      </c>
      <c r="H322" t="s">
        <v>27</v>
      </c>
      <c r="I322" t="s">
        <v>54</v>
      </c>
      <c r="J322" t="s">
        <v>64</v>
      </c>
      <c r="K322" t="s">
        <v>30</v>
      </c>
      <c r="L322" t="s">
        <v>130</v>
      </c>
      <c r="M322" t="s">
        <v>46</v>
      </c>
      <c r="N322" t="s">
        <v>128</v>
      </c>
      <c r="O322" t="s">
        <v>60</v>
      </c>
      <c r="P322" t="s">
        <v>128</v>
      </c>
      <c r="Q322" t="s">
        <v>337</v>
      </c>
      <c r="R322" s="27">
        <v>4</v>
      </c>
      <c r="S322" s="1">
        <v>250000</v>
      </c>
      <c r="T322" s="1">
        <f ca="1">ROUND(T_EMPLOYEES[[#This Row],[EMP_CTC1]]/12, 0)</f>
        <v>20833</v>
      </c>
      <c r="U322" s="1">
        <v>150000</v>
      </c>
      <c r="V322" s="1" t="s">
        <v>1065</v>
      </c>
      <c r="W322" s="1" t="s">
        <v>1065</v>
      </c>
      <c r="X32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 Dhinesh Kumar (1031887)</v>
      </c>
      <c r="Y322">
        <v>120000</v>
      </c>
      <c r="Z322" s="29">
        <f t="shared" ca="1" si="5"/>
        <v>40</v>
      </c>
      <c r="AA322">
        <f ca="1">IF(T_EMPLOYEES[[#This Row],[EMPLOYEE NUMBER]]="","",ROW(T_EMPLOYEES[[#This Row],[EMPLOYEE LABEL]])-ROW(T_EMPLOYEES[[#Headers],[EMPLOYEE LABEL]]))</f>
        <v>319</v>
      </c>
      <c r="AB322">
        <f ca="1">IF(T_EMPLOYEES[[#This Row],[EMPLOYEE NUMBER]]="","",IF(COUNTIF(T_EMPLOYEES[EMPLOYEE NUMBER],T_EMPLOYEES[[#This Row],[EMPLOYEE NUMBER]])&gt;1,1,0))</f>
        <v>0</v>
      </c>
      <c r="AC322">
        <f ca="1">IF(T_EMPLOYEES[[#This Row],[EMPLOYEE NUMBER]]="","",IF(AND(T_EMPLOYEES[[#This Row],[DATE OF BIRTH]]&gt;0,T_EMPLOYEES[[#This Row],[DATE OF BIRTH]]&lt;TODAY()),0,1))</f>
        <v>0</v>
      </c>
      <c r="AD322">
        <f ca="1">IF(T_EMPLOYEES[[#This Row],[EMPLOYEE NUMBER]]="","",IF(AND(T_EMPLOYEES[[#This Row],[START DATE]]&gt;0,T_EMPLOYEES[[#This Row],[START DATE]]&lt;TODAY()+60),0,1))</f>
        <v>0</v>
      </c>
      <c r="AE322">
        <f ca="1">IF(T_EMPLOYEES[[#This Row],[EMPLOYEE NUMBER]]="","",MATCH(T_EMPLOYEES[[#This Row],[GENDER]],L_GENDER,0))</f>
        <v>1</v>
      </c>
      <c r="AF322">
        <f ca="1">IF(T_EMPLOYEES[[#This Row],[EMPLOYEE NUMBER]]="","",MATCH(T_EMPLOYEES[[#This Row],[HIRE SOURCE]],L_HIRESOURCE,0))</f>
        <v>4</v>
      </c>
      <c r="AG322">
        <f ca="1">IF(T_EMPLOYEES[[#This Row],[EMPLOYEE NUMBER]]="","",MATCH(T_EMPLOYEES[[#This Row],[ETHNICITY]],L_ETHNICITY,0))</f>
        <v>3</v>
      </c>
      <c r="AH322">
        <f ca="1">IF(T_EMPLOYEES[[#This Row],[EMPLOYEE NUMBER]]="","",MATCH(T_EMPLOYEES[[#This Row],[LOCATION]],L_LOCATION,0))</f>
        <v>1</v>
      </c>
      <c r="AI322">
        <f ca="1">IF(T_EMPLOYEES[[#This Row],[EMPLOYEE NUMBER]]="","",MATCH(T_EMPLOYEES[[#This Row],[DEPARTMENT]],L_DEPARTMENT,0))</f>
        <v>16</v>
      </c>
      <c r="AJ322">
        <f ca="1">IF(T_EMPLOYEES[[#This Row],[EMPLOYEE NUMBER]]="","",MATCH(T_EMPLOYEES[[#This Row],[JOB TYPE]],L_JOBTYPE,0))</f>
        <v>2</v>
      </c>
      <c r="AK322">
        <f ca="1">IF(T_EMPLOYEES[[#This Row],[EMPLOYEE NUMBER]]="","",MATCH(T_EMPLOYEES[[#This Row],[JOB CATEGORY]],L_JOBCATEGORY,0))</f>
        <v>15</v>
      </c>
      <c r="AL322">
        <f ca="1">IF(T_EMPLOYEES[[#This Row],[EMPLOYEE NUMBER]]="","",MATCH(T_EMPLOYEES[[#This Row],[JOB LEVEL]],L_JOBLEVEL,0))</f>
        <v>3</v>
      </c>
      <c r="AM322">
        <f ca="1">IF(T_EMPLOYEES[[#This Row],[EMPLOYEE NUMBER]]="","",MATCH(T_EMPLOYEES[[#This Row],[JOB TITLE]],L_JOBTITLE,0))</f>
        <v>15</v>
      </c>
      <c r="AN322">
        <f ca="1">IF(T_EMPLOYEES[[#This Row],[EMPLOYEE NUMBER]]="","",MATCH(T_EMPLOYEES[[#This Row],[MANAGER]],L_EMPLABELS,0))</f>
        <v>48</v>
      </c>
      <c r="AO322">
        <f ca="1">IF(T_EMPLOYEES[[#This Row],[EMPLOYEE NUMBER]]="","",IF(T_EMPLOYEES[[#This Row],[ERROR]]="",0,1))</f>
        <v>0</v>
      </c>
      <c r="AP32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3" spans="1:42">
      <c r="A323" t="s">
        <v>840</v>
      </c>
      <c r="B323" t="s">
        <v>1122</v>
      </c>
      <c r="C323">
        <v>1033626</v>
      </c>
      <c r="D323" t="s">
        <v>1123</v>
      </c>
      <c r="E323" s="26">
        <v>35099</v>
      </c>
      <c r="F323" s="26">
        <v>45198</v>
      </c>
      <c r="H323" t="s">
        <v>27</v>
      </c>
      <c r="I323" t="s">
        <v>54</v>
      </c>
      <c r="J323" t="s">
        <v>64</v>
      </c>
      <c r="K323" t="s">
        <v>30</v>
      </c>
      <c r="L323" s="27" t="s">
        <v>118</v>
      </c>
      <c r="M323" t="s">
        <v>46</v>
      </c>
      <c r="N323" t="s">
        <v>128</v>
      </c>
      <c r="O323" t="s">
        <v>60</v>
      </c>
      <c r="P323" t="s">
        <v>128</v>
      </c>
      <c r="Q323" t="s">
        <v>353</v>
      </c>
      <c r="R323">
        <v>4</v>
      </c>
      <c r="S323" s="1">
        <v>250000</v>
      </c>
      <c r="T323" s="1">
        <f ca="1">ROUND(T_EMPLOYEES[[#This Row],[EMP_CTC1]]/12, 0)</f>
        <v>20833</v>
      </c>
      <c r="U323" s="1">
        <v>150000</v>
      </c>
      <c r="V323" s="1" t="s">
        <v>1065</v>
      </c>
      <c r="W323" s="1" t="s">
        <v>1065</v>
      </c>
      <c r="X32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 Clement    (1033626)</v>
      </c>
      <c r="Y323">
        <v>120000</v>
      </c>
      <c r="Z323" s="29">
        <f t="shared" ca="1" si="5"/>
        <v>40</v>
      </c>
      <c r="AA323">
        <f ca="1">IF(T_EMPLOYEES[[#This Row],[EMPLOYEE NUMBER]]="","",ROW(T_EMPLOYEES[[#This Row],[EMPLOYEE LABEL]])-ROW(T_EMPLOYEES[[#Headers],[EMPLOYEE LABEL]]))</f>
        <v>320</v>
      </c>
      <c r="AB323">
        <f ca="1">IF(T_EMPLOYEES[[#This Row],[EMPLOYEE NUMBER]]="","",IF(COUNTIF(T_EMPLOYEES[EMPLOYEE NUMBER],T_EMPLOYEES[[#This Row],[EMPLOYEE NUMBER]])&gt;1,1,0))</f>
        <v>0</v>
      </c>
      <c r="AC323">
        <f ca="1">IF(T_EMPLOYEES[[#This Row],[EMPLOYEE NUMBER]]="","",IF(AND(T_EMPLOYEES[[#This Row],[DATE OF BIRTH]]&gt;0,T_EMPLOYEES[[#This Row],[DATE OF BIRTH]]&lt;TODAY()),0,1))</f>
        <v>0</v>
      </c>
      <c r="AD323">
        <f ca="1">IF(T_EMPLOYEES[[#This Row],[EMPLOYEE NUMBER]]="","",IF(AND(T_EMPLOYEES[[#This Row],[START DATE]]&gt;0,T_EMPLOYEES[[#This Row],[START DATE]]&lt;TODAY()+60),0,1))</f>
        <v>0</v>
      </c>
      <c r="AE323">
        <f ca="1">IF(T_EMPLOYEES[[#This Row],[EMPLOYEE NUMBER]]="","",MATCH(T_EMPLOYEES[[#This Row],[GENDER]],L_GENDER,0))</f>
        <v>1</v>
      </c>
      <c r="AF323">
        <f ca="1">IF(T_EMPLOYEES[[#This Row],[EMPLOYEE NUMBER]]="","",MATCH(T_EMPLOYEES[[#This Row],[HIRE SOURCE]],L_HIRESOURCE,0))</f>
        <v>4</v>
      </c>
      <c r="AG323">
        <f ca="1">IF(T_EMPLOYEES[[#This Row],[EMPLOYEE NUMBER]]="","",MATCH(T_EMPLOYEES[[#This Row],[ETHNICITY]],L_ETHNICITY,0))</f>
        <v>3</v>
      </c>
      <c r="AH323">
        <f ca="1">IF(T_EMPLOYEES[[#This Row],[EMPLOYEE NUMBER]]="","",MATCH(T_EMPLOYEES[[#This Row],[LOCATION]],L_LOCATION,0))</f>
        <v>1</v>
      </c>
      <c r="AI323">
        <f ca="1">IF(T_EMPLOYEES[[#This Row],[EMPLOYEE NUMBER]]="","",MATCH(T_EMPLOYEES[[#This Row],[DEPARTMENT]],L_DEPARTMENT,0))</f>
        <v>12</v>
      </c>
      <c r="AJ323">
        <f ca="1">IF(T_EMPLOYEES[[#This Row],[EMPLOYEE NUMBER]]="","",MATCH(T_EMPLOYEES[[#This Row],[JOB TYPE]],L_JOBTYPE,0))</f>
        <v>2</v>
      </c>
      <c r="AK323">
        <f ca="1">IF(T_EMPLOYEES[[#This Row],[EMPLOYEE NUMBER]]="","",MATCH(T_EMPLOYEES[[#This Row],[JOB CATEGORY]],L_JOBCATEGORY,0))</f>
        <v>15</v>
      </c>
      <c r="AL323">
        <f ca="1">IF(T_EMPLOYEES[[#This Row],[EMPLOYEE NUMBER]]="","",MATCH(T_EMPLOYEES[[#This Row],[JOB LEVEL]],L_JOBLEVEL,0))</f>
        <v>3</v>
      </c>
      <c r="AM323">
        <f ca="1">IF(T_EMPLOYEES[[#This Row],[EMPLOYEE NUMBER]]="","",MATCH(T_EMPLOYEES[[#This Row],[JOB TITLE]],L_JOBTITLE,0))</f>
        <v>15</v>
      </c>
      <c r="AN323">
        <f ca="1">IF(T_EMPLOYEES[[#This Row],[EMPLOYEE NUMBER]]="","",MATCH(T_EMPLOYEES[[#This Row],[MANAGER]],L_EMPLABELS,0))</f>
        <v>137</v>
      </c>
      <c r="AO323">
        <f ca="1">IF(T_EMPLOYEES[[#This Row],[EMPLOYEE NUMBER]]="","",IF(T_EMPLOYEES[[#This Row],[ERROR]]="",0,1))</f>
        <v>0</v>
      </c>
      <c r="AP32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4" spans="1:42">
      <c r="A324" t="s">
        <v>1124</v>
      </c>
      <c r="B324" t="s">
        <v>1125</v>
      </c>
      <c r="C324">
        <v>1027315</v>
      </c>
      <c r="D324" t="s">
        <v>1126</v>
      </c>
      <c r="E324" s="26">
        <v>35101</v>
      </c>
      <c r="F324" s="26">
        <v>44524</v>
      </c>
      <c r="H324" t="s">
        <v>27</v>
      </c>
      <c r="I324" t="s">
        <v>54</v>
      </c>
      <c r="J324" t="s">
        <v>64</v>
      </c>
      <c r="K324" t="s">
        <v>43</v>
      </c>
      <c r="L324" s="27" t="s">
        <v>45</v>
      </c>
      <c r="M324" t="s">
        <v>46</v>
      </c>
      <c r="N324" t="s">
        <v>128</v>
      </c>
      <c r="O324" t="s">
        <v>60</v>
      </c>
      <c r="P324" t="s">
        <v>128</v>
      </c>
      <c r="Q324" t="s">
        <v>218</v>
      </c>
      <c r="R324" s="27">
        <v>4</v>
      </c>
      <c r="S324" s="1">
        <v>250000</v>
      </c>
      <c r="T324" s="1">
        <f ca="1">ROUND(T_EMPLOYEES[[#This Row],[EMP_CTC1]]/12, 0)</f>
        <v>20833</v>
      </c>
      <c r="U324" s="1">
        <v>150000</v>
      </c>
      <c r="V324" s="1" t="s">
        <v>1065</v>
      </c>
      <c r="W324" s="1" t="s">
        <v>1065</v>
      </c>
      <c r="X32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Gundapaneni Madhu Kiran (1027315)</v>
      </c>
      <c r="Y324">
        <v>120000</v>
      </c>
      <c r="Z324" s="29">
        <f t="shared" ca="1" si="5"/>
        <v>40</v>
      </c>
      <c r="AA324">
        <f ca="1">IF(T_EMPLOYEES[[#This Row],[EMPLOYEE NUMBER]]="","",ROW(T_EMPLOYEES[[#This Row],[EMPLOYEE LABEL]])-ROW(T_EMPLOYEES[[#Headers],[EMPLOYEE LABEL]]))</f>
        <v>321</v>
      </c>
      <c r="AB324">
        <f ca="1">IF(T_EMPLOYEES[[#This Row],[EMPLOYEE NUMBER]]="","",IF(COUNTIF(T_EMPLOYEES[EMPLOYEE NUMBER],T_EMPLOYEES[[#This Row],[EMPLOYEE NUMBER]])&gt;1,1,0))</f>
        <v>0</v>
      </c>
      <c r="AC324">
        <f ca="1">IF(T_EMPLOYEES[[#This Row],[EMPLOYEE NUMBER]]="","",IF(AND(T_EMPLOYEES[[#This Row],[DATE OF BIRTH]]&gt;0,T_EMPLOYEES[[#This Row],[DATE OF BIRTH]]&lt;TODAY()),0,1))</f>
        <v>0</v>
      </c>
      <c r="AD324">
        <f ca="1">IF(T_EMPLOYEES[[#This Row],[EMPLOYEE NUMBER]]="","",IF(AND(T_EMPLOYEES[[#This Row],[START DATE]]&gt;0,T_EMPLOYEES[[#This Row],[START DATE]]&lt;TODAY()+60),0,1))</f>
        <v>0</v>
      </c>
      <c r="AE324">
        <f ca="1">IF(T_EMPLOYEES[[#This Row],[EMPLOYEE NUMBER]]="","",MATCH(T_EMPLOYEES[[#This Row],[GENDER]],L_GENDER,0))</f>
        <v>1</v>
      </c>
      <c r="AF324">
        <f ca="1">IF(T_EMPLOYEES[[#This Row],[EMPLOYEE NUMBER]]="","",MATCH(T_EMPLOYEES[[#This Row],[HIRE SOURCE]],L_HIRESOURCE,0))</f>
        <v>4</v>
      </c>
      <c r="AG324">
        <f ca="1">IF(T_EMPLOYEES[[#This Row],[EMPLOYEE NUMBER]]="","",MATCH(T_EMPLOYEES[[#This Row],[ETHNICITY]],L_ETHNICITY,0))</f>
        <v>3</v>
      </c>
      <c r="AH324">
        <f ca="1">IF(T_EMPLOYEES[[#This Row],[EMPLOYEE NUMBER]]="","",MATCH(T_EMPLOYEES[[#This Row],[LOCATION]],L_LOCATION,0))</f>
        <v>2</v>
      </c>
      <c r="AI324">
        <f ca="1">IF(T_EMPLOYEES[[#This Row],[EMPLOYEE NUMBER]]="","",MATCH(T_EMPLOYEES[[#This Row],[DEPARTMENT]],L_DEPARTMENT,0))</f>
        <v>2</v>
      </c>
      <c r="AJ324">
        <f ca="1">IF(T_EMPLOYEES[[#This Row],[EMPLOYEE NUMBER]]="","",MATCH(T_EMPLOYEES[[#This Row],[JOB TYPE]],L_JOBTYPE,0))</f>
        <v>2</v>
      </c>
      <c r="AK324">
        <f ca="1">IF(T_EMPLOYEES[[#This Row],[EMPLOYEE NUMBER]]="","",MATCH(T_EMPLOYEES[[#This Row],[JOB CATEGORY]],L_JOBCATEGORY,0))</f>
        <v>15</v>
      </c>
      <c r="AL324">
        <f ca="1">IF(T_EMPLOYEES[[#This Row],[EMPLOYEE NUMBER]]="","",MATCH(T_EMPLOYEES[[#This Row],[JOB LEVEL]],L_JOBLEVEL,0))</f>
        <v>3</v>
      </c>
      <c r="AM324">
        <f ca="1">IF(T_EMPLOYEES[[#This Row],[EMPLOYEE NUMBER]]="","",MATCH(T_EMPLOYEES[[#This Row],[JOB TITLE]],L_JOBTITLE,0))</f>
        <v>15</v>
      </c>
      <c r="AN324">
        <f ca="1">IF(T_EMPLOYEES[[#This Row],[EMPLOYEE NUMBER]]="","",MATCH(T_EMPLOYEES[[#This Row],[MANAGER]],L_EMPLABELS,0))</f>
        <v>43</v>
      </c>
      <c r="AO324">
        <f ca="1">IF(T_EMPLOYEES[[#This Row],[EMPLOYEE NUMBER]]="","",IF(T_EMPLOYEES[[#This Row],[ERROR]]="",0,1))</f>
        <v>0</v>
      </c>
      <c r="AP32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5" spans="1:42">
      <c r="A325" t="s">
        <v>1127</v>
      </c>
      <c r="B325" t="s">
        <v>1128</v>
      </c>
      <c r="C325">
        <v>1031042</v>
      </c>
      <c r="D325" t="s">
        <v>1129</v>
      </c>
      <c r="E325" s="26">
        <v>35113</v>
      </c>
      <c r="F325" s="26">
        <v>44889</v>
      </c>
      <c r="H325" t="s">
        <v>27</v>
      </c>
      <c r="I325" t="s">
        <v>54</v>
      </c>
      <c r="J325" t="s">
        <v>64</v>
      </c>
      <c r="K325" t="s">
        <v>30</v>
      </c>
      <c r="L325" s="27" t="s">
        <v>114</v>
      </c>
      <c r="M325" t="s">
        <v>46</v>
      </c>
      <c r="N325" t="s">
        <v>151</v>
      </c>
      <c r="O325" t="s">
        <v>36</v>
      </c>
      <c r="P325" t="s">
        <v>151</v>
      </c>
      <c r="Q325" t="s">
        <v>206</v>
      </c>
      <c r="R325">
        <v>0</v>
      </c>
      <c r="S325" s="1">
        <v>250000</v>
      </c>
      <c r="T325" s="1">
        <f ca="1">ROUND(T_EMPLOYEES[[#This Row],[EMP_CTC1]]/12, 0)</f>
        <v>20833</v>
      </c>
      <c r="U325" s="1">
        <v>150000</v>
      </c>
      <c r="V325" s="1" t="s">
        <v>1065</v>
      </c>
      <c r="W325" s="1" t="s">
        <v>1065</v>
      </c>
      <c r="X32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Afzal Khan (1031042)</v>
      </c>
      <c r="Y325">
        <v>120000</v>
      </c>
      <c r="Z325" s="29">
        <f t="shared" ca="1" si="5"/>
        <v>40</v>
      </c>
      <c r="AA325">
        <f ca="1">IF(T_EMPLOYEES[[#This Row],[EMPLOYEE NUMBER]]="","",ROW(T_EMPLOYEES[[#This Row],[EMPLOYEE LABEL]])-ROW(T_EMPLOYEES[[#Headers],[EMPLOYEE LABEL]]))</f>
        <v>322</v>
      </c>
      <c r="AB325">
        <f ca="1">IF(T_EMPLOYEES[[#This Row],[EMPLOYEE NUMBER]]="","",IF(COUNTIF(T_EMPLOYEES[EMPLOYEE NUMBER],T_EMPLOYEES[[#This Row],[EMPLOYEE NUMBER]])&gt;1,1,0))</f>
        <v>0</v>
      </c>
      <c r="AC325">
        <f ca="1">IF(T_EMPLOYEES[[#This Row],[EMPLOYEE NUMBER]]="","",IF(AND(T_EMPLOYEES[[#This Row],[DATE OF BIRTH]]&gt;0,T_EMPLOYEES[[#This Row],[DATE OF BIRTH]]&lt;TODAY()),0,1))</f>
        <v>0</v>
      </c>
      <c r="AD325">
        <f ca="1">IF(T_EMPLOYEES[[#This Row],[EMPLOYEE NUMBER]]="","",IF(AND(T_EMPLOYEES[[#This Row],[START DATE]]&gt;0,T_EMPLOYEES[[#This Row],[START DATE]]&lt;TODAY()+60),0,1))</f>
        <v>0</v>
      </c>
      <c r="AE325">
        <f ca="1">IF(T_EMPLOYEES[[#This Row],[EMPLOYEE NUMBER]]="","",MATCH(T_EMPLOYEES[[#This Row],[GENDER]],L_GENDER,0))</f>
        <v>1</v>
      </c>
      <c r="AF325">
        <f ca="1">IF(T_EMPLOYEES[[#This Row],[EMPLOYEE NUMBER]]="","",MATCH(T_EMPLOYEES[[#This Row],[HIRE SOURCE]],L_HIRESOURCE,0))</f>
        <v>4</v>
      </c>
      <c r="AG325">
        <f ca="1">IF(T_EMPLOYEES[[#This Row],[EMPLOYEE NUMBER]]="","",MATCH(T_EMPLOYEES[[#This Row],[ETHNICITY]],L_ETHNICITY,0))</f>
        <v>3</v>
      </c>
      <c r="AH325">
        <f ca="1">IF(T_EMPLOYEES[[#This Row],[EMPLOYEE NUMBER]]="","",MATCH(T_EMPLOYEES[[#This Row],[LOCATION]],L_LOCATION,0))</f>
        <v>1</v>
      </c>
      <c r="AI325">
        <f ca="1">IF(T_EMPLOYEES[[#This Row],[EMPLOYEE NUMBER]]="","",MATCH(T_EMPLOYEES[[#This Row],[DEPARTMENT]],L_DEPARTMENT,0))</f>
        <v>11</v>
      </c>
      <c r="AJ325">
        <f ca="1">IF(T_EMPLOYEES[[#This Row],[EMPLOYEE NUMBER]]="","",MATCH(T_EMPLOYEES[[#This Row],[JOB TYPE]],L_JOBTYPE,0))</f>
        <v>2</v>
      </c>
      <c r="AK325">
        <f ca="1">IF(T_EMPLOYEES[[#This Row],[EMPLOYEE NUMBER]]="","",MATCH(T_EMPLOYEES[[#This Row],[JOB CATEGORY]],L_JOBCATEGORY,0))</f>
        <v>30</v>
      </c>
      <c r="AL325">
        <f ca="1">IF(T_EMPLOYEES[[#This Row],[EMPLOYEE NUMBER]]="","",MATCH(T_EMPLOYEES[[#This Row],[JOB LEVEL]],L_JOBLEVEL,0))</f>
        <v>1</v>
      </c>
      <c r="AM325">
        <f ca="1">IF(T_EMPLOYEES[[#This Row],[EMPLOYEE NUMBER]]="","",MATCH(T_EMPLOYEES[[#This Row],[JOB TITLE]],L_JOBTITLE,0))</f>
        <v>30</v>
      </c>
      <c r="AN325">
        <f ca="1">IF(T_EMPLOYEES[[#This Row],[EMPLOYEE NUMBER]]="","",MATCH(T_EMPLOYEES[[#This Row],[MANAGER]],L_EMPLABELS,0))</f>
        <v>6</v>
      </c>
      <c r="AO325">
        <f ca="1">IF(T_EMPLOYEES[[#This Row],[EMPLOYEE NUMBER]]="","",IF(T_EMPLOYEES[[#This Row],[ERROR]]="",0,1))</f>
        <v>0</v>
      </c>
      <c r="AP32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6" spans="1:42">
      <c r="A326" t="s">
        <v>1130</v>
      </c>
      <c r="C326">
        <v>1026264</v>
      </c>
      <c r="D326" t="s">
        <v>1131</v>
      </c>
      <c r="E326" s="26">
        <v>35133</v>
      </c>
      <c r="F326" s="26">
        <v>44435</v>
      </c>
      <c r="H326" t="s">
        <v>40</v>
      </c>
      <c r="I326" t="s">
        <v>54</v>
      </c>
      <c r="J326" t="s">
        <v>64</v>
      </c>
      <c r="K326" t="s">
        <v>30</v>
      </c>
      <c r="L326" s="27" t="s">
        <v>110</v>
      </c>
      <c r="M326" t="s">
        <v>46</v>
      </c>
      <c r="N326" t="s">
        <v>148</v>
      </c>
      <c r="O326" t="s">
        <v>48</v>
      </c>
      <c r="P326" t="s">
        <v>148</v>
      </c>
      <c r="Q326" t="s">
        <v>861</v>
      </c>
      <c r="R326" s="27">
        <v>4</v>
      </c>
      <c r="S326" s="1">
        <v>250000</v>
      </c>
      <c r="T326" s="1">
        <f ca="1">ROUND(T_EMPLOYEES[[#This Row],[EMP_CTC1]]/12, 0)</f>
        <v>20833</v>
      </c>
      <c r="U326" s="1">
        <v>150000</v>
      </c>
      <c r="V326" s="1" t="s">
        <v>1065</v>
      </c>
      <c r="W326" s="1" t="s">
        <v>1065</v>
      </c>
      <c r="X32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Supreetha  (1026264)</v>
      </c>
      <c r="Y326">
        <v>120000</v>
      </c>
      <c r="Z326" s="29">
        <f t="shared" ref="Z326:Z389" ca="1" si="6">(S326 - U326)/S326 * 100</f>
        <v>40</v>
      </c>
      <c r="AA326">
        <f ca="1">IF(T_EMPLOYEES[[#This Row],[EMPLOYEE NUMBER]]="","",ROW(T_EMPLOYEES[[#This Row],[EMPLOYEE LABEL]])-ROW(T_EMPLOYEES[[#Headers],[EMPLOYEE LABEL]]))</f>
        <v>323</v>
      </c>
      <c r="AB326">
        <f ca="1">IF(T_EMPLOYEES[[#This Row],[EMPLOYEE NUMBER]]="","",IF(COUNTIF(T_EMPLOYEES[EMPLOYEE NUMBER],T_EMPLOYEES[[#This Row],[EMPLOYEE NUMBER]])&gt;1,1,0))</f>
        <v>0</v>
      </c>
      <c r="AC326">
        <f ca="1">IF(T_EMPLOYEES[[#This Row],[EMPLOYEE NUMBER]]="","",IF(AND(T_EMPLOYEES[[#This Row],[DATE OF BIRTH]]&gt;0,T_EMPLOYEES[[#This Row],[DATE OF BIRTH]]&lt;TODAY()),0,1))</f>
        <v>0</v>
      </c>
      <c r="AD326">
        <f ca="1">IF(T_EMPLOYEES[[#This Row],[EMPLOYEE NUMBER]]="","",IF(AND(T_EMPLOYEES[[#This Row],[START DATE]]&gt;0,T_EMPLOYEES[[#This Row],[START DATE]]&lt;TODAY()+60),0,1))</f>
        <v>0</v>
      </c>
      <c r="AE326">
        <f ca="1">IF(T_EMPLOYEES[[#This Row],[EMPLOYEE NUMBER]]="","",MATCH(T_EMPLOYEES[[#This Row],[GENDER]],L_GENDER,0))</f>
        <v>2</v>
      </c>
      <c r="AF326">
        <f ca="1">IF(T_EMPLOYEES[[#This Row],[EMPLOYEE NUMBER]]="","",MATCH(T_EMPLOYEES[[#This Row],[HIRE SOURCE]],L_HIRESOURCE,0))</f>
        <v>4</v>
      </c>
      <c r="AG326">
        <f ca="1">IF(T_EMPLOYEES[[#This Row],[EMPLOYEE NUMBER]]="","",MATCH(T_EMPLOYEES[[#This Row],[ETHNICITY]],L_ETHNICITY,0))</f>
        <v>3</v>
      </c>
      <c r="AH326">
        <f ca="1">IF(T_EMPLOYEES[[#This Row],[EMPLOYEE NUMBER]]="","",MATCH(T_EMPLOYEES[[#This Row],[LOCATION]],L_LOCATION,0))</f>
        <v>1</v>
      </c>
      <c r="AI326">
        <f ca="1">IF(T_EMPLOYEES[[#This Row],[EMPLOYEE NUMBER]]="","",MATCH(T_EMPLOYEES[[#This Row],[DEPARTMENT]],L_DEPARTMENT,0))</f>
        <v>10</v>
      </c>
      <c r="AJ326">
        <f ca="1">IF(T_EMPLOYEES[[#This Row],[EMPLOYEE NUMBER]]="","",MATCH(T_EMPLOYEES[[#This Row],[JOB TYPE]],L_JOBTYPE,0))</f>
        <v>2</v>
      </c>
      <c r="AK326">
        <f ca="1">IF(T_EMPLOYEES[[#This Row],[EMPLOYEE NUMBER]]="","",MATCH(T_EMPLOYEES[[#This Row],[JOB CATEGORY]],L_JOBCATEGORY,0))</f>
        <v>27</v>
      </c>
      <c r="AL326">
        <f ca="1">IF(T_EMPLOYEES[[#This Row],[EMPLOYEE NUMBER]]="","",MATCH(T_EMPLOYEES[[#This Row],[JOB LEVEL]],L_JOBLEVEL,0))</f>
        <v>2</v>
      </c>
      <c r="AM326">
        <f ca="1">IF(T_EMPLOYEES[[#This Row],[EMPLOYEE NUMBER]]="","",MATCH(T_EMPLOYEES[[#This Row],[JOB TITLE]],L_JOBTITLE,0))</f>
        <v>27</v>
      </c>
      <c r="AN326">
        <f ca="1">IF(T_EMPLOYEES[[#This Row],[EMPLOYEE NUMBER]]="","",MATCH(T_EMPLOYEES[[#This Row],[MANAGER]],L_EMPLABELS,0))</f>
        <v>130</v>
      </c>
      <c r="AO326">
        <f ca="1">IF(T_EMPLOYEES[[#This Row],[EMPLOYEE NUMBER]]="","",IF(T_EMPLOYEES[[#This Row],[ERROR]]="",0,1))</f>
        <v>0</v>
      </c>
      <c r="AP32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7" spans="1:42">
      <c r="A327" t="s">
        <v>1132</v>
      </c>
      <c r="B327" t="s">
        <v>1133</v>
      </c>
      <c r="C327">
        <v>1033500</v>
      </c>
      <c r="D327" t="s">
        <v>1134</v>
      </c>
      <c r="E327" s="26">
        <v>35200</v>
      </c>
      <c r="F327" s="26">
        <v>45177</v>
      </c>
      <c r="H327" t="s">
        <v>27</v>
      </c>
      <c r="I327" t="s">
        <v>54</v>
      </c>
      <c r="J327" t="s">
        <v>64</v>
      </c>
      <c r="K327" t="s">
        <v>30</v>
      </c>
      <c r="L327" s="27" t="s">
        <v>45</v>
      </c>
      <c r="M327" t="s">
        <v>46</v>
      </c>
      <c r="N327" t="s">
        <v>159</v>
      </c>
      <c r="O327" t="s">
        <v>48</v>
      </c>
      <c r="P327" t="s">
        <v>159</v>
      </c>
      <c r="Q327" t="s">
        <v>1135</v>
      </c>
      <c r="R327">
        <v>4</v>
      </c>
      <c r="S327" s="1">
        <v>250000</v>
      </c>
      <c r="T327" s="1">
        <f ca="1">ROUND(T_EMPLOYEES[[#This Row],[EMP_CTC1]]/12, 0)</f>
        <v>20833</v>
      </c>
      <c r="U327" s="1">
        <v>150000</v>
      </c>
      <c r="V327" s="1" t="s">
        <v>1065</v>
      </c>
      <c r="W327" s="1" t="s">
        <v>1065</v>
      </c>
      <c r="X32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Ganesha M D (1033500)</v>
      </c>
      <c r="Y327">
        <v>120000</v>
      </c>
      <c r="Z327" s="29">
        <f t="shared" ca="1" si="6"/>
        <v>40</v>
      </c>
      <c r="AA327">
        <f ca="1">IF(T_EMPLOYEES[[#This Row],[EMPLOYEE NUMBER]]="","",ROW(T_EMPLOYEES[[#This Row],[EMPLOYEE LABEL]])-ROW(T_EMPLOYEES[[#Headers],[EMPLOYEE LABEL]]))</f>
        <v>324</v>
      </c>
      <c r="AB327">
        <f ca="1">IF(T_EMPLOYEES[[#This Row],[EMPLOYEE NUMBER]]="","",IF(COUNTIF(T_EMPLOYEES[EMPLOYEE NUMBER],T_EMPLOYEES[[#This Row],[EMPLOYEE NUMBER]])&gt;1,1,0))</f>
        <v>0</v>
      </c>
      <c r="AC327">
        <f ca="1">IF(T_EMPLOYEES[[#This Row],[EMPLOYEE NUMBER]]="","",IF(AND(T_EMPLOYEES[[#This Row],[DATE OF BIRTH]]&gt;0,T_EMPLOYEES[[#This Row],[DATE OF BIRTH]]&lt;TODAY()),0,1))</f>
        <v>0</v>
      </c>
      <c r="AD327">
        <f ca="1">IF(T_EMPLOYEES[[#This Row],[EMPLOYEE NUMBER]]="","",IF(AND(T_EMPLOYEES[[#This Row],[START DATE]]&gt;0,T_EMPLOYEES[[#This Row],[START DATE]]&lt;TODAY()+60),0,1))</f>
        <v>0</v>
      </c>
      <c r="AE327">
        <f ca="1">IF(T_EMPLOYEES[[#This Row],[EMPLOYEE NUMBER]]="","",MATCH(T_EMPLOYEES[[#This Row],[GENDER]],L_GENDER,0))</f>
        <v>1</v>
      </c>
      <c r="AF327">
        <f ca="1">IF(T_EMPLOYEES[[#This Row],[EMPLOYEE NUMBER]]="","",MATCH(T_EMPLOYEES[[#This Row],[HIRE SOURCE]],L_HIRESOURCE,0))</f>
        <v>4</v>
      </c>
      <c r="AG327">
        <f ca="1">IF(T_EMPLOYEES[[#This Row],[EMPLOYEE NUMBER]]="","",MATCH(T_EMPLOYEES[[#This Row],[ETHNICITY]],L_ETHNICITY,0))</f>
        <v>3</v>
      </c>
      <c r="AH327">
        <f ca="1">IF(T_EMPLOYEES[[#This Row],[EMPLOYEE NUMBER]]="","",MATCH(T_EMPLOYEES[[#This Row],[LOCATION]],L_LOCATION,0))</f>
        <v>1</v>
      </c>
      <c r="AI327">
        <f ca="1">IF(T_EMPLOYEES[[#This Row],[EMPLOYEE NUMBER]]="","",MATCH(T_EMPLOYEES[[#This Row],[DEPARTMENT]],L_DEPARTMENT,0))</f>
        <v>2</v>
      </c>
      <c r="AJ327">
        <f ca="1">IF(T_EMPLOYEES[[#This Row],[EMPLOYEE NUMBER]]="","",MATCH(T_EMPLOYEES[[#This Row],[JOB TYPE]],L_JOBTYPE,0))</f>
        <v>2</v>
      </c>
      <c r="AK327">
        <f ca="1">IF(T_EMPLOYEES[[#This Row],[EMPLOYEE NUMBER]]="","",MATCH(T_EMPLOYEES[[#This Row],[JOB CATEGORY]],L_JOBCATEGORY,0))</f>
        <v>38</v>
      </c>
      <c r="AL327">
        <f ca="1">IF(T_EMPLOYEES[[#This Row],[EMPLOYEE NUMBER]]="","",MATCH(T_EMPLOYEES[[#This Row],[JOB LEVEL]],L_JOBLEVEL,0))</f>
        <v>2</v>
      </c>
      <c r="AM327">
        <f ca="1">IF(T_EMPLOYEES[[#This Row],[EMPLOYEE NUMBER]]="","",MATCH(T_EMPLOYEES[[#This Row],[JOB TITLE]],L_JOBTITLE,0))</f>
        <v>38</v>
      </c>
      <c r="AN327">
        <f ca="1">IF(T_EMPLOYEES[[#This Row],[EMPLOYEE NUMBER]]="","",MATCH(T_EMPLOYEES[[#This Row],[MANAGER]],L_EMPLABELS,0))</f>
        <v>142</v>
      </c>
      <c r="AO327">
        <f ca="1">IF(T_EMPLOYEES[[#This Row],[EMPLOYEE NUMBER]]="","",IF(T_EMPLOYEES[[#This Row],[ERROR]]="",0,1))</f>
        <v>0</v>
      </c>
      <c r="AP32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8" spans="1:42">
      <c r="A328" t="s">
        <v>1136</v>
      </c>
      <c r="B328" t="s">
        <v>1137</v>
      </c>
      <c r="C328">
        <v>1030629</v>
      </c>
      <c r="D328" t="s">
        <v>1138</v>
      </c>
      <c r="E328" s="26">
        <v>35206</v>
      </c>
      <c r="F328" s="26">
        <v>44848</v>
      </c>
      <c r="H328" t="s">
        <v>27</v>
      </c>
      <c r="I328" t="s">
        <v>54</v>
      </c>
      <c r="J328" t="s">
        <v>64</v>
      </c>
      <c r="K328" t="s">
        <v>30</v>
      </c>
      <c r="L328" s="27" t="s">
        <v>45</v>
      </c>
      <c r="M328" t="s">
        <v>46</v>
      </c>
      <c r="N328" t="s">
        <v>128</v>
      </c>
      <c r="O328" t="s">
        <v>60</v>
      </c>
      <c r="P328" t="s">
        <v>128</v>
      </c>
      <c r="Q328" t="s">
        <v>218</v>
      </c>
      <c r="R328" s="27">
        <v>4</v>
      </c>
      <c r="S328" s="1">
        <v>250000</v>
      </c>
      <c r="T328" s="1">
        <f ca="1">ROUND(T_EMPLOYEES[[#This Row],[EMP_CTC1]]/12, 0)</f>
        <v>20833</v>
      </c>
      <c r="U328" s="1">
        <v>150000</v>
      </c>
      <c r="V328" s="1" t="s">
        <v>1065</v>
      </c>
      <c r="W328" s="1" t="s">
        <v>1065</v>
      </c>
      <c r="X32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Thulluri Sai Kumar  Thulluri (1030629)</v>
      </c>
      <c r="Y328">
        <v>120000</v>
      </c>
      <c r="Z328" s="29">
        <f t="shared" ca="1" si="6"/>
        <v>40</v>
      </c>
      <c r="AA328">
        <f ca="1">IF(T_EMPLOYEES[[#This Row],[EMPLOYEE NUMBER]]="","",ROW(T_EMPLOYEES[[#This Row],[EMPLOYEE LABEL]])-ROW(T_EMPLOYEES[[#Headers],[EMPLOYEE LABEL]]))</f>
        <v>325</v>
      </c>
      <c r="AB328">
        <f ca="1">IF(T_EMPLOYEES[[#This Row],[EMPLOYEE NUMBER]]="","",IF(COUNTIF(T_EMPLOYEES[EMPLOYEE NUMBER],T_EMPLOYEES[[#This Row],[EMPLOYEE NUMBER]])&gt;1,1,0))</f>
        <v>0</v>
      </c>
      <c r="AC328">
        <f ca="1">IF(T_EMPLOYEES[[#This Row],[EMPLOYEE NUMBER]]="","",IF(AND(T_EMPLOYEES[[#This Row],[DATE OF BIRTH]]&gt;0,T_EMPLOYEES[[#This Row],[DATE OF BIRTH]]&lt;TODAY()),0,1))</f>
        <v>0</v>
      </c>
      <c r="AD328">
        <f ca="1">IF(T_EMPLOYEES[[#This Row],[EMPLOYEE NUMBER]]="","",IF(AND(T_EMPLOYEES[[#This Row],[START DATE]]&gt;0,T_EMPLOYEES[[#This Row],[START DATE]]&lt;TODAY()+60),0,1))</f>
        <v>0</v>
      </c>
      <c r="AE328">
        <f ca="1">IF(T_EMPLOYEES[[#This Row],[EMPLOYEE NUMBER]]="","",MATCH(T_EMPLOYEES[[#This Row],[GENDER]],L_GENDER,0))</f>
        <v>1</v>
      </c>
      <c r="AF328">
        <f ca="1">IF(T_EMPLOYEES[[#This Row],[EMPLOYEE NUMBER]]="","",MATCH(T_EMPLOYEES[[#This Row],[HIRE SOURCE]],L_HIRESOURCE,0))</f>
        <v>4</v>
      </c>
      <c r="AG328">
        <f ca="1">IF(T_EMPLOYEES[[#This Row],[EMPLOYEE NUMBER]]="","",MATCH(T_EMPLOYEES[[#This Row],[ETHNICITY]],L_ETHNICITY,0))</f>
        <v>3</v>
      </c>
      <c r="AH328">
        <f ca="1">IF(T_EMPLOYEES[[#This Row],[EMPLOYEE NUMBER]]="","",MATCH(T_EMPLOYEES[[#This Row],[LOCATION]],L_LOCATION,0))</f>
        <v>1</v>
      </c>
      <c r="AI328">
        <f ca="1">IF(T_EMPLOYEES[[#This Row],[EMPLOYEE NUMBER]]="","",MATCH(T_EMPLOYEES[[#This Row],[DEPARTMENT]],L_DEPARTMENT,0))</f>
        <v>2</v>
      </c>
      <c r="AJ328">
        <f ca="1">IF(T_EMPLOYEES[[#This Row],[EMPLOYEE NUMBER]]="","",MATCH(T_EMPLOYEES[[#This Row],[JOB TYPE]],L_JOBTYPE,0))</f>
        <v>2</v>
      </c>
      <c r="AK328">
        <f ca="1">IF(T_EMPLOYEES[[#This Row],[EMPLOYEE NUMBER]]="","",MATCH(T_EMPLOYEES[[#This Row],[JOB CATEGORY]],L_JOBCATEGORY,0))</f>
        <v>15</v>
      </c>
      <c r="AL328">
        <f ca="1">IF(T_EMPLOYEES[[#This Row],[EMPLOYEE NUMBER]]="","",MATCH(T_EMPLOYEES[[#This Row],[JOB LEVEL]],L_JOBLEVEL,0))</f>
        <v>3</v>
      </c>
      <c r="AM328">
        <f ca="1">IF(T_EMPLOYEES[[#This Row],[EMPLOYEE NUMBER]]="","",MATCH(T_EMPLOYEES[[#This Row],[JOB TITLE]],L_JOBTITLE,0))</f>
        <v>15</v>
      </c>
      <c r="AN328">
        <f ca="1">IF(T_EMPLOYEES[[#This Row],[EMPLOYEE NUMBER]]="","",MATCH(T_EMPLOYEES[[#This Row],[MANAGER]],L_EMPLABELS,0))</f>
        <v>43</v>
      </c>
      <c r="AO328">
        <f ca="1">IF(T_EMPLOYEES[[#This Row],[EMPLOYEE NUMBER]]="","",IF(T_EMPLOYEES[[#This Row],[ERROR]]="",0,1))</f>
        <v>0</v>
      </c>
      <c r="AP32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9" spans="1:42">
      <c r="A329" t="s">
        <v>1139</v>
      </c>
      <c r="B329" t="s">
        <v>1140</v>
      </c>
      <c r="C329">
        <v>1031064</v>
      </c>
      <c r="D329" t="s">
        <v>1141</v>
      </c>
      <c r="E329" s="26">
        <v>35212</v>
      </c>
      <c r="F329" s="26">
        <v>44889</v>
      </c>
      <c r="H329" t="s">
        <v>27</v>
      </c>
      <c r="I329" t="s">
        <v>54</v>
      </c>
      <c r="J329" t="s">
        <v>64</v>
      </c>
      <c r="K329" t="s">
        <v>30</v>
      </c>
      <c r="L329" s="27" t="s">
        <v>114</v>
      </c>
      <c r="M329" t="s">
        <v>46</v>
      </c>
      <c r="N329" t="s">
        <v>151</v>
      </c>
      <c r="O329" t="s">
        <v>36</v>
      </c>
      <c r="P329" t="s">
        <v>151</v>
      </c>
      <c r="Q329" t="s">
        <v>468</v>
      </c>
      <c r="R329">
        <v>0</v>
      </c>
      <c r="S329" s="1">
        <v>250000</v>
      </c>
      <c r="T329" s="1">
        <f ca="1">ROUND(T_EMPLOYEES[[#This Row],[EMP_CTC1]]/12, 0)</f>
        <v>20833</v>
      </c>
      <c r="U329" s="1">
        <v>150000</v>
      </c>
      <c r="V329" s="1" t="s">
        <v>1065</v>
      </c>
      <c r="W329" s="1" t="s">
        <v>1065</v>
      </c>
      <c r="X32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Akash Vasant Kadam (1031064)</v>
      </c>
      <c r="Y329">
        <v>120000</v>
      </c>
      <c r="Z329" s="29">
        <f t="shared" ca="1" si="6"/>
        <v>40</v>
      </c>
      <c r="AA329">
        <f ca="1">IF(T_EMPLOYEES[[#This Row],[EMPLOYEE NUMBER]]="","",ROW(T_EMPLOYEES[[#This Row],[EMPLOYEE LABEL]])-ROW(T_EMPLOYEES[[#Headers],[EMPLOYEE LABEL]]))</f>
        <v>326</v>
      </c>
      <c r="AB329">
        <f ca="1">IF(T_EMPLOYEES[[#This Row],[EMPLOYEE NUMBER]]="","",IF(COUNTIF(T_EMPLOYEES[EMPLOYEE NUMBER],T_EMPLOYEES[[#This Row],[EMPLOYEE NUMBER]])&gt;1,1,0))</f>
        <v>0</v>
      </c>
      <c r="AC329">
        <f ca="1">IF(T_EMPLOYEES[[#This Row],[EMPLOYEE NUMBER]]="","",IF(AND(T_EMPLOYEES[[#This Row],[DATE OF BIRTH]]&gt;0,T_EMPLOYEES[[#This Row],[DATE OF BIRTH]]&lt;TODAY()),0,1))</f>
        <v>0</v>
      </c>
      <c r="AD329">
        <f ca="1">IF(T_EMPLOYEES[[#This Row],[EMPLOYEE NUMBER]]="","",IF(AND(T_EMPLOYEES[[#This Row],[START DATE]]&gt;0,T_EMPLOYEES[[#This Row],[START DATE]]&lt;TODAY()+60),0,1))</f>
        <v>0</v>
      </c>
      <c r="AE329">
        <f ca="1">IF(T_EMPLOYEES[[#This Row],[EMPLOYEE NUMBER]]="","",MATCH(T_EMPLOYEES[[#This Row],[GENDER]],L_GENDER,0))</f>
        <v>1</v>
      </c>
      <c r="AF329">
        <f ca="1">IF(T_EMPLOYEES[[#This Row],[EMPLOYEE NUMBER]]="","",MATCH(T_EMPLOYEES[[#This Row],[HIRE SOURCE]],L_HIRESOURCE,0))</f>
        <v>4</v>
      </c>
      <c r="AG329">
        <f ca="1">IF(T_EMPLOYEES[[#This Row],[EMPLOYEE NUMBER]]="","",MATCH(T_EMPLOYEES[[#This Row],[ETHNICITY]],L_ETHNICITY,0))</f>
        <v>3</v>
      </c>
      <c r="AH329">
        <f ca="1">IF(T_EMPLOYEES[[#This Row],[EMPLOYEE NUMBER]]="","",MATCH(T_EMPLOYEES[[#This Row],[LOCATION]],L_LOCATION,0))</f>
        <v>1</v>
      </c>
      <c r="AI329">
        <f ca="1">IF(T_EMPLOYEES[[#This Row],[EMPLOYEE NUMBER]]="","",MATCH(T_EMPLOYEES[[#This Row],[DEPARTMENT]],L_DEPARTMENT,0))</f>
        <v>11</v>
      </c>
      <c r="AJ329">
        <f ca="1">IF(T_EMPLOYEES[[#This Row],[EMPLOYEE NUMBER]]="","",MATCH(T_EMPLOYEES[[#This Row],[JOB TYPE]],L_JOBTYPE,0))</f>
        <v>2</v>
      </c>
      <c r="AK329">
        <f ca="1">IF(T_EMPLOYEES[[#This Row],[EMPLOYEE NUMBER]]="","",MATCH(T_EMPLOYEES[[#This Row],[JOB CATEGORY]],L_JOBCATEGORY,0))</f>
        <v>30</v>
      </c>
      <c r="AL329">
        <f ca="1">IF(T_EMPLOYEES[[#This Row],[EMPLOYEE NUMBER]]="","",MATCH(T_EMPLOYEES[[#This Row],[JOB LEVEL]],L_JOBLEVEL,0))</f>
        <v>1</v>
      </c>
      <c r="AM329">
        <f ca="1">IF(T_EMPLOYEES[[#This Row],[EMPLOYEE NUMBER]]="","",MATCH(T_EMPLOYEES[[#This Row],[JOB TITLE]],L_JOBTITLE,0))</f>
        <v>30</v>
      </c>
      <c r="AN329">
        <f ca="1">IF(T_EMPLOYEES[[#This Row],[EMPLOYEE NUMBER]]="","",MATCH(T_EMPLOYEES[[#This Row],[MANAGER]],L_EMPLABELS,0))</f>
        <v>56</v>
      </c>
      <c r="AO329">
        <f ca="1">IF(T_EMPLOYEES[[#This Row],[EMPLOYEE NUMBER]]="","",IF(T_EMPLOYEES[[#This Row],[ERROR]]="",0,1))</f>
        <v>0</v>
      </c>
      <c r="AP32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0" spans="1:42">
      <c r="A330" t="s">
        <v>1142</v>
      </c>
      <c r="B330" t="s">
        <v>1143</v>
      </c>
      <c r="C330">
        <v>1033621</v>
      </c>
      <c r="D330" t="s">
        <v>1144</v>
      </c>
      <c r="E330" s="26">
        <v>35227</v>
      </c>
      <c r="F330" s="26">
        <v>45198</v>
      </c>
      <c r="H330" t="s">
        <v>27</v>
      </c>
      <c r="I330" t="s">
        <v>54</v>
      </c>
      <c r="J330" t="s">
        <v>64</v>
      </c>
      <c r="K330" t="s">
        <v>30</v>
      </c>
      <c r="L330" s="27" t="s">
        <v>45</v>
      </c>
      <c r="M330" t="s">
        <v>46</v>
      </c>
      <c r="N330" t="s">
        <v>128</v>
      </c>
      <c r="O330" t="s">
        <v>60</v>
      </c>
      <c r="P330" t="s">
        <v>128</v>
      </c>
      <c r="Q330" t="s">
        <v>311</v>
      </c>
      <c r="R330" s="27">
        <v>4</v>
      </c>
      <c r="S330" s="1">
        <v>250000</v>
      </c>
      <c r="T330" s="1">
        <f ca="1">ROUND(T_EMPLOYEES[[#This Row],[EMP_CTC1]]/12, 0)</f>
        <v>20833</v>
      </c>
      <c r="U330" s="1">
        <v>150000</v>
      </c>
      <c r="V330" s="1" t="s">
        <v>1065</v>
      </c>
      <c r="W330" s="1" t="s">
        <v>1065</v>
      </c>
      <c r="X33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Androthu  Saibabu (1033621)</v>
      </c>
      <c r="Y330">
        <v>120000</v>
      </c>
      <c r="Z330" s="29">
        <f t="shared" ca="1" si="6"/>
        <v>40</v>
      </c>
      <c r="AA330">
        <f ca="1">IF(T_EMPLOYEES[[#This Row],[EMPLOYEE NUMBER]]="","",ROW(T_EMPLOYEES[[#This Row],[EMPLOYEE LABEL]])-ROW(T_EMPLOYEES[[#Headers],[EMPLOYEE LABEL]]))</f>
        <v>327</v>
      </c>
      <c r="AB330">
        <f ca="1">IF(T_EMPLOYEES[[#This Row],[EMPLOYEE NUMBER]]="","",IF(COUNTIF(T_EMPLOYEES[EMPLOYEE NUMBER],T_EMPLOYEES[[#This Row],[EMPLOYEE NUMBER]])&gt;1,1,0))</f>
        <v>0</v>
      </c>
      <c r="AC330">
        <f ca="1">IF(T_EMPLOYEES[[#This Row],[EMPLOYEE NUMBER]]="","",IF(AND(T_EMPLOYEES[[#This Row],[DATE OF BIRTH]]&gt;0,T_EMPLOYEES[[#This Row],[DATE OF BIRTH]]&lt;TODAY()),0,1))</f>
        <v>0</v>
      </c>
      <c r="AD330">
        <f ca="1">IF(T_EMPLOYEES[[#This Row],[EMPLOYEE NUMBER]]="","",IF(AND(T_EMPLOYEES[[#This Row],[START DATE]]&gt;0,T_EMPLOYEES[[#This Row],[START DATE]]&lt;TODAY()+60),0,1))</f>
        <v>0</v>
      </c>
      <c r="AE330">
        <f ca="1">IF(T_EMPLOYEES[[#This Row],[EMPLOYEE NUMBER]]="","",MATCH(T_EMPLOYEES[[#This Row],[GENDER]],L_GENDER,0))</f>
        <v>1</v>
      </c>
      <c r="AF330">
        <f ca="1">IF(T_EMPLOYEES[[#This Row],[EMPLOYEE NUMBER]]="","",MATCH(T_EMPLOYEES[[#This Row],[HIRE SOURCE]],L_HIRESOURCE,0))</f>
        <v>4</v>
      </c>
      <c r="AG330">
        <f ca="1">IF(T_EMPLOYEES[[#This Row],[EMPLOYEE NUMBER]]="","",MATCH(T_EMPLOYEES[[#This Row],[ETHNICITY]],L_ETHNICITY,0))</f>
        <v>3</v>
      </c>
      <c r="AH330">
        <f ca="1">IF(T_EMPLOYEES[[#This Row],[EMPLOYEE NUMBER]]="","",MATCH(T_EMPLOYEES[[#This Row],[LOCATION]],L_LOCATION,0))</f>
        <v>1</v>
      </c>
      <c r="AI330">
        <f ca="1">IF(T_EMPLOYEES[[#This Row],[EMPLOYEE NUMBER]]="","",MATCH(T_EMPLOYEES[[#This Row],[DEPARTMENT]],L_DEPARTMENT,0))</f>
        <v>2</v>
      </c>
      <c r="AJ330">
        <f ca="1">IF(T_EMPLOYEES[[#This Row],[EMPLOYEE NUMBER]]="","",MATCH(T_EMPLOYEES[[#This Row],[JOB TYPE]],L_JOBTYPE,0))</f>
        <v>2</v>
      </c>
      <c r="AK330">
        <f ca="1">IF(T_EMPLOYEES[[#This Row],[EMPLOYEE NUMBER]]="","",MATCH(T_EMPLOYEES[[#This Row],[JOB CATEGORY]],L_JOBCATEGORY,0))</f>
        <v>15</v>
      </c>
      <c r="AL330">
        <f ca="1">IF(T_EMPLOYEES[[#This Row],[EMPLOYEE NUMBER]]="","",MATCH(T_EMPLOYEES[[#This Row],[JOB LEVEL]],L_JOBLEVEL,0))</f>
        <v>3</v>
      </c>
      <c r="AM330">
        <f ca="1">IF(T_EMPLOYEES[[#This Row],[EMPLOYEE NUMBER]]="","",MATCH(T_EMPLOYEES[[#This Row],[JOB TITLE]],L_JOBTITLE,0))</f>
        <v>15</v>
      </c>
      <c r="AN330">
        <f ca="1">IF(T_EMPLOYEES[[#This Row],[EMPLOYEE NUMBER]]="","",MATCH(T_EMPLOYEES[[#This Row],[MANAGER]],L_EMPLABELS,0))</f>
        <v>2</v>
      </c>
      <c r="AO330">
        <f ca="1">IF(T_EMPLOYEES[[#This Row],[EMPLOYEE NUMBER]]="","",IF(T_EMPLOYEES[[#This Row],[ERROR]]="",0,1))</f>
        <v>0</v>
      </c>
      <c r="AP33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1" spans="1:42">
      <c r="A331" t="s">
        <v>1145</v>
      </c>
      <c r="B331" t="s">
        <v>1146</v>
      </c>
      <c r="C331">
        <v>1028110</v>
      </c>
      <c r="D331" t="s">
        <v>1147</v>
      </c>
      <c r="E331" s="26">
        <v>35228</v>
      </c>
      <c r="F331" s="26">
        <v>44582</v>
      </c>
      <c r="H331" t="s">
        <v>27</v>
      </c>
      <c r="I331" t="s">
        <v>54</v>
      </c>
      <c r="J331" t="s">
        <v>64</v>
      </c>
      <c r="K331" t="s">
        <v>30</v>
      </c>
      <c r="L331" s="27" t="s">
        <v>114</v>
      </c>
      <c r="M331" t="s">
        <v>46</v>
      </c>
      <c r="N331" t="s">
        <v>160</v>
      </c>
      <c r="O331" t="s">
        <v>48</v>
      </c>
      <c r="P331" t="s">
        <v>160</v>
      </c>
      <c r="Q331" t="s">
        <v>505</v>
      </c>
      <c r="R331">
        <v>4</v>
      </c>
      <c r="S331" s="1">
        <v>250000</v>
      </c>
      <c r="T331" s="1">
        <f ca="1">ROUND(T_EMPLOYEES[[#This Row],[EMP_CTC1]]/12, 0)</f>
        <v>20833</v>
      </c>
      <c r="U331" s="1">
        <v>150000</v>
      </c>
      <c r="V331" s="1" t="s">
        <v>1065</v>
      </c>
      <c r="W331" s="1" t="s">
        <v>1065</v>
      </c>
      <c r="X33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Bodapati  Maruthi (1028110)</v>
      </c>
      <c r="Y331">
        <v>120000</v>
      </c>
      <c r="Z331" s="29">
        <f t="shared" ca="1" si="6"/>
        <v>40</v>
      </c>
      <c r="AA331">
        <f ca="1">IF(T_EMPLOYEES[[#This Row],[EMPLOYEE NUMBER]]="","",ROW(T_EMPLOYEES[[#This Row],[EMPLOYEE LABEL]])-ROW(T_EMPLOYEES[[#Headers],[EMPLOYEE LABEL]]))</f>
        <v>328</v>
      </c>
      <c r="AB331">
        <f ca="1">IF(T_EMPLOYEES[[#This Row],[EMPLOYEE NUMBER]]="","",IF(COUNTIF(T_EMPLOYEES[EMPLOYEE NUMBER],T_EMPLOYEES[[#This Row],[EMPLOYEE NUMBER]])&gt;1,1,0))</f>
        <v>0</v>
      </c>
      <c r="AC331">
        <f ca="1">IF(T_EMPLOYEES[[#This Row],[EMPLOYEE NUMBER]]="","",IF(AND(T_EMPLOYEES[[#This Row],[DATE OF BIRTH]]&gt;0,T_EMPLOYEES[[#This Row],[DATE OF BIRTH]]&lt;TODAY()),0,1))</f>
        <v>0</v>
      </c>
      <c r="AD331">
        <f ca="1">IF(T_EMPLOYEES[[#This Row],[EMPLOYEE NUMBER]]="","",IF(AND(T_EMPLOYEES[[#This Row],[START DATE]]&gt;0,T_EMPLOYEES[[#This Row],[START DATE]]&lt;TODAY()+60),0,1))</f>
        <v>0</v>
      </c>
      <c r="AE331">
        <f ca="1">IF(T_EMPLOYEES[[#This Row],[EMPLOYEE NUMBER]]="","",MATCH(T_EMPLOYEES[[#This Row],[GENDER]],L_GENDER,0))</f>
        <v>1</v>
      </c>
      <c r="AF331">
        <f ca="1">IF(T_EMPLOYEES[[#This Row],[EMPLOYEE NUMBER]]="","",MATCH(T_EMPLOYEES[[#This Row],[HIRE SOURCE]],L_HIRESOURCE,0))</f>
        <v>4</v>
      </c>
      <c r="AG331">
        <f ca="1">IF(T_EMPLOYEES[[#This Row],[EMPLOYEE NUMBER]]="","",MATCH(T_EMPLOYEES[[#This Row],[ETHNICITY]],L_ETHNICITY,0))</f>
        <v>3</v>
      </c>
      <c r="AH331">
        <f ca="1">IF(T_EMPLOYEES[[#This Row],[EMPLOYEE NUMBER]]="","",MATCH(T_EMPLOYEES[[#This Row],[LOCATION]],L_LOCATION,0))</f>
        <v>1</v>
      </c>
      <c r="AI331">
        <f ca="1">IF(T_EMPLOYEES[[#This Row],[EMPLOYEE NUMBER]]="","",MATCH(T_EMPLOYEES[[#This Row],[DEPARTMENT]],L_DEPARTMENT,0))</f>
        <v>11</v>
      </c>
      <c r="AJ331">
        <f ca="1">IF(T_EMPLOYEES[[#This Row],[EMPLOYEE NUMBER]]="","",MATCH(T_EMPLOYEES[[#This Row],[JOB TYPE]],L_JOBTYPE,0))</f>
        <v>2</v>
      </c>
      <c r="AK331">
        <f ca="1">IF(T_EMPLOYEES[[#This Row],[EMPLOYEE NUMBER]]="","",MATCH(T_EMPLOYEES[[#This Row],[JOB CATEGORY]],L_JOBCATEGORY,0))</f>
        <v>39</v>
      </c>
      <c r="AL331">
        <f ca="1">IF(T_EMPLOYEES[[#This Row],[EMPLOYEE NUMBER]]="","",MATCH(T_EMPLOYEES[[#This Row],[JOB LEVEL]],L_JOBLEVEL,0))</f>
        <v>2</v>
      </c>
      <c r="AM331">
        <f ca="1">IF(T_EMPLOYEES[[#This Row],[EMPLOYEE NUMBER]]="","",MATCH(T_EMPLOYEES[[#This Row],[JOB TITLE]],L_JOBTITLE,0))</f>
        <v>39</v>
      </c>
      <c r="AN331">
        <f ca="1">IF(T_EMPLOYEES[[#This Row],[EMPLOYEE NUMBER]]="","",MATCH(T_EMPLOYEES[[#This Row],[MANAGER]],L_EMPLABELS,0))</f>
        <v>57</v>
      </c>
      <c r="AO331">
        <f ca="1">IF(T_EMPLOYEES[[#This Row],[EMPLOYEE NUMBER]]="","",IF(T_EMPLOYEES[[#This Row],[ERROR]]="",0,1))</f>
        <v>0</v>
      </c>
      <c r="AP33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2" spans="1:42">
      <c r="A332" t="s">
        <v>1148</v>
      </c>
      <c r="B332" t="s">
        <v>1149</v>
      </c>
      <c r="C332">
        <v>1031048</v>
      </c>
      <c r="D332" t="s">
        <v>1150</v>
      </c>
      <c r="E332" s="26">
        <v>35232</v>
      </c>
      <c r="F332" s="26">
        <v>44889</v>
      </c>
      <c r="H332" t="s">
        <v>27</v>
      </c>
      <c r="I332" t="s">
        <v>54</v>
      </c>
      <c r="J332" t="s">
        <v>64</v>
      </c>
      <c r="K332" t="s">
        <v>30</v>
      </c>
      <c r="L332" s="27" t="s">
        <v>118</v>
      </c>
      <c r="M332" t="s">
        <v>46</v>
      </c>
      <c r="N332" t="s">
        <v>128</v>
      </c>
      <c r="O332" t="s">
        <v>60</v>
      </c>
      <c r="P332" t="s">
        <v>128</v>
      </c>
      <c r="Q332" t="s">
        <v>353</v>
      </c>
      <c r="R332">
        <v>0</v>
      </c>
      <c r="S332" s="1">
        <v>250000</v>
      </c>
      <c r="T332" s="1">
        <f ca="1">ROUND(T_EMPLOYEES[[#This Row],[EMP_CTC1]]/12, 0)</f>
        <v>20833</v>
      </c>
      <c r="U332" s="1">
        <v>150000</v>
      </c>
      <c r="V332" s="1" t="s">
        <v>207</v>
      </c>
      <c r="W332" s="1" t="s">
        <v>432</v>
      </c>
      <c r="X33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Amol Ramesh Devkate (1031048)</v>
      </c>
      <c r="Y332">
        <v>120000</v>
      </c>
      <c r="Z332" s="29">
        <f t="shared" ca="1" si="6"/>
        <v>40</v>
      </c>
      <c r="AA332">
        <f ca="1">IF(T_EMPLOYEES[[#This Row],[EMPLOYEE NUMBER]]="","",ROW(T_EMPLOYEES[[#This Row],[EMPLOYEE LABEL]])-ROW(T_EMPLOYEES[[#Headers],[EMPLOYEE LABEL]]))</f>
        <v>329</v>
      </c>
      <c r="AB332">
        <f ca="1">IF(T_EMPLOYEES[[#This Row],[EMPLOYEE NUMBER]]="","",IF(COUNTIF(T_EMPLOYEES[EMPLOYEE NUMBER],T_EMPLOYEES[[#This Row],[EMPLOYEE NUMBER]])&gt;1,1,0))</f>
        <v>0</v>
      </c>
      <c r="AC332">
        <f ca="1">IF(T_EMPLOYEES[[#This Row],[EMPLOYEE NUMBER]]="","",IF(AND(T_EMPLOYEES[[#This Row],[DATE OF BIRTH]]&gt;0,T_EMPLOYEES[[#This Row],[DATE OF BIRTH]]&lt;TODAY()),0,1))</f>
        <v>0</v>
      </c>
      <c r="AD332">
        <f ca="1">IF(T_EMPLOYEES[[#This Row],[EMPLOYEE NUMBER]]="","",IF(AND(T_EMPLOYEES[[#This Row],[START DATE]]&gt;0,T_EMPLOYEES[[#This Row],[START DATE]]&lt;TODAY()+60),0,1))</f>
        <v>0</v>
      </c>
      <c r="AE332">
        <f ca="1">IF(T_EMPLOYEES[[#This Row],[EMPLOYEE NUMBER]]="","",MATCH(T_EMPLOYEES[[#This Row],[GENDER]],L_GENDER,0))</f>
        <v>1</v>
      </c>
      <c r="AF332">
        <f ca="1">IF(T_EMPLOYEES[[#This Row],[EMPLOYEE NUMBER]]="","",MATCH(T_EMPLOYEES[[#This Row],[HIRE SOURCE]],L_HIRESOURCE,0))</f>
        <v>4</v>
      </c>
      <c r="AG332">
        <f ca="1">IF(T_EMPLOYEES[[#This Row],[EMPLOYEE NUMBER]]="","",MATCH(T_EMPLOYEES[[#This Row],[ETHNICITY]],L_ETHNICITY,0))</f>
        <v>3</v>
      </c>
      <c r="AH332">
        <f ca="1">IF(T_EMPLOYEES[[#This Row],[EMPLOYEE NUMBER]]="","",MATCH(T_EMPLOYEES[[#This Row],[LOCATION]],L_LOCATION,0))</f>
        <v>1</v>
      </c>
      <c r="AI332">
        <f ca="1">IF(T_EMPLOYEES[[#This Row],[EMPLOYEE NUMBER]]="","",MATCH(T_EMPLOYEES[[#This Row],[DEPARTMENT]],L_DEPARTMENT,0))</f>
        <v>12</v>
      </c>
      <c r="AJ332">
        <f ca="1">IF(T_EMPLOYEES[[#This Row],[EMPLOYEE NUMBER]]="","",MATCH(T_EMPLOYEES[[#This Row],[JOB TYPE]],L_JOBTYPE,0))</f>
        <v>2</v>
      </c>
      <c r="AK332">
        <f ca="1">IF(T_EMPLOYEES[[#This Row],[EMPLOYEE NUMBER]]="","",MATCH(T_EMPLOYEES[[#This Row],[JOB CATEGORY]],L_JOBCATEGORY,0))</f>
        <v>15</v>
      </c>
      <c r="AL332">
        <f ca="1">IF(T_EMPLOYEES[[#This Row],[EMPLOYEE NUMBER]]="","",MATCH(T_EMPLOYEES[[#This Row],[JOB LEVEL]],L_JOBLEVEL,0))</f>
        <v>3</v>
      </c>
      <c r="AM332">
        <f ca="1">IF(T_EMPLOYEES[[#This Row],[EMPLOYEE NUMBER]]="","",MATCH(T_EMPLOYEES[[#This Row],[JOB TITLE]],L_JOBTITLE,0))</f>
        <v>15</v>
      </c>
      <c r="AN332">
        <f ca="1">IF(T_EMPLOYEES[[#This Row],[EMPLOYEE NUMBER]]="","",MATCH(T_EMPLOYEES[[#This Row],[MANAGER]],L_EMPLABELS,0))</f>
        <v>137</v>
      </c>
      <c r="AO332">
        <f ca="1">IF(T_EMPLOYEES[[#This Row],[EMPLOYEE NUMBER]]="","",IF(T_EMPLOYEES[[#This Row],[ERROR]]="",0,1))</f>
        <v>0</v>
      </c>
      <c r="AP33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3" spans="1:42">
      <c r="A333" t="s">
        <v>1151</v>
      </c>
      <c r="B333" t="s">
        <v>1152</v>
      </c>
      <c r="C333">
        <v>1022134</v>
      </c>
      <c r="D333" t="s">
        <v>1153</v>
      </c>
      <c r="E333" s="26">
        <v>35240</v>
      </c>
      <c r="F333" s="26">
        <v>43614</v>
      </c>
      <c r="H333" t="s">
        <v>40</v>
      </c>
      <c r="I333" t="s">
        <v>54</v>
      </c>
      <c r="J333" t="s">
        <v>64</v>
      </c>
      <c r="K333" t="s">
        <v>30</v>
      </c>
      <c r="L333" s="27" t="s">
        <v>110</v>
      </c>
      <c r="M333" t="s">
        <v>46</v>
      </c>
      <c r="N333" t="s">
        <v>89</v>
      </c>
      <c r="O333" t="s">
        <v>60</v>
      </c>
      <c r="P333" t="s">
        <v>89</v>
      </c>
      <c r="Q333" t="s">
        <v>344</v>
      </c>
      <c r="R333">
        <v>4</v>
      </c>
      <c r="S333" s="1">
        <v>250000</v>
      </c>
      <c r="T333" s="1">
        <f ca="1">ROUND(T_EMPLOYEES[[#This Row],[EMP_CTC1]]/12, 0)</f>
        <v>20833</v>
      </c>
      <c r="U333" s="1">
        <v>150000</v>
      </c>
      <c r="V333" s="1" t="s">
        <v>1065</v>
      </c>
      <c r="W333" s="1" t="s">
        <v>1065</v>
      </c>
      <c r="X33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Balam Jyothi (1022134)</v>
      </c>
      <c r="Y333">
        <v>120000</v>
      </c>
      <c r="Z333" s="29">
        <f t="shared" ca="1" si="6"/>
        <v>40</v>
      </c>
      <c r="AA333">
        <f ca="1">IF(T_EMPLOYEES[[#This Row],[EMPLOYEE NUMBER]]="","",ROW(T_EMPLOYEES[[#This Row],[EMPLOYEE LABEL]])-ROW(T_EMPLOYEES[[#Headers],[EMPLOYEE LABEL]]))</f>
        <v>330</v>
      </c>
      <c r="AB333">
        <f ca="1">IF(T_EMPLOYEES[[#This Row],[EMPLOYEE NUMBER]]="","",IF(COUNTIF(T_EMPLOYEES[EMPLOYEE NUMBER],T_EMPLOYEES[[#This Row],[EMPLOYEE NUMBER]])&gt;1,1,0))</f>
        <v>0</v>
      </c>
      <c r="AC333">
        <f ca="1">IF(T_EMPLOYEES[[#This Row],[EMPLOYEE NUMBER]]="","",IF(AND(T_EMPLOYEES[[#This Row],[DATE OF BIRTH]]&gt;0,T_EMPLOYEES[[#This Row],[DATE OF BIRTH]]&lt;TODAY()),0,1))</f>
        <v>0</v>
      </c>
      <c r="AD333">
        <f ca="1">IF(T_EMPLOYEES[[#This Row],[EMPLOYEE NUMBER]]="","",IF(AND(T_EMPLOYEES[[#This Row],[START DATE]]&gt;0,T_EMPLOYEES[[#This Row],[START DATE]]&lt;TODAY()+60),0,1))</f>
        <v>0</v>
      </c>
      <c r="AE333">
        <f ca="1">IF(T_EMPLOYEES[[#This Row],[EMPLOYEE NUMBER]]="","",MATCH(T_EMPLOYEES[[#This Row],[GENDER]],L_GENDER,0))</f>
        <v>2</v>
      </c>
      <c r="AF333">
        <f ca="1">IF(T_EMPLOYEES[[#This Row],[EMPLOYEE NUMBER]]="","",MATCH(T_EMPLOYEES[[#This Row],[HIRE SOURCE]],L_HIRESOURCE,0))</f>
        <v>4</v>
      </c>
      <c r="AG333">
        <f ca="1">IF(T_EMPLOYEES[[#This Row],[EMPLOYEE NUMBER]]="","",MATCH(T_EMPLOYEES[[#This Row],[ETHNICITY]],L_ETHNICITY,0))</f>
        <v>3</v>
      </c>
      <c r="AH333">
        <f ca="1">IF(T_EMPLOYEES[[#This Row],[EMPLOYEE NUMBER]]="","",MATCH(T_EMPLOYEES[[#This Row],[LOCATION]],L_LOCATION,0))</f>
        <v>1</v>
      </c>
      <c r="AI333">
        <f ca="1">IF(T_EMPLOYEES[[#This Row],[EMPLOYEE NUMBER]]="","",MATCH(T_EMPLOYEES[[#This Row],[DEPARTMENT]],L_DEPARTMENT,0))</f>
        <v>10</v>
      </c>
      <c r="AJ333">
        <f ca="1">IF(T_EMPLOYEES[[#This Row],[EMPLOYEE NUMBER]]="","",MATCH(T_EMPLOYEES[[#This Row],[JOB TYPE]],L_JOBTYPE,0))</f>
        <v>2</v>
      </c>
      <c r="AK333">
        <f ca="1">IF(T_EMPLOYEES[[#This Row],[EMPLOYEE NUMBER]]="","",MATCH(T_EMPLOYEES[[#This Row],[JOB CATEGORY]],L_JOBCATEGORY,0))</f>
        <v>6</v>
      </c>
      <c r="AL333">
        <f ca="1">IF(T_EMPLOYEES[[#This Row],[EMPLOYEE NUMBER]]="","",MATCH(T_EMPLOYEES[[#This Row],[JOB LEVEL]],L_JOBLEVEL,0))</f>
        <v>3</v>
      </c>
      <c r="AM333">
        <f ca="1">IF(T_EMPLOYEES[[#This Row],[EMPLOYEE NUMBER]]="","",MATCH(T_EMPLOYEES[[#This Row],[JOB TITLE]],L_JOBTITLE,0))</f>
        <v>6</v>
      </c>
      <c r="AN333">
        <f ca="1">IF(T_EMPLOYEES[[#This Row],[EMPLOYEE NUMBER]]="","",MATCH(T_EMPLOYEES[[#This Row],[MANAGER]],L_EMPLABELS,0))</f>
        <v>12</v>
      </c>
      <c r="AO333">
        <f ca="1">IF(T_EMPLOYEES[[#This Row],[EMPLOYEE NUMBER]]="","",IF(T_EMPLOYEES[[#This Row],[ERROR]]="",0,1))</f>
        <v>0</v>
      </c>
      <c r="AP33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4" spans="1:42">
      <c r="A334" t="s">
        <v>1154</v>
      </c>
      <c r="B334" t="s">
        <v>1155</v>
      </c>
      <c r="C334">
        <v>1033506</v>
      </c>
      <c r="D334" t="s">
        <v>1156</v>
      </c>
      <c r="E334" s="26">
        <v>35250</v>
      </c>
      <c r="F334" s="26">
        <v>45180</v>
      </c>
      <c r="H334" t="s">
        <v>40</v>
      </c>
      <c r="I334" t="s">
        <v>54</v>
      </c>
      <c r="J334" t="s">
        <v>64</v>
      </c>
      <c r="K334" t="s">
        <v>30</v>
      </c>
      <c r="L334" s="27" t="s">
        <v>45</v>
      </c>
      <c r="M334" t="s">
        <v>46</v>
      </c>
      <c r="N334" t="s">
        <v>151</v>
      </c>
      <c r="O334" t="s">
        <v>36</v>
      </c>
      <c r="P334" t="s">
        <v>151</v>
      </c>
      <c r="Q334" t="s">
        <v>284</v>
      </c>
      <c r="R334" s="27">
        <v>0</v>
      </c>
      <c r="S334" s="1">
        <v>250000</v>
      </c>
      <c r="T334" s="1">
        <f ca="1">ROUND(T_EMPLOYEES[[#This Row],[EMP_CTC1]]/12, 0)</f>
        <v>20833</v>
      </c>
      <c r="U334" s="1">
        <v>150000</v>
      </c>
      <c r="V334" s="1" t="s">
        <v>1065</v>
      </c>
      <c r="W334" s="1" t="s">
        <v>1065</v>
      </c>
      <c r="X33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Peddiboyina  Naga Lakshmi (1033506)</v>
      </c>
      <c r="Y334">
        <v>120000</v>
      </c>
      <c r="Z334" s="29">
        <f t="shared" ca="1" si="6"/>
        <v>40</v>
      </c>
      <c r="AA334">
        <f ca="1">IF(T_EMPLOYEES[[#This Row],[EMPLOYEE NUMBER]]="","",ROW(T_EMPLOYEES[[#This Row],[EMPLOYEE LABEL]])-ROW(T_EMPLOYEES[[#Headers],[EMPLOYEE LABEL]]))</f>
        <v>331</v>
      </c>
      <c r="AB334">
        <f ca="1">IF(T_EMPLOYEES[[#This Row],[EMPLOYEE NUMBER]]="","",IF(COUNTIF(T_EMPLOYEES[EMPLOYEE NUMBER],T_EMPLOYEES[[#This Row],[EMPLOYEE NUMBER]])&gt;1,1,0))</f>
        <v>0</v>
      </c>
      <c r="AC334">
        <f ca="1">IF(T_EMPLOYEES[[#This Row],[EMPLOYEE NUMBER]]="","",IF(AND(T_EMPLOYEES[[#This Row],[DATE OF BIRTH]]&gt;0,T_EMPLOYEES[[#This Row],[DATE OF BIRTH]]&lt;TODAY()),0,1))</f>
        <v>0</v>
      </c>
      <c r="AD334">
        <f ca="1">IF(T_EMPLOYEES[[#This Row],[EMPLOYEE NUMBER]]="","",IF(AND(T_EMPLOYEES[[#This Row],[START DATE]]&gt;0,T_EMPLOYEES[[#This Row],[START DATE]]&lt;TODAY()+60),0,1))</f>
        <v>0</v>
      </c>
      <c r="AE334">
        <f ca="1">IF(T_EMPLOYEES[[#This Row],[EMPLOYEE NUMBER]]="","",MATCH(T_EMPLOYEES[[#This Row],[GENDER]],L_GENDER,0))</f>
        <v>2</v>
      </c>
      <c r="AF334">
        <f ca="1">IF(T_EMPLOYEES[[#This Row],[EMPLOYEE NUMBER]]="","",MATCH(T_EMPLOYEES[[#This Row],[HIRE SOURCE]],L_HIRESOURCE,0))</f>
        <v>4</v>
      </c>
      <c r="AG334">
        <f ca="1">IF(T_EMPLOYEES[[#This Row],[EMPLOYEE NUMBER]]="","",MATCH(T_EMPLOYEES[[#This Row],[ETHNICITY]],L_ETHNICITY,0))</f>
        <v>3</v>
      </c>
      <c r="AH334">
        <f ca="1">IF(T_EMPLOYEES[[#This Row],[EMPLOYEE NUMBER]]="","",MATCH(T_EMPLOYEES[[#This Row],[LOCATION]],L_LOCATION,0))</f>
        <v>1</v>
      </c>
      <c r="AI334">
        <f ca="1">IF(T_EMPLOYEES[[#This Row],[EMPLOYEE NUMBER]]="","",MATCH(T_EMPLOYEES[[#This Row],[DEPARTMENT]],L_DEPARTMENT,0))</f>
        <v>2</v>
      </c>
      <c r="AJ334">
        <f ca="1">IF(T_EMPLOYEES[[#This Row],[EMPLOYEE NUMBER]]="","",MATCH(T_EMPLOYEES[[#This Row],[JOB TYPE]],L_JOBTYPE,0))</f>
        <v>2</v>
      </c>
      <c r="AK334">
        <f ca="1">IF(T_EMPLOYEES[[#This Row],[EMPLOYEE NUMBER]]="","",MATCH(T_EMPLOYEES[[#This Row],[JOB CATEGORY]],L_JOBCATEGORY,0))</f>
        <v>30</v>
      </c>
      <c r="AL334">
        <f ca="1">IF(T_EMPLOYEES[[#This Row],[EMPLOYEE NUMBER]]="","",MATCH(T_EMPLOYEES[[#This Row],[JOB LEVEL]],L_JOBLEVEL,0))</f>
        <v>1</v>
      </c>
      <c r="AM334">
        <f ca="1">IF(T_EMPLOYEES[[#This Row],[EMPLOYEE NUMBER]]="","",MATCH(T_EMPLOYEES[[#This Row],[JOB TITLE]],L_JOBTITLE,0))</f>
        <v>30</v>
      </c>
      <c r="AN334">
        <f ca="1">IF(T_EMPLOYEES[[#This Row],[EMPLOYEE NUMBER]]="","",MATCH(T_EMPLOYEES[[#This Row],[MANAGER]],L_EMPLABELS,0))</f>
        <v>96</v>
      </c>
      <c r="AO334">
        <f ca="1">IF(T_EMPLOYEES[[#This Row],[EMPLOYEE NUMBER]]="","",IF(T_EMPLOYEES[[#This Row],[ERROR]]="",0,1))</f>
        <v>0</v>
      </c>
      <c r="AP33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5" spans="1:42">
      <c r="A335" t="s">
        <v>293</v>
      </c>
      <c r="B335" t="s">
        <v>1157</v>
      </c>
      <c r="C335">
        <v>1031093</v>
      </c>
      <c r="D335" t="s">
        <v>1158</v>
      </c>
      <c r="E335" s="26">
        <v>35278</v>
      </c>
      <c r="F335" s="26">
        <v>44889</v>
      </c>
      <c r="H335" t="s">
        <v>27</v>
      </c>
      <c r="I335" t="s">
        <v>54</v>
      </c>
      <c r="J335" t="s">
        <v>64</v>
      </c>
      <c r="K335" t="s">
        <v>30</v>
      </c>
      <c r="L335" s="27" t="s">
        <v>114</v>
      </c>
      <c r="M335" t="s">
        <v>46</v>
      </c>
      <c r="N335" t="s">
        <v>151</v>
      </c>
      <c r="O335" t="s">
        <v>36</v>
      </c>
      <c r="P335" t="s">
        <v>151</v>
      </c>
      <c r="Q335" t="s">
        <v>505</v>
      </c>
      <c r="R335">
        <v>0</v>
      </c>
      <c r="S335" s="1">
        <v>250000</v>
      </c>
      <c r="T335" s="1">
        <f ca="1">ROUND(T_EMPLOYEES[[#This Row],[EMP_CTC1]]/12, 0)</f>
        <v>20833</v>
      </c>
      <c r="U335" s="1">
        <v>150000</v>
      </c>
      <c r="V335" s="1" t="s">
        <v>1065</v>
      </c>
      <c r="W335" s="1" t="s">
        <v>1065</v>
      </c>
      <c r="X33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Kumar Anil Sawant (1031093)</v>
      </c>
      <c r="Y335">
        <v>120000</v>
      </c>
      <c r="Z335" s="29">
        <f t="shared" ca="1" si="6"/>
        <v>40</v>
      </c>
      <c r="AA335">
        <f ca="1">IF(T_EMPLOYEES[[#This Row],[EMPLOYEE NUMBER]]="","",ROW(T_EMPLOYEES[[#This Row],[EMPLOYEE LABEL]])-ROW(T_EMPLOYEES[[#Headers],[EMPLOYEE LABEL]]))</f>
        <v>332</v>
      </c>
      <c r="AB335">
        <f ca="1">IF(T_EMPLOYEES[[#This Row],[EMPLOYEE NUMBER]]="","",IF(COUNTIF(T_EMPLOYEES[EMPLOYEE NUMBER],T_EMPLOYEES[[#This Row],[EMPLOYEE NUMBER]])&gt;1,1,0))</f>
        <v>0</v>
      </c>
      <c r="AC335">
        <f ca="1">IF(T_EMPLOYEES[[#This Row],[EMPLOYEE NUMBER]]="","",IF(AND(T_EMPLOYEES[[#This Row],[DATE OF BIRTH]]&gt;0,T_EMPLOYEES[[#This Row],[DATE OF BIRTH]]&lt;TODAY()),0,1))</f>
        <v>0</v>
      </c>
      <c r="AD335">
        <f ca="1">IF(T_EMPLOYEES[[#This Row],[EMPLOYEE NUMBER]]="","",IF(AND(T_EMPLOYEES[[#This Row],[START DATE]]&gt;0,T_EMPLOYEES[[#This Row],[START DATE]]&lt;TODAY()+60),0,1))</f>
        <v>0</v>
      </c>
      <c r="AE335">
        <f ca="1">IF(T_EMPLOYEES[[#This Row],[EMPLOYEE NUMBER]]="","",MATCH(T_EMPLOYEES[[#This Row],[GENDER]],L_GENDER,0))</f>
        <v>1</v>
      </c>
      <c r="AF335">
        <f ca="1">IF(T_EMPLOYEES[[#This Row],[EMPLOYEE NUMBER]]="","",MATCH(T_EMPLOYEES[[#This Row],[HIRE SOURCE]],L_HIRESOURCE,0))</f>
        <v>4</v>
      </c>
      <c r="AG335">
        <f ca="1">IF(T_EMPLOYEES[[#This Row],[EMPLOYEE NUMBER]]="","",MATCH(T_EMPLOYEES[[#This Row],[ETHNICITY]],L_ETHNICITY,0))</f>
        <v>3</v>
      </c>
      <c r="AH335">
        <f ca="1">IF(T_EMPLOYEES[[#This Row],[EMPLOYEE NUMBER]]="","",MATCH(T_EMPLOYEES[[#This Row],[LOCATION]],L_LOCATION,0))</f>
        <v>1</v>
      </c>
      <c r="AI335">
        <f ca="1">IF(T_EMPLOYEES[[#This Row],[EMPLOYEE NUMBER]]="","",MATCH(T_EMPLOYEES[[#This Row],[DEPARTMENT]],L_DEPARTMENT,0))</f>
        <v>11</v>
      </c>
      <c r="AJ335">
        <f ca="1">IF(T_EMPLOYEES[[#This Row],[EMPLOYEE NUMBER]]="","",MATCH(T_EMPLOYEES[[#This Row],[JOB TYPE]],L_JOBTYPE,0))</f>
        <v>2</v>
      </c>
      <c r="AK335">
        <f ca="1">IF(T_EMPLOYEES[[#This Row],[EMPLOYEE NUMBER]]="","",MATCH(T_EMPLOYEES[[#This Row],[JOB CATEGORY]],L_JOBCATEGORY,0))</f>
        <v>30</v>
      </c>
      <c r="AL335">
        <f ca="1">IF(T_EMPLOYEES[[#This Row],[EMPLOYEE NUMBER]]="","",MATCH(T_EMPLOYEES[[#This Row],[JOB LEVEL]],L_JOBLEVEL,0))</f>
        <v>1</v>
      </c>
      <c r="AM335">
        <f ca="1">IF(T_EMPLOYEES[[#This Row],[EMPLOYEE NUMBER]]="","",MATCH(T_EMPLOYEES[[#This Row],[JOB TITLE]],L_JOBTITLE,0))</f>
        <v>30</v>
      </c>
      <c r="AN335">
        <f ca="1">IF(T_EMPLOYEES[[#This Row],[EMPLOYEE NUMBER]]="","",MATCH(T_EMPLOYEES[[#This Row],[MANAGER]],L_EMPLABELS,0))</f>
        <v>57</v>
      </c>
      <c r="AO335">
        <f ca="1">IF(T_EMPLOYEES[[#This Row],[EMPLOYEE NUMBER]]="","",IF(T_EMPLOYEES[[#This Row],[ERROR]]="",0,1))</f>
        <v>0</v>
      </c>
      <c r="AP33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6" spans="1:42">
      <c r="A336" t="s">
        <v>1159</v>
      </c>
      <c r="B336" t="s">
        <v>1160</v>
      </c>
      <c r="C336">
        <v>1032201</v>
      </c>
      <c r="D336" t="s">
        <v>1161</v>
      </c>
      <c r="E336" s="26">
        <v>35282</v>
      </c>
      <c r="F336" s="26">
        <v>44967</v>
      </c>
      <c r="H336" t="s">
        <v>27</v>
      </c>
      <c r="I336" t="s">
        <v>54</v>
      </c>
      <c r="J336" t="s">
        <v>64</v>
      </c>
      <c r="K336" t="s">
        <v>30</v>
      </c>
      <c r="L336" s="27" t="s">
        <v>45</v>
      </c>
      <c r="M336" t="s">
        <v>46</v>
      </c>
      <c r="N336" t="s">
        <v>128</v>
      </c>
      <c r="O336" t="s">
        <v>60</v>
      </c>
      <c r="P336" t="s">
        <v>128</v>
      </c>
      <c r="Q336" t="s">
        <v>218</v>
      </c>
      <c r="R336" s="27">
        <v>4</v>
      </c>
      <c r="S336" s="1">
        <v>250000</v>
      </c>
      <c r="T336" s="1">
        <f ca="1">ROUND(T_EMPLOYEES[[#This Row],[EMP_CTC1]]/12, 0)</f>
        <v>20833</v>
      </c>
      <c r="U336" s="1">
        <v>150000</v>
      </c>
      <c r="V336" s="1" t="s">
        <v>1065</v>
      </c>
      <c r="W336" s="1" t="s">
        <v>1065</v>
      </c>
      <c r="X33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Pasam Pradeep (1032201)</v>
      </c>
      <c r="Y336">
        <v>120000</v>
      </c>
      <c r="Z336" s="29">
        <f t="shared" ca="1" si="6"/>
        <v>40</v>
      </c>
      <c r="AA336">
        <f ca="1">IF(T_EMPLOYEES[[#This Row],[EMPLOYEE NUMBER]]="","",ROW(T_EMPLOYEES[[#This Row],[EMPLOYEE LABEL]])-ROW(T_EMPLOYEES[[#Headers],[EMPLOYEE LABEL]]))</f>
        <v>333</v>
      </c>
      <c r="AB336">
        <f ca="1">IF(T_EMPLOYEES[[#This Row],[EMPLOYEE NUMBER]]="","",IF(COUNTIF(T_EMPLOYEES[EMPLOYEE NUMBER],T_EMPLOYEES[[#This Row],[EMPLOYEE NUMBER]])&gt;1,1,0))</f>
        <v>0</v>
      </c>
      <c r="AC336">
        <f ca="1">IF(T_EMPLOYEES[[#This Row],[EMPLOYEE NUMBER]]="","",IF(AND(T_EMPLOYEES[[#This Row],[DATE OF BIRTH]]&gt;0,T_EMPLOYEES[[#This Row],[DATE OF BIRTH]]&lt;TODAY()),0,1))</f>
        <v>0</v>
      </c>
      <c r="AD336">
        <f ca="1">IF(T_EMPLOYEES[[#This Row],[EMPLOYEE NUMBER]]="","",IF(AND(T_EMPLOYEES[[#This Row],[START DATE]]&gt;0,T_EMPLOYEES[[#This Row],[START DATE]]&lt;TODAY()+60),0,1))</f>
        <v>0</v>
      </c>
      <c r="AE336">
        <f ca="1">IF(T_EMPLOYEES[[#This Row],[EMPLOYEE NUMBER]]="","",MATCH(T_EMPLOYEES[[#This Row],[GENDER]],L_GENDER,0))</f>
        <v>1</v>
      </c>
      <c r="AF336">
        <f ca="1">IF(T_EMPLOYEES[[#This Row],[EMPLOYEE NUMBER]]="","",MATCH(T_EMPLOYEES[[#This Row],[HIRE SOURCE]],L_HIRESOURCE,0))</f>
        <v>4</v>
      </c>
      <c r="AG336">
        <f ca="1">IF(T_EMPLOYEES[[#This Row],[EMPLOYEE NUMBER]]="","",MATCH(T_EMPLOYEES[[#This Row],[ETHNICITY]],L_ETHNICITY,0))</f>
        <v>3</v>
      </c>
      <c r="AH336">
        <f ca="1">IF(T_EMPLOYEES[[#This Row],[EMPLOYEE NUMBER]]="","",MATCH(T_EMPLOYEES[[#This Row],[LOCATION]],L_LOCATION,0))</f>
        <v>1</v>
      </c>
      <c r="AI336">
        <f ca="1">IF(T_EMPLOYEES[[#This Row],[EMPLOYEE NUMBER]]="","",MATCH(T_EMPLOYEES[[#This Row],[DEPARTMENT]],L_DEPARTMENT,0))</f>
        <v>2</v>
      </c>
      <c r="AJ336">
        <f ca="1">IF(T_EMPLOYEES[[#This Row],[EMPLOYEE NUMBER]]="","",MATCH(T_EMPLOYEES[[#This Row],[JOB TYPE]],L_JOBTYPE,0))</f>
        <v>2</v>
      </c>
      <c r="AK336">
        <f ca="1">IF(T_EMPLOYEES[[#This Row],[EMPLOYEE NUMBER]]="","",MATCH(T_EMPLOYEES[[#This Row],[JOB CATEGORY]],L_JOBCATEGORY,0))</f>
        <v>15</v>
      </c>
      <c r="AL336">
        <f ca="1">IF(T_EMPLOYEES[[#This Row],[EMPLOYEE NUMBER]]="","",MATCH(T_EMPLOYEES[[#This Row],[JOB LEVEL]],L_JOBLEVEL,0))</f>
        <v>3</v>
      </c>
      <c r="AM336">
        <f ca="1">IF(T_EMPLOYEES[[#This Row],[EMPLOYEE NUMBER]]="","",MATCH(T_EMPLOYEES[[#This Row],[JOB TITLE]],L_JOBTITLE,0))</f>
        <v>15</v>
      </c>
      <c r="AN336">
        <f ca="1">IF(T_EMPLOYEES[[#This Row],[EMPLOYEE NUMBER]]="","",MATCH(T_EMPLOYEES[[#This Row],[MANAGER]],L_EMPLABELS,0))</f>
        <v>43</v>
      </c>
      <c r="AO336">
        <f ca="1">IF(T_EMPLOYEES[[#This Row],[EMPLOYEE NUMBER]]="","",IF(T_EMPLOYEES[[#This Row],[ERROR]]="",0,1))</f>
        <v>0</v>
      </c>
      <c r="AP33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7" spans="1:42">
      <c r="A337" t="s">
        <v>1162</v>
      </c>
      <c r="B337" t="s">
        <v>1163</v>
      </c>
      <c r="C337">
        <v>1022124</v>
      </c>
      <c r="D337" t="s">
        <v>1164</v>
      </c>
      <c r="E337" s="26">
        <v>35285</v>
      </c>
      <c r="F337" s="26">
        <v>43614</v>
      </c>
      <c r="H337" t="s">
        <v>40</v>
      </c>
      <c r="I337" t="s">
        <v>54</v>
      </c>
      <c r="J337" t="s">
        <v>64</v>
      </c>
      <c r="K337" t="s">
        <v>30</v>
      </c>
      <c r="L337" s="27" t="s">
        <v>45</v>
      </c>
      <c r="M337" t="s">
        <v>46</v>
      </c>
      <c r="N337" t="s">
        <v>128</v>
      </c>
      <c r="O337" t="s">
        <v>60</v>
      </c>
      <c r="P337" t="s">
        <v>128</v>
      </c>
      <c r="Q337" t="s">
        <v>321</v>
      </c>
      <c r="R337">
        <v>4</v>
      </c>
      <c r="S337" s="1">
        <v>250000</v>
      </c>
      <c r="T337" s="1">
        <f ca="1">ROUND(T_EMPLOYEES[[#This Row],[EMP_CTC1]]/12, 0)</f>
        <v>20833</v>
      </c>
      <c r="U337" s="1">
        <v>150000</v>
      </c>
      <c r="V337" s="1" t="s">
        <v>1065</v>
      </c>
      <c r="W337" s="1" t="s">
        <v>1065</v>
      </c>
      <c r="X33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Preeti Basappa Hugar (1022124)</v>
      </c>
      <c r="Y337">
        <v>120000</v>
      </c>
      <c r="Z337" s="29">
        <f t="shared" ca="1" si="6"/>
        <v>40</v>
      </c>
      <c r="AA337">
        <f ca="1">IF(T_EMPLOYEES[[#This Row],[EMPLOYEE NUMBER]]="","",ROW(T_EMPLOYEES[[#This Row],[EMPLOYEE LABEL]])-ROW(T_EMPLOYEES[[#Headers],[EMPLOYEE LABEL]]))</f>
        <v>334</v>
      </c>
      <c r="AB337">
        <f ca="1">IF(T_EMPLOYEES[[#This Row],[EMPLOYEE NUMBER]]="","",IF(COUNTIF(T_EMPLOYEES[EMPLOYEE NUMBER],T_EMPLOYEES[[#This Row],[EMPLOYEE NUMBER]])&gt;1,1,0))</f>
        <v>0</v>
      </c>
      <c r="AC337">
        <f ca="1">IF(T_EMPLOYEES[[#This Row],[EMPLOYEE NUMBER]]="","",IF(AND(T_EMPLOYEES[[#This Row],[DATE OF BIRTH]]&gt;0,T_EMPLOYEES[[#This Row],[DATE OF BIRTH]]&lt;TODAY()),0,1))</f>
        <v>0</v>
      </c>
      <c r="AD337">
        <f ca="1">IF(T_EMPLOYEES[[#This Row],[EMPLOYEE NUMBER]]="","",IF(AND(T_EMPLOYEES[[#This Row],[START DATE]]&gt;0,T_EMPLOYEES[[#This Row],[START DATE]]&lt;TODAY()+60),0,1))</f>
        <v>0</v>
      </c>
      <c r="AE337">
        <f ca="1">IF(T_EMPLOYEES[[#This Row],[EMPLOYEE NUMBER]]="","",MATCH(T_EMPLOYEES[[#This Row],[GENDER]],L_GENDER,0))</f>
        <v>2</v>
      </c>
      <c r="AF337">
        <f ca="1">IF(T_EMPLOYEES[[#This Row],[EMPLOYEE NUMBER]]="","",MATCH(T_EMPLOYEES[[#This Row],[HIRE SOURCE]],L_HIRESOURCE,0))</f>
        <v>4</v>
      </c>
      <c r="AG337">
        <f ca="1">IF(T_EMPLOYEES[[#This Row],[EMPLOYEE NUMBER]]="","",MATCH(T_EMPLOYEES[[#This Row],[ETHNICITY]],L_ETHNICITY,0))</f>
        <v>3</v>
      </c>
      <c r="AH337">
        <f ca="1">IF(T_EMPLOYEES[[#This Row],[EMPLOYEE NUMBER]]="","",MATCH(T_EMPLOYEES[[#This Row],[LOCATION]],L_LOCATION,0))</f>
        <v>1</v>
      </c>
      <c r="AI337">
        <f ca="1">IF(T_EMPLOYEES[[#This Row],[EMPLOYEE NUMBER]]="","",MATCH(T_EMPLOYEES[[#This Row],[DEPARTMENT]],L_DEPARTMENT,0))</f>
        <v>2</v>
      </c>
      <c r="AJ337">
        <f ca="1">IF(T_EMPLOYEES[[#This Row],[EMPLOYEE NUMBER]]="","",MATCH(T_EMPLOYEES[[#This Row],[JOB TYPE]],L_JOBTYPE,0))</f>
        <v>2</v>
      </c>
      <c r="AK337">
        <f ca="1">IF(T_EMPLOYEES[[#This Row],[EMPLOYEE NUMBER]]="","",MATCH(T_EMPLOYEES[[#This Row],[JOB CATEGORY]],L_JOBCATEGORY,0))</f>
        <v>15</v>
      </c>
      <c r="AL337">
        <f ca="1">IF(T_EMPLOYEES[[#This Row],[EMPLOYEE NUMBER]]="","",MATCH(T_EMPLOYEES[[#This Row],[JOB LEVEL]],L_JOBLEVEL,0))</f>
        <v>3</v>
      </c>
      <c r="AM337">
        <f ca="1">IF(T_EMPLOYEES[[#This Row],[EMPLOYEE NUMBER]]="","",MATCH(T_EMPLOYEES[[#This Row],[JOB TITLE]],L_JOBTITLE,0))</f>
        <v>15</v>
      </c>
      <c r="AN337">
        <f ca="1">IF(T_EMPLOYEES[[#This Row],[EMPLOYEE NUMBER]]="","",MATCH(T_EMPLOYEES[[#This Row],[MANAGER]],L_EMPLABELS,0))</f>
        <v>3</v>
      </c>
      <c r="AO337">
        <f ca="1">IF(T_EMPLOYEES[[#This Row],[EMPLOYEE NUMBER]]="","",IF(T_EMPLOYEES[[#This Row],[ERROR]]="",0,1))</f>
        <v>0</v>
      </c>
      <c r="AP33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8" spans="1:42">
      <c r="A338" t="s">
        <v>1165</v>
      </c>
      <c r="B338" t="s">
        <v>351</v>
      </c>
      <c r="C338">
        <v>1027703</v>
      </c>
      <c r="D338" t="s">
        <v>1166</v>
      </c>
      <c r="E338" s="26">
        <v>35294</v>
      </c>
      <c r="F338" s="26">
        <v>44550</v>
      </c>
      <c r="H338" t="s">
        <v>40</v>
      </c>
      <c r="I338" t="s">
        <v>54</v>
      </c>
      <c r="J338" t="s">
        <v>64</v>
      </c>
      <c r="K338" t="s">
        <v>30</v>
      </c>
      <c r="L338" s="27" t="s">
        <v>110</v>
      </c>
      <c r="M338" t="s">
        <v>46</v>
      </c>
      <c r="N338" t="s">
        <v>148</v>
      </c>
      <c r="O338" t="s">
        <v>48</v>
      </c>
      <c r="P338" t="s">
        <v>148</v>
      </c>
      <c r="Q338" t="s">
        <v>344</v>
      </c>
      <c r="R338" s="27">
        <v>4</v>
      </c>
      <c r="S338" s="1">
        <v>250000</v>
      </c>
      <c r="T338" s="1">
        <f ca="1">ROUND(T_EMPLOYEES[[#This Row],[EMP_CTC1]]/12, 0)</f>
        <v>20833</v>
      </c>
      <c r="U338" s="1">
        <v>150000</v>
      </c>
      <c r="V338" s="1" t="s">
        <v>1065</v>
      </c>
      <c r="W338" s="1" t="s">
        <v>1065</v>
      </c>
      <c r="X33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Sushmitha  M (1027703)</v>
      </c>
      <c r="Y338">
        <v>120000</v>
      </c>
      <c r="Z338" s="29">
        <f t="shared" ca="1" si="6"/>
        <v>40</v>
      </c>
      <c r="AA338">
        <f ca="1">IF(T_EMPLOYEES[[#This Row],[EMPLOYEE NUMBER]]="","",ROW(T_EMPLOYEES[[#This Row],[EMPLOYEE LABEL]])-ROW(T_EMPLOYEES[[#Headers],[EMPLOYEE LABEL]]))</f>
        <v>335</v>
      </c>
      <c r="AB338">
        <f ca="1">IF(T_EMPLOYEES[[#This Row],[EMPLOYEE NUMBER]]="","",IF(COUNTIF(T_EMPLOYEES[EMPLOYEE NUMBER],T_EMPLOYEES[[#This Row],[EMPLOYEE NUMBER]])&gt;1,1,0))</f>
        <v>0</v>
      </c>
      <c r="AC338">
        <f ca="1">IF(T_EMPLOYEES[[#This Row],[EMPLOYEE NUMBER]]="","",IF(AND(T_EMPLOYEES[[#This Row],[DATE OF BIRTH]]&gt;0,T_EMPLOYEES[[#This Row],[DATE OF BIRTH]]&lt;TODAY()),0,1))</f>
        <v>0</v>
      </c>
      <c r="AD338">
        <f ca="1">IF(T_EMPLOYEES[[#This Row],[EMPLOYEE NUMBER]]="","",IF(AND(T_EMPLOYEES[[#This Row],[START DATE]]&gt;0,T_EMPLOYEES[[#This Row],[START DATE]]&lt;TODAY()+60),0,1))</f>
        <v>0</v>
      </c>
      <c r="AE338">
        <f ca="1">IF(T_EMPLOYEES[[#This Row],[EMPLOYEE NUMBER]]="","",MATCH(T_EMPLOYEES[[#This Row],[GENDER]],L_GENDER,0))</f>
        <v>2</v>
      </c>
      <c r="AF338">
        <f ca="1">IF(T_EMPLOYEES[[#This Row],[EMPLOYEE NUMBER]]="","",MATCH(T_EMPLOYEES[[#This Row],[HIRE SOURCE]],L_HIRESOURCE,0))</f>
        <v>4</v>
      </c>
      <c r="AG338">
        <f ca="1">IF(T_EMPLOYEES[[#This Row],[EMPLOYEE NUMBER]]="","",MATCH(T_EMPLOYEES[[#This Row],[ETHNICITY]],L_ETHNICITY,0))</f>
        <v>3</v>
      </c>
      <c r="AH338">
        <f ca="1">IF(T_EMPLOYEES[[#This Row],[EMPLOYEE NUMBER]]="","",MATCH(T_EMPLOYEES[[#This Row],[LOCATION]],L_LOCATION,0))</f>
        <v>1</v>
      </c>
      <c r="AI338">
        <f ca="1">IF(T_EMPLOYEES[[#This Row],[EMPLOYEE NUMBER]]="","",MATCH(T_EMPLOYEES[[#This Row],[DEPARTMENT]],L_DEPARTMENT,0))</f>
        <v>10</v>
      </c>
      <c r="AJ338">
        <f ca="1">IF(T_EMPLOYEES[[#This Row],[EMPLOYEE NUMBER]]="","",MATCH(T_EMPLOYEES[[#This Row],[JOB TYPE]],L_JOBTYPE,0))</f>
        <v>2</v>
      </c>
      <c r="AK338">
        <f ca="1">IF(T_EMPLOYEES[[#This Row],[EMPLOYEE NUMBER]]="","",MATCH(T_EMPLOYEES[[#This Row],[JOB CATEGORY]],L_JOBCATEGORY,0))</f>
        <v>27</v>
      </c>
      <c r="AL338">
        <f ca="1">IF(T_EMPLOYEES[[#This Row],[EMPLOYEE NUMBER]]="","",MATCH(T_EMPLOYEES[[#This Row],[JOB LEVEL]],L_JOBLEVEL,0))</f>
        <v>2</v>
      </c>
      <c r="AM338">
        <f ca="1">IF(T_EMPLOYEES[[#This Row],[EMPLOYEE NUMBER]]="","",MATCH(T_EMPLOYEES[[#This Row],[JOB TITLE]],L_JOBTITLE,0))</f>
        <v>27</v>
      </c>
      <c r="AN338">
        <f ca="1">IF(T_EMPLOYEES[[#This Row],[EMPLOYEE NUMBER]]="","",MATCH(T_EMPLOYEES[[#This Row],[MANAGER]],L_EMPLABELS,0))</f>
        <v>12</v>
      </c>
      <c r="AO338">
        <f ca="1">IF(T_EMPLOYEES[[#This Row],[EMPLOYEE NUMBER]]="","",IF(T_EMPLOYEES[[#This Row],[ERROR]]="",0,1))</f>
        <v>0</v>
      </c>
      <c r="AP33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9" spans="1:42">
      <c r="A339" t="s">
        <v>1167</v>
      </c>
      <c r="B339" t="s">
        <v>1168</v>
      </c>
      <c r="C339">
        <v>1031051</v>
      </c>
      <c r="D339" t="s">
        <v>1169</v>
      </c>
      <c r="E339" s="26">
        <v>35390</v>
      </c>
      <c r="F339" s="26">
        <v>44889</v>
      </c>
      <c r="H339" t="s">
        <v>27</v>
      </c>
      <c r="I339" t="s">
        <v>54</v>
      </c>
      <c r="J339" t="s">
        <v>64</v>
      </c>
      <c r="K339" t="s">
        <v>43</v>
      </c>
      <c r="L339" s="27" t="s">
        <v>114</v>
      </c>
      <c r="M339" t="s">
        <v>46</v>
      </c>
      <c r="N339" t="s">
        <v>151</v>
      </c>
      <c r="O339" t="s">
        <v>36</v>
      </c>
      <c r="P339" t="s">
        <v>151</v>
      </c>
      <c r="Q339" t="s">
        <v>505</v>
      </c>
      <c r="R339">
        <v>0</v>
      </c>
      <c r="S339" s="1">
        <v>250000</v>
      </c>
      <c r="T339" s="1">
        <f ca="1">ROUND(T_EMPLOYEES[[#This Row],[EMP_CTC1]]/12, 0)</f>
        <v>20833</v>
      </c>
      <c r="U339" s="1">
        <v>150000</v>
      </c>
      <c r="V339" s="1" t="s">
        <v>1065</v>
      </c>
      <c r="W339" s="1" t="s">
        <v>1065</v>
      </c>
      <c r="X33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Anant Shrikrushna Badhe (1031051)</v>
      </c>
      <c r="Y339">
        <v>120000</v>
      </c>
      <c r="Z339" s="29">
        <f t="shared" ca="1" si="6"/>
        <v>40</v>
      </c>
      <c r="AA339">
        <f ca="1">IF(T_EMPLOYEES[[#This Row],[EMPLOYEE NUMBER]]="","",ROW(T_EMPLOYEES[[#This Row],[EMPLOYEE LABEL]])-ROW(T_EMPLOYEES[[#Headers],[EMPLOYEE LABEL]]))</f>
        <v>336</v>
      </c>
      <c r="AB339">
        <f ca="1">IF(T_EMPLOYEES[[#This Row],[EMPLOYEE NUMBER]]="","",IF(COUNTIF(T_EMPLOYEES[EMPLOYEE NUMBER],T_EMPLOYEES[[#This Row],[EMPLOYEE NUMBER]])&gt;1,1,0))</f>
        <v>0</v>
      </c>
      <c r="AC339">
        <f ca="1">IF(T_EMPLOYEES[[#This Row],[EMPLOYEE NUMBER]]="","",IF(AND(T_EMPLOYEES[[#This Row],[DATE OF BIRTH]]&gt;0,T_EMPLOYEES[[#This Row],[DATE OF BIRTH]]&lt;TODAY()),0,1))</f>
        <v>0</v>
      </c>
      <c r="AD339">
        <f ca="1">IF(T_EMPLOYEES[[#This Row],[EMPLOYEE NUMBER]]="","",IF(AND(T_EMPLOYEES[[#This Row],[START DATE]]&gt;0,T_EMPLOYEES[[#This Row],[START DATE]]&lt;TODAY()+60),0,1))</f>
        <v>0</v>
      </c>
      <c r="AE339">
        <f ca="1">IF(T_EMPLOYEES[[#This Row],[EMPLOYEE NUMBER]]="","",MATCH(T_EMPLOYEES[[#This Row],[GENDER]],L_GENDER,0))</f>
        <v>1</v>
      </c>
      <c r="AF339">
        <f ca="1">IF(T_EMPLOYEES[[#This Row],[EMPLOYEE NUMBER]]="","",MATCH(T_EMPLOYEES[[#This Row],[HIRE SOURCE]],L_HIRESOURCE,0))</f>
        <v>4</v>
      </c>
      <c r="AG339">
        <f ca="1">IF(T_EMPLOYEES[[#This Row],[EMPLOYEE NUMBER]]="","",MATCH(T_EMPLOYEES[[#This Row],[ETHNICITY]],L_ETHNICITY,0))</f>
        <v>3</v>
      </c>
      <c r="AH339">
        <f ca="1">IF(T_EMPLOYEES[[#This Row],[EMPLOYEE NUMBER]]="","",MATCH(T_EMPLOYEES[[#This Row],[LOCATION]],L_LOCATION,0))</f>
        <v>2</v>
      </c>
      <c r="AI339">
        <f ca="1">IF(T_EMPLOYEES[[#This Row],[EMPLOYEE NUMBER]]="","",MATCH(T_EMPLOYEES[[#This Row],[DEPARTMENT]],L_DEPARTMENT,0))</f>
        <v>11</v>
      </c>
      <c r="AJ339">
        <f ca="1">IF(T_EMPLOYEES[[#This Row],[EMPLOYEE NUMBER]]="","",MATCH(T_EMPLOYEES[[#This Row],[JOB TYPE]],L_JOBTYPE,0))</f>
        <v>2</v>
      </c>
      <c r="AK339">
        <f ca="1">IF(T_EMPLOYEES[[#This Row],[EMPLOYEE NUMBER]]="","",MATCH(T_EMPLOYEES[[#This Row],[JOB CATEGORY]],L_JOBCATEGORY,0))</f>
        <v>30</v>
      </c>
      <c r="AL339">
        <f ca="1">IF(T_EMPLOYEES[[#This Row],[EMPLOYEE NUMBER]]="","",MATCH(T_EMPLOYEES[[#This Row],[JOB LEVEL]],L_JOBLEVEL,0))</f>
        <v>1</v>
      </c>
      <c r="AM339">
        <f ca="1">IF(T_EMPLOYEES[[#This Row],[EMPLOYEE NUMBER]]="","",MATCH(T_EMPLOYEES[[#This Row],[JOB TITLE]],L_JOBTITLE,0))</f>
        <v>30</v>
      </c>
      <c r="AN339">
        <f ca="1">IF(T_EMPLOYEES[[#This Row],[EMPLOYEE NUMBER]]="","",MATCH(T_EMPLOYEES[[#This Row],[MANAGER]],L_EMPLABELS,0))</f>
        <v>57</v>
      </c>
      <c r="AO339">
        <f ca="1">IF(T_EMPLOYEES[[#This Row],[EMPLOYEE NUMBER]]="","",IF(T_EMPLOYEES[[#This Row],[ERROR]]="",0,1))</f>
        <v>0</v>
      </c>
      <c r="AP33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0" spans="1:42">
      <c r="A340" t="s">
        <v>1170</v>
      </c>
      <c r="B340" t="s">
        <v>1171</v>
      </c>
      <c r="C340">
        <v>1027797</v>
      </c>
      <c r="D340" t="s">
        <v>1172</v>
      </c>
      <c r="E340" s="26">
        <v>35401</v>
      </c>
      <c r="F340" s="26">
        <v>44557</v>
      </c>
      <c r="H340" t="s">
        <v>27</v>
      </c>
      <c r="I340" t="s">
        <v>54</v>
      </c>
      <c r="J340" t="s">
        <v>64</v>
      </c>
      <c r="K340" t="s">
        <v>30</v>
      </c>
      <c r="L340" s="27" t="s">
        <v>45</v>
      </c>
      <c r="M340" t="s">
        <v>46</v>
      </c>
      <c r="N340" t="s">
        <v>152</v>
      </c>
      <c r="O340" t="s">
        <v>60</v>
      </c>
      <c r="P340" t="s">
        <v>152</v>
      </c>
      <c r="Q340" t="s">
        <v>684</v>
      </c>
      <c r="R340" s="27">
        <v>4</v>
      </c>
      <c r="S340" s="1">
        <v>250000</v>
      </c>
      <c r="T340" s="1">
        <f ca="1">ROUND(T_EMPLOYEES[[#This Row],[EMP_CTC1]]/12, 0)</f>
        <v>20833</v>
      </c>
      <c r="U340" s="1">
        <v>150000</v>
      </c>
      <c r="V340" s="1" t="s">
        <v>1065</v>
      </c>
      <c r="W340" s="1" t="s">
        <v>1065</v>
      </c>
      <c r="X34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Karthik Kumar  R (1027797)</v>
      </c>
      <c r="Y340">
        <v>120000</v>
      </c>
      <c r="Z340" s="29">
        <f t="shared" ca="1" si="6"/>
        <v>40</v>
      </c>
      <c r="AA340">
        <f ca="1">IF(T_EMPLOYEES[[#This Row],[EMPLOYEE NUMBER]]="","",ROW(T_EMPLOYEES[[#This Row],[EMPLOYEE LABEL]])-ROW(T_EMPLOYEES[[#Headers],[EMPLOYEE LABEL]]))</f>
        <v>337</v>
      </c>
      <c r="AB340">
        <f ca="1">IF(T_EMPLOYEES[[#This Row],[EMPLOYEE NUMBER]]="","",IF(COUNTIF(T_EMPLOYEES[EMPLOYEE NUMBER],T_EMPLOYEES[[#This Row],[EMPLOYEE NUMBER]])&gt;1,1,0))</f>
        <v>0</v>
      </c>
      <c r="AC340">
        <f ca="1">IF(T_EMPLOYEES[[#This Row],[EMPLOYEE NUMBER]]="","",IF(AND(T_EMPLOYEES[[#This Row],[DATE OF BIRTH]]&gt;0,T_EMPLOYEES[[#This Row],[DATE OF BIRTH]]&lt;TODAY()),0,1))</f>
        <v>0</v>
      </c>
      <c r="AD340">
        <f ca="1">IF(T_EMPLOYEES[[#This Row],[EMPLOYEE NUMBER]]="","",IF(AND(T_EMPLOYEES[[#This Row],[START DATE]]&gt;0,T_EMPLOYEES[[#This Row],[START DATE]]&lt;TODAY()+60),0,1))</f>
        <v>0</v>
      </c>
      <c r="AE340">
        <f ca="1">IF(T_EMPLOYEES[[#This Row],[EMPLOYEE NUMBER]]="","",MATCH(T_EMPLOYEES[[#This Row],[GENDER]],L_GENDER,0))</f>
        <v>1</v>
      </c>
      <c r="AF340">
        <f ca="1">IF(T_EMPLOYEES[[#This Row],[EMPLOYEE NUMBER]]="","",MATCH(T_EMPLOYEES[[#This Row],[HIRE SOURCE]],L_HIRESOURCE,0))</f>
        <v>4</v>
      </c>
      <c r="AG340">
        <f ca="1">IF(T_EMPLOYEES[[#This Row],[EMPLOYEE NUMBER]]="","",MATCH(T_EMPLOYEES[[#This Row],[ETHNICITY]],L_ETHNICITY,0))</f>
        <v>3</v>
      </c>
      <c r="AH340">
        <f ca="1">IF(T_EMPLOYEES[[#This Row],[EMPLOYEE NUMBER]]="","",MATCH(T_EMPLOYEES[[#This Row],[LOCATION]],L_LOCATION,0))</f>
        <v>1</v>
      </c>
      <c r="AI340">
        <f ca="1">IF(T_EMPLOYEES[[#This Row],[EMPLOYEE NUMBER]]="","",MATCH(T_EMPLOYEES[[#This Row],[DEPARTMENT]],L_DEPARTMENT,0))</f>
        <v>2</v>
      </c>
      <c r="AJ340">
        <f ca="1">IF(T_EMPLOYEES[[#This Row],[EMPLOYEE NUMBER]]="","",MATCH(T_EMPLOYEES[[#This Row],[JOB TYPE]],L_JOBTYPE,0))</f>
        <v>2</v>
      </c>
      <c r="AK340">
        <f ca="1">IF(T_EMPLOYEES[[#This Row],[EMPLOYEE NUMBER]]="","",MATCH(T_EMPLOYEES[[#This Row],[JOB CATEGORY]],L_JOBCATEGORY,0))</f>
        <v>31</v>
      </c>
      <c r="AL340">
        <f ca="1">IF(T_EMPLOYEES[[#This Row],[EMPLOYEE NUMBER]]="","",MATCH(T_EMPLOYEES[[#This Row],[JOB LEVEL]],L_JOBLEVEL,0))</f>
        <v>3</v>
      </c>
      <c r="AM340">
        <f ca="1">IF(T_EMPLOYEES[[#This Row],[EMPLOYEE NUMBER]]="","",MATCH(T_EMPLOYEES[[#This Row],[JOB TITLE]],L_JOBTITLE,0))</f>
        <v>31</v>
      </c>
      <c r="AN340">
        <f ca="1">IF(T_EMPLOYEES[[#This Row],[EMPLOYEE NUMBER]]="","",MATCH(T_EMPLOYEES[[#This Row],[MANAGER]],L_EMPLABELS,0))</f>
        <v>232</v>
      </c>
      <c r="AO340">
        <f ca="1">IF(T_EMPLOYEES[[#This Row],[EMPLOYEE NUMBER]]="","",IF(T_EMPLOYEES[[#This Row],[ERROR]]="",0,1))</f>
        <v>0</v>
      </c>
      <c r="AP34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1" spans="1:42">
      <c r="A341" t="s">
        <v>1173</v>
      </c>
      <c r="B341" t="s">
        <v>282</v>
      </c>
      <c r="C341">
        <v>1028066</v>
      </c>
      <c r="D341" t="s">
        <v>1174</v>
      </c>
      <c r="E341" s="26">
        <v>35402</v>
      </c>
      <c r="F341" s="26">
        <v>44579</v>
      </c>
      <c r="H341" t="s">
        <v>27</v>
      </c>
      <c r="I341" t="s">
        <v>54</v>
      </c>
      <c r="J341" t="s">
        <v>64</v>
      </c>
      <c r="K341" t="s">
        <v>43</v>
      </c>
      <c r="L341" s="27" t="s">
        <v>114</v>
      </c>
      <c r="M341" t="s">
        <v>46</v>
      </c>
      <c r="N341" t="s">
        <v>160</v>
      </c>
      <c r="O341" t="s">
        <v>48</v>
      </c>
      <c r="P341" t="s">
        <v>160</v>
      </c>
      <c r="Q341" t="s">
        <v>468</v>
      </c>
      <c r="R341">
        <v>4</v>
      </c>
      <c r="S341" s="1">
        <v>250000</v>
      </c>
      <c r="T341" s="1">
        <f ca="1">ROUND(T_EMPLOYEES[[#This Row],[EMP_CTC1]]/12, 0)</f>
        <v>20833</v>
      </c>
      <c r="U341" s="1">
        <v>150000</v>
      </c>
      <c r="V341" s="1" t="s">
        <v>1065</v>
      </c>
      <c r="W341" s="1" t="s">
        <v>1065</v>
      </c>
      <c r="X34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Katam  Nagaraju (1028066)</v>
      </c>
      <c r="Y341">
        <v>120000</v>
      </c>
      <c r="Z341" s="29">
        <f t="shared" ca="1" si="6"/>
        <v>40</v>
      </c>
      <c r="AA341">
        <f ca="1">IF(T_EMPLOYEES[[#This Row],[EMPLOYEE NUMBER]]="","",ROW(T_EMPLOYEES[[#This Row],[EMPLOYEE LABEL]])-ROW(T_EMPLOYEES[[#Headers],[EMPLOYEE LABEL]]))</f>
        <v>338</v>
      </c>
      <c r="AB341">
        <f ca="1">IF(T_EMPLOYEES[[#This Row],[EMPLOYEE NUMBER]]="","",IF(COUNTIF(T_EMPLOYEES[EMPLOYEE NUMBER],T_EMPLOYEES[[#This Row],[EMPLOYEE NUMBER]])&gt;1,1,0))</f>
        <v>0</v>
      </c>
      <c r="AC341">
        <f ca="1">IF(T_EMPLOYEES[[#This Row],[EMPLOYEE NUMBER]]="","",IF(AND(T_EMPLOYEES[[#This Row],[DATE OF BIRTH]]&gt;0,T_EMPLOYEES[[#This Row],[DATE OF BIRTH]]&lt;TODAY()),0,1))</f>
        <v>0</v>
      </c>
      <c r="AD341">
        <f ca="1">IF(T_EMPLOYEES[[#This Row],[EMPLOYEE NUMBER]]="","",IF(AND(T_EMPLOYEES[[#This Row],[START DATE]]&gt;0,T_EMPLOYEES[[#This Row],[START DATE]]&lt;TODAY()+60),0,1))</f>
        <v>0</v>
      </c>
      <c r="AE341">
        <f ca="1">IF(T_EMPLOYEES[[#This Row],[EMPLOYEE NUMBER]]="","",MATCH(T_EMPLOYEES[[#This Row],[GENDER]],L_GENDER,0))</f>
        <v>1</v>
      </c>
      <c r="AF341">
        <f ca="1">IF(T_EMPLOYEES[[#This Row],[EMPLOYEE NUMBER]]="","",MATCH(T_EMPLOYEES[[#This Row],[HIRE SOURCE]],L_HIRESOURCE,0))</f>
        <v>4</v>
      </c>
      <c r="AG341">
        <f ca="1">IF(T_EMPLOYEES[[#This Row],[EMPLOYEE NUMBER]]="","",MATCH(T_EMPLOYEES[[#This Row],[ETHNICITY]],L_ETHNICITY,0))</f>
        <v>3</v>
      </c>
      <c r="AH341">
        <f ca="1">IF(T_EMPLOYEES[[#This Row],[EMPLOYEE NUMBER]]="","",MATCH(T_EMPLOYEES[[#This Row],[LOCATION]],L_LOCATION,0))</f>
        <v>2</v>
      </c>
      <c r="AI341">
        <f ca="1">IF(T_EMPLOYEES[[#This Row],[EMPLOYEE NUMBER]]="","",MATCH(T_EMPLOYEES[[#This Row],[DEPARTMENT]],L_DEPARTMENT,0))</f>
        <v>11</v>
      </c>
      <c r="AJ341">
        <f ca="1">IF(T_EMPLOYEES[[#This Row],[EMPLOYEE NUMBER]]="","",MATCH(T_EMPLOYEES[[#This Row],[JOB TYPE]],L_JOBTYPE,0))</f>
        <v>2</v>
      </c>
      <c r="AK341">
        <f ca="1">IF(T_EMPLOYEES[[#This Row],[EMPLOYEE NUMBER]]="","",MATCH(T_EMPLOYEES[[#This Row],[JOB CATEGORY]],L_JOBCATEGORY,0))</f>
        <v>39</v>
      </c>
      <c r="AL341">
        <f ca="1">IF(T_EMPLOYEES[[#This Row],[EMPLOYEE NUMBER]]="","",MATCH(T_EMPLOYEES[[#This Row],[JOB LEVEL]],L_JOBLEVEL,0))</f>
        <v>2</v>
      </c>
      <c r="AM341">
        <f ca="1">IF(T_EMPLOYEES[[#This Row],[EMPLOYEE NUMBER]]="","",MATCH(T_EMPLOYEES[[#This Row],[JOB TITLE]],L_JOBTITLE,0))</f>
        <v>39</v>
      </c>
      <c r="AN341">
        <f ca="1">IF(T_EMPLOYEES[[#This Row],[EMPLOYEE NUMBER]]="","",MATCH(T_EMPLOYEES[[#This Row],[MANAGER]],L_EMPLABELS,0))</f>
        <v>56</v>
      </c>
      <c r="AO341">
        <f ca="1">IF(T_EMPLOYEES[[#This Row],[EMPLOYEE NUMBER]]="","",IF(T_EMPLOYEES[[#This Row],[ERROR]]="",0,1))</f>
        <v>0</v>
      </c>
      <c r="AP34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2" spans="1:42">
      <c r="A342" t="s">
        <v>1175</v>
      </c>
      <c r="B342" t="s">
        <v>1176</v>
      </c>
      <c r="C342">
        <v>1031029</v>
      </c>
      <c r="D342" t="s">
        <v>1177</v>
      </c>
      <c r="E342" s="26">
        <v>35431</v>
      </c>
      <c r="F342" s="26">
        <v>44889</v>
      </c>
      <c r="H342" t="s">
        <v>27</v>
      </c>
      <c r="I342" t="s">
        <v>54</v>
      </c>
      <c r="J342" t="s">
        <v>64</v>
      </c>
      <c r="K342" t="s">
        <v>43</v>
      </c>
      <c r="L342" s="27" t="s">
        <v>114</v>
      </c>
      <c r="M342" t="s">
        <v>46</v>
      </c>
      <c r="N342" t="s">
        <v>151</v>
      </c>
      <c r="O342" t="s">
        <v>36</v>
      </c>
      <c r="P342" t="s">
        <v>151</v>
      </c>
      <c r="Q342" t="s">
        <v>206</v>
      </c>
      <c r="R342" s="27">
        <v>0</v>
      </c>
      <c r="S342" s="1">
        <v>250000</v>
      </c>
      <c r="T342" s="1">
        <f ca="1">ROUND(T_EMPLOYEES[[#This Row],[EMP_CTC1]]/12, 0)</f>
        <v>20833</v>
      </c>
      <c r="U342" s="1">
        <v>150000</v>
      </c>
      <c r="V342" s="1" t="s">
        <v>1065</v>
      </c>
      <c r="W342" s="1" t="s">
        <v>1065</v>
      </c>
      <c r="X34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Aavesh Rauf Attar (1031029)</v>
      </c>
      <c r="Y342">
        <v>120000</v>
      </c>
      <c r="Z342" s="29">
        <f t="shared" ca="1" si="6"/>
        <v>40</v>
      </c>
      <c r="AA342">
        <f ca="1">IF(T_EMPLOYEES[[#This Row],[EMPLOYEE NUMBER]]="","",ROW(T_EMPLOYEES[[#This Row],[EMPLOYEE LABEL]])-ROW(T_EMPLOYEES[[#Headers],[EMPLOYEE LABEL]]))</f>
        <v>339</v>
      </c>
      <c r="AB342">
        <f ca="1">IF(T_EMPLOYEES[[#This Row],[EMPLOYEE NUMBER]]="","",IF(COUNTIF(T_EMPLOYEES[EMPLOYEE NUMBER],T_EMPLOYEES[[#This Row],[EMPLOYEE NUMBER]])&gt;1,1,0))</f>
        <v>0</v>
      </c>
      <c r="AC342">
        <f ca="1">IF(T_EMPLOYEES[[#This Row],[EMPLOYEE NUMBER]]="","",IF(AND(T_EMPLOYEES[[#This Row],[DATE OF BIRTH]]&gt;0,T_EMPLOYEES[[#This Row],[DATE OF BIRTH]]&lt;TODAY()),0,1))</f>
        <v>0</v>
      </c>
      <c r="AD342">
        <f ca="1">IF(T_EMPLOYEES[[#This Row],[EMPLOYEE NUMBER]]="","",IF(AND(T_EMPLOYEES[[#This Row],[START DATE]]&gt;0,T_EMPLOYEES[[#This Row],[START DATE]]&lt;TODAY()+60),0,1))</f>
        <v>0</v>
      </c>
      <c r="AE342">
        <f ca="1">IF(T_EMPLOYEES[[#This Row],[EMPLOYEE NUMBER]]="","",MATCH(T_EMPLOYEES[[#This Row],[GENDER]],L_GENDER,0))</f>
        <v>1</v>
      </c>
      <c r="AF342">
        <f ca="1">IF(T_EMPLOYEES[[#This Row],[EMPLOYEE NUMBER]]="","",MATCH(T_EMPLOYEES[[#This Row],[HIRE SOURCE]],L_HIRESOURCE,0))</f>
        <v>4</v>
      </c>
      <c r="AG342">
        <f ca="1">IF(T_EMPLOYEES[[#This Row],[EMPLOYEE NUMBER]]="","",MATCH(T_EMPLOYEES[[#This Row],[ETHNICITY]],L_ETHNICITY,0))</f>
        <v>3</v>
      </c>
      <c r="AH342">
        <f ca="1">IF(T_EMPLOYEES[[#This Row],[EMPLOYEE NUMBER]]="","",MATCH(T_EMPLOYEES[[#This Row],[LOCATION]],L_LOCATION,0))</f>
        <v>2</v>
      </c>
      <c r="AI342">
        <f ca="1">IF(T_EMPLOYEES[[#This Row],[EMPLOYEE NUMBER]]="","",MATCH(T_EMPLOYEES[[#This Row],[DEPARTMENT]],L_DEPARTMENT,0))</f>
        <v>11</v>
      </c>
      <c r="AJ342">
        <f ca="1">IF(T_EMPLOYEES[[#This Row],[EMPLOYEE NUMBER]]="","",MATCH(T_EMPLOYEES[[#This Row],[JOB TYPE]],L_JOBTYPE,0))</f>
        <v>2</v>
      </c>
      <c r="AK342">
        <f ca="1">IF(T_EMPLOYEES[[#This Row],[EMPLOYEE NUMBER]]="","",MATCH(T_EMPLOYEES[[#This Row],[JOB CATEGORY]],L_JOBCATEGORY,0))</f>
        <v>30</v>
      </c>
      <c r="AL342">
        <f ca="1">IF(T_EMPLOYEES[[#This Row],[EMPLOYEE NUMBER]]="","",MATCH(T_EMPLOYEES[[#This Row],[JOB LEVEL]],L_JOBLEVEL,0))</f>
        <v>1</v>
      </c>
      <c r="AM342">
        <f ca="1">IF(T_EMPLOYEES[[#This Row],[EMPLOYEE NUMBER]]="","",MATCH(T_EMPLOYEES[[#This Row],[JOB TITLE]],L_JOBTITLE,0))</f>
        <v>30</v>
      </c>
      <c r="AN342">
        <f ca="1">IF(T_EMPLOYEES[[#This Row],[EMPLOYEE NUMBER]]="","",MATCH(T_EMPLOYEES[[#This Row],[MANAGER]],L_EMPLABELS,0))</f>
        <v>6</v>
      </c>
      <c r="AO342">
        <f ca="1">IF(T_EMPLOYEES[[#This Row],[EMPLOYEE NUMBER]]="","",IF(T_EMPLOYEES[[#This Row],[ERROR]]="",0,1))</f>
        <v>0</v>
      </c>
      <c r="AP34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3" spans="1:42">
      <c r="A343" t="s">
        <v>1178</v>
      </c>
      <c r="B343" t="s">
        <v>1179</v>
      </c>
      <c r="C343">
        <v>1031880</v>
      </c>
      <c r="D343" t="s">
        <v>1180</v>
      </c>
      <c r="E343" s="26">
        <v>35434</v>
      </c>
      <c r="F343" s="26">
        <v>44914</v>
      </c>
      <c r="H343" t="s">
        <v>27</v>
      </c>
      <c r="I343" t="s">
        <v>54</v>
      </c>
      <c r="J343" t="s">
        <v>64</v>
      </c>
      <c r="K343" t="s">
        <v>43</v>
      </c>
      <c r="L343" s="27" t="s">
        <v>45</v>
      </c>
      <c r="M343" t="s">
        <v>46</v>
      </c>
      <c r="N343" t="s">
        <v>111</v>
      </c>
      <c r="O343" t="s">
        <v>71</v>
      </c>
      <c r="P343" t="s">
        <v>111</v>
      </c>
      <c r="Q343" t="s">
        <v>377</v>
      </c>
      <c r="R343">
        <v>5</v>
      </c>
      <c r="S343" s="1">
        <v>250000</v>
      </c>
      <c r="T343" s="1">
        <f ca="1">ROUND(T_EMPLOYEES[[#This Row],[EMP_CTC1]]/12, 0)</f>
        <v>20833</v>
      </c>
      <c r="U343" s="1">
        <v>150000</v>
      </c>
      <c r="V343" s="1" t="s">
        <v>1065</v>
      </c>
      <c r="W343" s="1" t="s">
        <v>1065</v>
      </c>
      <c r="X34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Sharath U (1031880)</v>
      </c>
      <c r="Y343">
        <v>120000</v>
      </c>
      <c r="Z343" s="29">
        <f t="shared" ca="1" si="6"/>
        <v>40</v>
      </c>
      <c r="AA343">
        <f ca="1">IF(T_EMPLOYEES[[#This Row],[EMPLOYEE NUMBER]]="","",ROW(T_EMPLOYEES[[#This Row],[EMPLOYEE LABEL]])-ROW(T_EMPLOYEES[[#Headers],[EMPLOYEE LABEL]]))</f>
        <v>340</v>
      </c>
      <c r="AB343">
        <f ca="1">IF(T_EMPLOYEES[[#This Row],[EMPLOYEE NUMBER]]="","",IF(COUNTIF(T_EMPLOYEES[EMPLOYEE NUMBER],T_EMPLOYEES[[#This Row],[EMPLOYEE NUMBER]])&gt;1,1,0))</f>
        <v>0</v>
      </c>
      <c r="AC343">
        <f ca="1">IF(T_EMPLOYEES[[#This Row],[EMPLOYEE NUMBER]]="","",IF(AND(T_EMPLOYEES[[#This Row],[DATE OF BIRTH]]&gt;0,T_EMPLOYEES[[#This Row],[DATE OF BIRTH]]&lt;TODAY()),0,1))</f>
        <v>0</v>
      </c>
      <c r="AD343">
        <f ca="1">IF(T_EMPLOYEES[[#This Row],[EMPLOYEE NUMBER]]="","",IF(AND(T_EMPLOYEES[[#This Row],[START DATE]]&gt;0,T_EMPLOYEES[[#This Row],[START DATE]]&lt;TODAY()+60),0,1))</f>
        <v>0</v>
      </c>
      <c r="AE343">
        <f ca="1">IF(T_EMPLOYEES[[#This Row],[EMPLOYEE NUMBER]]="","",MATCH(T_EMPLOYEES[[#This Row],[GENDER]],L_GENDER,0))</f>
        <v>1</v>
      </c>
      <c r="AF343">
        <f ca="1">IF(T_EMPLOYEES[[#This Row],[EMPLOYEE NUMBER]]="","",MATCH(T_EMPLOYEES[[#This Row],[HIRE SOURCE]],L_HIRESOURCE,0))</f>
        <v>4</v>
      </c>
      <c r="AG343">
        <f ca="1">IF(T_EMPLOYEES[[#This Row],[EMPLOYEE NUMBER]]="","",MATCH(T_EMPLOYEES[[#This Row],[ETHNICITY]],L_ETHNICITY,0))</f>
        <v>3</v>
      </c>
      <c r="AH343">
        <f ca="1">IF(T_EMPLOYEES[[#This Row],[EMPLOYEE NUMBER]]="","",MATCH(T_EMPLOYEES[[#This Row],[LOCATION]],L_LOCATION,0))</f>
        <v>2</v>
      </c>
      <c r="AI343">
        <f ca="1">IF(T_EMPLOYEES[[#This Row],[EMPLOYEE NUMBER]]="","",MATCH(T_EMPLOYEES[[#This Row],[DEPARTMENT]],L_DEPARTMENT,0))</f>
        <v>2</v>
      </c>
      <c r="AJ343">
        <f ca="1">IF(T_EMPLOYEES[[#This Row],[EMPLOYEE NUMBER]]="","",MATCH(T_EMPLOYEES[[#This Row],[JOB TYPE]],L_JOBTYPE,0))</f>
        <v>2</v>
      </c>
      <c r="AK343">
        <f ca="1">IF(T_EMPLOYEES[[#This Row],[EMPLOYEE NUMBER]]="","",MATCH(T_EMPLOYEES[[#This Row],[JOB CATEGORY]],L_JOBCATEGORY,0))</f>
        <v>10</v>
      </c>
      <c r="AL343">
        <f ca="1">IF(T_EMPLOYEES[[#This Row],[EMPLOYEE NUMBER]]="","",MATCH(T_EMPLOYEES[[#This Row],[JOB LEVEL]],L_JOBLEVEL,0))</f>
        <v>4</v>
      </c>
      <c r="AM343">
        <f ca="1">IF(T_EMPLOYEES[[#This Row],[EMPLOYEE NUMBER]]="","",MATCH(T_EMPLOYEES[[#This Row],[JOB TITLE]],L_JOBTITLE,0))</f>
        <v>10</v>
      </c>
      <c r="AN343">
        <f ca="1">IF(T_EMPLOYEES[[#This Row],[EMPLOYEE NUMBER]]="","",MATCH(T_EMPLOYEES[[#This Row],[MANAGER]],L_EMPLABELS,0))</f>
        <v>64</v>
      </c>
      <c r="AO343">
        <f ca="1">IF(T_EMPLOYEES[[#This Row],[EMPLOYEE NUMBER]]="","",IF(T_EMPLOYEES[[#This Row],[ERROR]]="",0,1))</f>
        <v>0</v>
      </c>
      <c r="AP34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4" spans="1:42">
      <c r="A344" t="s">
        <v>1181</v>
      </c>
      <c r="B344" t="s">
        <v>1182</v>
      </c>
      <c r="C344">
        <v>1031055</v>
      </c>
      <c r="D344" t="s">
        <v>1183</v>
      </c>
      <c r="E344" s="26">
        <v>35500</v>
      </c>
      <c r="F344" s="26">
        <v>44889</v>
      </c>
      <c r="H344" t="s">
        <v>27</v>
      </c>
      <c r="I344" t="s">
        <v>54</v>
      </c>
      <c r="J344" t="s">
        <v>64</v>
      </c>
      <c r="K344" t="s">
        <v>43</v>
      </c>
      <c r="L344" s="27" t="s">
        <v>130</v>
      </c>
      <c r="M344" t="s">
        <v>46</v>
      </c>
      <c r="N344" t="s">
        <v>151</v>
      </c>
      <c r="O344" t="s">
        <v>36</v>
      </c>
      <c r="P344" t="s">
        <v>151</v>
      </c>
      <c r="Q344" t="s">
        <v>337</v>
      </c>
      <c r="R344" s="27">
        <v>0</v>
      </c>
      <c r="S344" s="1">
        <v>250000</v>
      </c>
      <c r="T344" s="1">
        <f ca="1">ROUND(T_EMPLOYEES[[#This Row],[EMP_CTC1]]/12, 0)</f>
        <v>20833</v>
      </c>
      <c r="U344" s="1">
        <v>150000</v>
      </c>
      <c r="V344" s="1" t="s">
        <v>1065</v>
      </c>
      <c r="W344" s="1" t="s">
        <v>1065</v>
      </c>
      <c r="X34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Tushar Kailas Gavale (1031055)</v>
      </c>
      <c r="Y344">
        <v>120000</v>
      </c>
      <c r="Z344" s="29">
        <f t="shared" ca="1" si="6"/>
        <v>40</v>
      </c>
      <c r="AA344">
        <f ca="1">IF(T_EMPLOYEES[[#This Row],[EMPLOYEE NUMBER]]="","",ROW(T_EMPLOYEES[[#This Row],[EMPLOYEE LABEL]])-ROW(T_EMPLOYEES[[#Headers],[EMPLOYEE LABEL]]))</f>
        <v>341</v>
      </c>
      <c r="AB344">
        <f ca="1">IF(T_EMPLOYEES[[#This Row],[EMPLOYEE NUMBER]]="","",IF(COUNTIF(T_EMPLOYEES[EMPLOYEE NUMBER],T_EMPLOYEES[[#This Row],[EMPLOYEE NUMBER]])&gt;1,1,0))</f>
        <v>0</v>
      </c>
      <c r="AC344">
        <f ca="1">IF(T_EMPLOYEES[[#This Row],[EMPLOYEE NUMBER]]="","",IF(AND(T_EMPLOYEES[[#This Row],[DATE OF BIRTH]]&gt;0,T_EMPLOYEES[[#This Row],[DATE OF BIRTH]]&lt;TODAY()),0,1))</f>
        <v>0</v>
      </c>
      <c r="AD344">
        <f ca="1">IF(T_EMPLOYEES[[#This Row],[EMPLOYEE NUMBER]]="","",IF(AND(T_EMPLOYEES[[#This Row],[START DATE]]&gt;0,T_EMPLOYEES[[#This Row],[START DATE]]&lt;TODAY()+60),0,1))</f>
        <v>0</v>
      </c>
      <c r="AE344">
        <f ca="1">IF(T_EMPLOYEES[[#This Row],[EMPLOYEE NUMBER]]="","",MATCH(T_EMPLOYEES[[#This Row],[GENDER]],L_GENDER,0))</f>
        <v>1</v>
      </c>
      <c r="AF344">
        <f ca="1">IF(T_EMPLOYEES[[#This Row],[EMPLOYEE NUMBER]]="","",MATCH(T_EMPLOYEES[[#This Row],[HIRE SOURCE]],L_HIRESOURCE,0))</f>
        <v>4</v>
      </c>
      <c r="AG344">
        <f ca="1">IF(T_EMPLOYEES[[#This Row],[EMPLOYEE NUMBER]]="","",MATCH(T_EMPLOYEES[[#This Row],[ETHNICITY]],L_ETHNICITY,0))</f>
        <v>3</v>
      </c>
      <c r="AH344">
        <f ca="1">IF(T_EMPLOYEES[[#This Row],[EMPLOYEE NUMBER]]="","",MATCH(T_EMPLOYEES[[#This Row],[LOCATION]],L_LOCATION,0))</f>
        <v>2</v>
      </c>
      <c r="AI344">
        <f ca="1">IF(T_EMPLOYEES[[#This Row],[EMPLOYEE NUMBER]]="","",MATCH(T_EMPLOYEES[[#This Row],[DEPARTMENT]],L_DEPARTMENT,0))</f>
        <v>16</v>
      </c>
      <c r="AJ344">
        <f ca="1">IF(T_EMPLOYEES[[#This Row],[EMPLOYEE NUMBER]]="","",MATCH(T_EMPLOYEES[[#This Row],[JOB TYPE]],L_JOBTYPE,0))</f>
        <v>2</v>
      </c>
      <c r="AK344">
        <f ca="1">IF(T_EMPLOYEES[[#This Row],[EMPLOYEE NUMBER]]="","",MATCH(T_EMPLOYEES[[#This Row],[JOB CATEGORY]],L_JOBCATEGORY,0))</f>
        <v>30</v>
      </c>
      <c r="AL344">
        <f ca="1">IF(T_EMPLOYEES[[#This Row],[EMPLOYEE NUMBER]]="","",MATCH(T_EMPLOYEES[[#This Row],[JOB LEVEL]],L_JOBLEVEL,0))</f>
        <v>1</v>
      </c>
      <c r="AM344">
        <f ca="1">IF(T_EMPLOYEES[[#This Row],[EMPLOYEE NUMBER]]="","",MATCH(T_EMPLOYEES[[#This Row],[JOB TITLE]],L_JOBTITLE,0))</f>
        <v>30</v>
      </c>
      <c r="AN344">
        <f ca="1">IF(T_EMPLOYEES[[#This Row],[EMPLOYEE NUMBER]]="","",MATCH(T_EMPLOYEES[[#This Row],[MANAGER]],L_EMPLABELS,0))</f>
        <v>48</v>
      </c>
      <c r="AO344">
        <f ca="1">IF(T_EMPLOYEES[[#This Row],[EMPLOYEE NUMBER]]="","",IF(T_EMPLOYEES[[#This Row],[ERROR]]="",0,1))</f>
        <v>0</v>
      </c>
      <c r="AP34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5" spans="1:42">
      <c r="A345" t="s">
        <v>550</v>
      </c>
      <c r="C345">
        <v>1027164</v>
      </c>
      <c r="D345" t="s">
        <v>1184</v>
      </c>
      <c r="E345" s="26">
        <v>35521</v>
      </c>
      <c r="F345" s="26">
        <v>44512</v>
      </c>
      <c r="H345" t="s">
        <v>27</v>
      </c>
      <c r="I345" t="s">
        <v>54</v>
      </c>
      <c r="J345" t="s">
        <v>64</v>
      </c>
      <c r="K345" t="s">
        <v>43</v>
      </c>
      <c r="L345" s="27" t="s">
        <v>45</v>
      </c>
      <c r="M345" t="s">
        <v>46</v>
      </c>
      <c r="N345" t="s">
        <v>148</v>
      </c>
      <c r="O345" t="s">
        <v>48</v>
      </c>
      <c r="P345" t="s">
        <v>148</v>
      </c>
      <c r="Q345" t="s">
        <v>1185</v>
      </c>
      <c r="R345">
        <v>4</v>
      </c>
      <c r="S345" s="1">
        <v>250000</v>
      </c>
      <c r="T345" s="1">
        <f ca="1">ROUND(T_EMPLOYEES[[#This Row],[EMP_CTC1]]/12, 0)</f>
        <v>20833</v>
      </c>
      <c r="U345" s="1">
        <v>150000</v>
      </c>
      <c r="V345" s="1" t="s">
        <v>1065</v>
      </c>
      <c r="W345" s="1" t="s">
        <v>1065</v>
      </c>
      <c r="X34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Abhishek  (1027164)</v>
      </c>
      <c r="Y345">
        <v>120000</v>
      </c>
      <c r="Z345" s="29">
        <f t="shared" ca="1" si="6"/>
        <v>40</v>
      </c>
      <c r="AA345">
        <f ca="1">IF(T_EMPLOYEES[[#This Row],[EMPLOYEE NUMBER]]="","",ROW(T_EMPLOYEES[[#This Row],[EMPLOYEE LABEL]])-ROW(T_EMPLOYEES[[#Headers],[EMPLOYEE LABEL]]))</f>
        <v>342</v>
      </c>
      <c r="AB345">
        <f ca="1">IF(T_EMPLOYEES[[#This Row],[EMPLOYEE NUMBER]]="","",IF(COUNTIF(T_EMPLOYEES[EMPLOYEE NUMBER],T_EMPLOYEES[[#This Row],[EMPLOYEE NUMBER]])&gt;1,1,0))</f>
        <v>0</v>
      </c>
      <c r="AC345">
        <f ca="1">IF(T_EMPLOYEES[[#This Row],[EMPLOYEE NUMBER]]="","",IF(AND(T_EMPLOYEES[[#This Row],[DATE OF BIRTH]]&gt;0,T_EMPLOYEES[[#This Row],[DATE OF BIRTH]]&lt;TODAY()),0,1))</f>
        <v>0</v>
      </c>
      <c r="AD345">
        <f ca="1">IF(T_EMPLOYEES[[#This Row],[EMPLOYEE NUMBER]]="","",IF(AND(T_EMPLOYEES[[#This Row],[START DATE]]&gt;0,T_EMPLOYEES[[#This Row],[START DATE]]&lt;TODAY()+60),0,1))</f>
        <v>0</v>
      </c>
      <c r="AE345">
        <f ca="1">IF(T_EMPLOYEES[[#This Row],[EMPLOYEE NUMBER]]="","",MATCH(T_EMPLOYEES[[#This Row],[GENDER]],L_GENDER,0))</f>
        <v>1</v>
      </c>
      <c r="AF345">
        <f ca="1">IF(T_EMPLOYEES[[#This Row],[EMPLOYEE NUMBER]]="","",MATCH(T_EMPLOYEES[[#This Row],[HIRE SOURCE]],L_HIRESOURCE,0))</f>
        <v>4</v>
      </c>
      <c r="AG345">
        <f ca="1">IF(T_EMPLOYEES[[#This Row],[EMPLOYEE NUMBER]]="","",MATCH(T_EMPLOYEES[[#This Row],[ETHNICITY]],L_ETHNICITY,0))</f>
        <v>3</v>
      </c>
      <c r="AH345">
        <f ca="1">IF(T_EMPLOYEES[[#This Row],[EMPLOYEE NUMBER]]="","",MATCH(T_EMPLOYEES[[#This Row],[LOCATION]],L_LOCATION,0))</f>
        <v>2</v>
      </c>
      <c r="AI345">
        <f ca="1">IF(T_EMPLOYEES[[#This Row],[EMPLOYEE NUMBER]]="","",MATCH(T_EMPLOYEES[[#This Row],[DEPARTMENT]],L_DEPARTMENT,0))</f>
        <v>2</v>
      </c>
      <c r="AJ345">
        <f ca="1">IF(T_EMPLOYEES[[#This Row],[EMPLOYEE NUMBER]]="","",MATCH(T_EMPLOYEES[[#This Row],[JOB TYPE]],L_JOBTYPE,0))</f>
        <v>2</v>
      </c>
      <c r="AK345">
        <f ca="1">IF(T_EMPLOYEES[[#This Row],[EMPLOYEE NUMBER]]="","",MATCH(T_EMPLOYEES[[#This Row],[JOB CATEGORY]],L_JOBCATEGORY,0))</f>
        <v>27</v>
      </c>
      <c r="AL345">
        <f ca="1">IF(T_EMPLOYEES[[#This Row],[EMPLOYEE NUMBER]]="","",MATCH(T_EMPLOYEES[[#This Row],[JOB LEVEL]],L_JOBLEVEL,0))</f>
        <v>2</v>
      </c>
      <c r="AM345">
        <f ca="1">IF(T_EMPLOYEES[[#This Row],[EMPLOYEE NUMBER]]="","",MATCH(T_EMPLOYEES[[#This Row],[JOB TITLE]],L_JOBTITLE,0))</f>
        <v>27</v>
      </c>
      <c r="AN345">
        <f ca="1">IF(T_EMPLOYEES[[#This Row],[EMPLOYEE NUMBER]]="","",MATCH(T_EMPLOYEES[[#This Row],[MANAGER]],L_EMPLABELS,0))</f>
        <v>216</v>
      </c>
      <c r="AO345">
        <f ca="1">IF(T_EMPLOYEES[[#This Row],[EMPLOYEE NUMBER]]="","",IF(T_EMPLOYEES[[#This Row],[ERROR]]="",0,1))</f>
        <v>0</v>
      </c>
      <c r="AP34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6" spans="1:42">
      <c r="A346" t="s">
        <v>226</v>
      </c>
      <c r="B346" t="s">
        <v>1186</v>
      </c>
      <c r="C346">
        <v>1032297</v>
      </c>
      <c r="D346" t="s">
        <v>1187</v>
      </c>
      <c r="E346" s="26">
        <v>35525</v>
      </c>
      <c r="F346" s="26">
        <v>44986</v>
      </c>
      <c r="H346" t="s">
        <v>40</v>
      </c>
      <c r="I346" t="s">
        <v>54</v>
      </c>
      <c r="J346" t="s">
        <v>64</v>
      </c>
      <c r="K346" t="s">
        <v>43</v>
      </c>
      <c r="L346" s="27" t="s">
        <v>45</v>
      </c>
      <c r="M346" t="s">
        <v>46</v>
      </c>
      <c r="N346" t="s">
        <v>162</v>
      </c>
      <c r="O346" t="s">
        <v>60</v>
      </c>
      <c r="P346" t="s">
        <v>162</v>
      </c>
      <c r="Q346" t="s">
        <v>311</v>
      </c>
      <c r="R346" s="27">
        <v>4</v>
      </c>
      <c r="S346" s="1">
        <v>250000</v>
      </c>
      <c r="T346" s="1">
        <f ca="1">ROUND(T_EMPLOYEES[[#This Row],[EMP_CTC1]]/12, 0)</f>
        <v>20833</v>
      </c>
      <c r="U346" s="1">
        <v>150000</v>
      </c>
      <c r="V346" s="1" t="s">
        <v>1065</v>
      </c>
      <c r="W346" s="1" t="s">
        <v>1065</v>
      </c>
      <c r="X34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 Nethravathi (1032297)</v>
      </c>
      <c r="Y346">
        <v>120000</v>
      </c>
      <c r="Z346" s="29">
        <f t="shared" ca="1" si="6"/>
        <v>40</v>
      </c>
      <c r="AA346">
        <f ca="1">IF(T_EMPLOYEES[[#This Row],[EMPLOYEE NUMBER]]="","",ROW(T_EMPLOYEES[[#This Row],[EMPLOYEE LABEL]])-ROW(T_EMPLOYEES[[#Headers],[EMPLOYEE LABEL]]))</f>
        <v>343</v>
      </c>
      <c r="AB346">
        <f ca="1">IF(T_EMPLOYEES[[#This Row],[EMPLOYEE NUMBER]]="","",IF(COUNTIF(T_EMPLOYEES[EMPLOYEE NUMBER],T_EMPLOYEES[[#This Row],[EMPLOYEE NUMBER]])&gt;1,1,0))</f>
        <v>0</v>
      </c>
      <c r="AC346">
        <f ca="1">IF(T_EMPLOYEES[[#This Row],[EMPLOYEE NUMBER]]="","",IF(AND(T_EMPLOYEES[[#This Row],[DATE OF BIRTH]]&gt;0,T_EMPLOYEES[[#This Row],[DATE OF BIRTH]]&lt;TODAY()),0,1))</f>
        <v>0</v>
      </c>
      <c r="AD346">
        <f ca="1">IF(T_EMPLOYEES[[#This Row],[EMPLOYEE NUMBER]]="","",IF(AND(T_EMPLOYEES[[#This Row],[START DATE]]&gt;0,T_EMPLOYEES[[#This Row],[START DATE]]&lt;TODAY()+60),0,1))</f>
        <v>0</v>
      </c>
      <c r="AE346">
        <f ca="1">IF(T_EMPLOYEES[[#This Row],[EMPLOYEE NUMBER]]="","",MATCH(T_EMPLOYEES[[#This Row],[GENDER]],L_GENDER,0))</f>
        <v>2</v>
      </c>
      <c r="AF346">
        <f ca="1">IF(T_EMPLOYEES[[#This Row],[EMPLOYEE NUMBER]]="","",MATCH(T_EMPLOYEES[[#This Row],[HIRE SOURCE]],L_HIRESOURCE,0))</f>
        <v>4</v>
      </c>
      <c r="AG346">
        <f ca="1">IF(T_EMPLOYEES[[#This Row],[EMPLOYEE NUMBER]]="","",MATCH(T_EMPLOYEES[[#This Row],[ETHNICITY]],L_ETHNICITY,0))</f>
        <v>3</v>
      </c>
      <c r="AH346">
        <f ca="1">IF(T_EMPLOYEES[[#This Row],[EMPLOYEE NUMBER]]="","",MATCH(T_EMPLOYEES[[#This Row],[LOCATION]],L_LOCATION,0))</f>
        <v>2</v>
      </c>
      <c r="AI346">
        <f ca="1">IF(T_EMPLOYEES[[#This Row],[EMPLOYEE NUMBER]]="","",MATCH(T_EMPLOYEES[[#This Row],[DEPARTMENT]],L_DEPARTMENT,0))</f>
        <v>2</v>
      </c>
      <c r="AJ346">
        <f ca="1">IF(T_EMPLOYEES[[#This Row],[EMPLOYEE NUMBER]]="","",MATCH(T_EMPLOYEES[[#This Row],[JOB TYPE]],L_JOBTYPE,0))</f>
        <v>2</v>
      </c>
      <c r="AK346">
        <f ca="1">IF(T_EMPLOYEES[[#This Row],[EMPLOYEE NUMBER]]="","",MATCH(T_EMPLOYEES[[#This Row],[JOB CATEGORY]],L_JOBCATEGORY,0))</f>
        <v>41</v>
      </c>
      <c r="AL346">
        <f ca="1">IF(T_EMPLOYEES[[#This Row],[EMPLOYEE NUMBER]]="","",MATCH(T_EMPLOYEES[[#This Row],[JOB LEVEL]],L_JOBLEVEL,0))</f>
        <v>3</v>
      </c>
      <c r="AM346">
        <f ca="1">IF(T_EMPLOYEES[[#This Row],[EMPLOYEE NUMBER]]="","",MATCH(T_EMPLOYEES[[#This Row],[JOB TITLE]],L_JOBTITLE,0))</f>
        <v>41</v>
      </c>
      <c r="AN346">
        <f ca="1">IF(T_EMPLOYEES[[#This Row],[EMPLOYEE NUMBER]]="","",MATCH(T_EMPLOYEES[[#This Row],[MANAGER]],L_EMPLABELS,0))</f>
        <v>2</v>
      </c>
      <c r="AO346">
        <f ca="1">IF(T_EMPLOYEES[[#This Row],[EMPLOYEE NUMBER]]="","",IF(T_EMPLOYEES[[#This Row],[ERROR]]="",0,1))</f>
        <v>0</v>
      </c>
      <c r="AP34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7" spans="1:42">
      <c r="A347" t="s">
        <v>1188</v>
      </c>
      <c r="C347">
        <v>1029935</v>
      </c>
      <c r="D347" t="s">
        <v>1189</v>
      </c>
      <c r="E347" s="26">
        <v>35552</v>
      </c>
      <c r="F347" s="26">
        <v>44795</v>
      </c>
      <c r="H347" t="s">
        <v>27</v>
      </c>
      <c r="I347" t="s">
        <v>54</v>
      </c>
      <c r="J347" t="s">
        <v>64</v>
      </c>
      <c r="K347" t="s">
        <v>43</v>
      </c>
      <c r="L347" t="s">
        <v>130</v>
      </c>
      <c r="M347" t="s">
        <v>46</v>
      </c>
      <c r="N347" t="s">
        <v>163</v>
      </c>
      <c r="O347" t="s">
        <v>48</v>
      </c>
      <c r="P347" t="s">
        <v>163</v>
      </c>
      <c r="Q347" t="s">
        <v>337</v>
      </c>
      <c r="R347">
        <v>4</v>
      </c>
      <c r="S347" s="1">
        <v>250000</v>
      </c>
      <c r="T347" s="1">
        <f ca="1">ROUND(T_EMPLOYEES[[#This Row],[EMP_CTC1]]/12, 0)</f>
        <v>20833</v>
      </c>
      <c r="U347" s="1">
        <v>150000</v>
      </c>
      <c r="V347" s="1" t="s">
        <v>1065</v>
      </c>
      <c r="W347" s="1" t="s">
        <v>1065</v>
      </c>
      <c r="X34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Prakash  (1029935)</v>
      </c>
      <c r="Y347">
        <v>120000</v>
      </c>
      <c r="Z347" s="29">
        <f t="shared" ca="1" si="6"/>
        <v>40</v>
      </c>
      <c r="AA347">
        <f ca="1">IF(T_EMPLOYEES[[#This Row],[EMPLOYEE NUMBER]]="","",ROW(T_EMPLOYEES[[#This Row],[EMPLOYEE LABEL]])-ROW(T_EMPLOYEES[[#Headers],[EMPLOYEE LABEL]]))</f>
        <v>344</v>
      </c>
      <c r="AB347">
        <f ca="1">IF(T_EMPLOYEES[[#This Row],[EMPLOYEE NUMBER]]="","",IF(COUNTIF(T_EMPLOYEES[EMPLOYEE NUMBER],T_EMPLOYEES[[#This Row],[EMPLOYEE NUMBER]])&gt;1,1,0))</f>
        <v>0</v>
      </c>
      <c r="AC347">
        <f ca="1">IF(T_EMPLOYEES[[#This Row],[EMPLOYEE NUMBER]]="","",IF(AND(T_EMPLOYEES[[#This Row],[DATE OF BIRTH]]&gt;0,T_EMPLOYEES[[#This Row],[DATE OF BIRTH]]&lt;TODAY()),0,1))</f>
        <v>0</v>
      </c>
      <c r="AD347">
        <f ca="1">IF(T_EMPLOYEES[[#This Row],[EMPLOYEE NUMBER]]="","",IF(AND(T_EMPLOYEES[[#This Row],[START DATE]]&gt;0,T_EMPLOYEES[[#This Row],[START DATE]]&lt;TODAY()+60),0,1))</f>
        <v>0</v>
      </c>
      <c r="AE347">
        <f ca="1">IF(T_EMPLOYEES[[#This Row],[EMPLOYEE NUMBER]]="","",MATCH(T_EMPLOYEES[[#This Row],[GENDER]],L_GENDER,0))</f>
        <v>1</v>
      </c>
      <c r="AF347">
        <f ca="1">IF(T_EMPLOYEES[[#This Row],[EMPLOYEE NUMBER]]="","",MATCH(T_EMPLOYEES[[#This Row],[HIRE SOURCE]],L_HIRESOURCE,0))</f>
        <v>4</v>
      </c>
      <c r="AG347">
        <f ca="1">IF(T_EMPLOYEES[[#This Row],[EMPLOYEE NUMBER]]="","",MATCH(T_EMPLOYEES[[#This Row],[ETHNICITY]],L_ETHNICITY,0))</f>
        <v>3</v>
      </c>
      <c r="AH347">
        <f ca="1">IF(T_EMPLOYEES[[#This Row],[EMPLOYEE NUMBER]]="","",MATCH(T_EMPLOYEES[[#This Row],[LOCATION]],L_LOCATION,0))</f>
        <v>2</v>
      </c>
      <c r="AI347">
        <f ca="1">IF(T_EMPLOYEES[[#This Row],[EMPLOYEE NUMBER]]="","",MATCH(T_EMPLOYEES[[#This Row],[DEPARTMENT]],L_DEPARTMENT,0))</f>
        <v>16</v>
      </c>
      <c r="AJ347">
        <f ca="1">IF(T_EMPLOYEES[[#This Row],[EMPLOYEE NUMBER]]="","",MATCH(T_EMPLOYEES[[#This Row],[JOB TYPE]],L_JOBTYPE,0))</f>
        <v>2</v>
      </c>
      <c r="AK347">
        <f ca="1">IF(T_EMPLOYEES[[#This Row],[EMPLOYEE NUMBER]]="","",MATCH(T_EMPLOYEES[[#This Row],[JOB CATEGORY]],L_JOBCATEGORY,0))</f>
        <v>42</v>
      </c>
      <c r="AL347">
        <f ca="1">IF(T_EMPLOYEES[[#This Row],[EMPLOYEE NUMBER]]="","",MATCH(T_EMPLOYEES[[#This Row],[JOB LEVEL]],L_JOBLEVEL,0))</f>
        <v>2</v>
      </c>
      <c r="AM347">
        <f ca="1">IF(T_EMPLOYEES[[#This Row],[EMPLOYEE NUMBER]]="","",MATCH(T_EMPLOYEES[[#This Row],[JOB TITLE]],L_JOBTITLE,0))</f>
        <v>42</v>
      </c>
      <c r="AN347">
        <f ca="1">IF(T_EMPLOYEES[[#This Row],[EMPLOYEE NUMBER]]="","",MATCH(T_EMPLOYEES[[#This Row],[MANAGER]],L_EMPLABELS,0))</f>
        <v>48</v>
      </c>
      <c r="AO347">
        <f ca="1">IF(T_EMPLOYEES[[#This Row],[EMPLOYEE NUMBER]]="","",IF(T_EMPLOYEES[[#This Row],[ERROR]]="",0,1))</f>
        <v>0</v>
      </c>
      <c r="AP34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8" spans="1:42">
      <c r="A348" t="s">
        <v>1190</v>
      </c>
      <c r="B348" t="s">
        <v>1191</v>
      </c>
      <c r="C348">
        <v>1029444</v>
      </c>
      <c r="D348" t="s">
        <v>1192</v>
      </c>
      <c r="E348" s="26">
        <v>35563</v>
      </c>
      <c r="F348" s="26">
        <v>44746</v>
      </c>
      <c r="H348" t="s">
        <v>27</v>
      </c>
      <c r="I348" t="s">
        <v>54</v>
      </c>
      <c r="J348" t="s">
        <v>64</v>
      </c>
      <c r="K348" t="s">
        <v>30</v>
      </c>
      <c r="L348" s="27" t="s">
        <v>45</v>
      </c>
      <c r="M348" t="s">
        <v>46</v>
      </c>
      <c r="N348" t="s">
        <v>159</v>
      </c>
      <c r="O348" t="s">
        <v>48</v>
      </c>
      <c r="P348" t="s">
        <v>159</v>
      </c>
      <c r="Q348" t="s">
        <v>907</v>
      </c>
      <c r="R348" s="27">
        <v>4</v>
      </c>
      <c r="S348" s="1">
        <v>250000</v>
      </c>
      <c r="T348" s="1">
        <f ca="1">ROUND(T_EMPLOYEES[[#This Row],[EMP_CTC1]]/12, 0)</f>
        <v>20833</v>
      </c>
      <c r="U348" s="1">
        <v>150000</v>
      </c>
      <c r="V348" s="1" t="s">
        <v>1065</v>
      </c>
      <c r="W348" s="1" t="s">
        <v>1065</v>
      </c>
      <c r="X34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Sandeep Kumar Patra (1029444)</v>
      </c>
      <c r="Y348">
        <v>120000</v>
      </c>
      <c r="Z348" s="29">
        <f t="shared" ca="1" si="6"/>
        <v>40</v>
      </c>
      <c r="AA348">
        <f ca="1">IF(T_EMPLOYEES[[#This Row],[EMPLOYEE NUMBER]]="","",ROW(T_EMPLOYEES[[#This Row],[EMPLOYEE LABEL]])-ROW(T_EMPLOYEES[[#Headers],[EMPLOYEE LABEL]]))</f>
        <v>345</v>
      </c>
      <c r="AB348">
        <f ca="1">IF(T_EMPLOYEES[[#This Row],[EMPLOYEE NUMBER]]="","",IF(COUNTIF(T_EMPLOYEES[EMPLOYEE NUMBER],T_EMPLOYEES[[#This Row],[EMPLOYEE NUMBER]])&gt;1,1,0))</f>
        <v>0</v>
      </c>
      <c r="AC348">
        <f ca="1">IF(T_EMPLOYEES[[#This Row],[EMPLOYEE NUMBER]]="","",IF(AND(T_EMPLOYEES[[#This Row],[DATE OF BIRTH]]&gt;0,T_EMPLOYEES[[#This Row],[DATE OF BIRTH]]&lt;TODAY()),0,1))</f>
        <v>0</v>
      </c>
      <c r="AD348">
        <f ca="1">IF(T_EMPLOYEES[[#This Row],[EMPLOYEE NUMBER]]="","",IF(AND(T_EMPLOYEES[[#This Row],[START DATE]]&gt;0,T_EMPLOYEES[[#This Row],[START DATE]]&lt;TODAY()+60),0,1))</f>
        <v>0</v>
      </c>
      <c r="AE348">
        <f ca="1">IF(T_EMPLOYEES[[#This Row],[EMPLOYEE NUMBER]]="","",MATCH(T_EMPLOYEES[[#This Row],[GENDER]],L_GENDER,0))</f>
        <v>1</v>
      </c>
      <c r="AF348">
        <f ca="1">IF(T_EMPLOYEES[[#This Row],[EMPLOYEE NUMBER]]="","",MATCH(T_EMPLOYEES[[#This Row],[HIRE SOURCE]],L_HIRESOURCE,0))</f>
        <v>4</v>
      </c>
      <c r="AG348">
        <f ca="1">IF(T_EMPLOYEES[[#This Row],[EMPLOYEE NUMBER]]="","",MATCH(T_EMPLOYEES[[#This Row],[ETHNICITY]],L_ETHNICITY,0))</f>
        <v>3</v>
      </c>
      <c r="AH348">
        <f ca="1">IF(T_EMPLOYEES[[#This Row],[EMPLOYEE NUMBER]]="","",MATCH(T_EMPLOYEES[[#This Row],[LOCATION]],L_LOCATION,0))</f>
        <v>1</v>
      </c>
      <c r="AI348">
        <f ca="1">IF(T_EMPLOYEES[[#This Row],[EMPLOYEE NUMBER]]="","",MATCH(T_EMPLOYEES[[#This Row],[DEPARTMENT]],L_DEPARTMENT,0))</f>
        <v>2</v>
      </c>
      <c r="AJ348">
        <f ca="1">IF(T_EMPLOYEES[[#This Row],[EMPLOYEE NUMBER]]="","",MATCH(T_EMPLOYEES[[#This Row],[JOB TYPE]],L_JOBTYPE,0))</f>
        <v>2</v>
      </c>
      <c r="AK348">
        <f ca="1">IF(T_EMPLOYEES[[#This Row],[EMPLOYEE NUMBER]]="","",MATCH(T_EMPLOYEES[[#This Row],[JOB CATEGORY]],L_JOBCATEGORY,0))</f>
        <v>38</v>
      </c>
      <c r="AL348">
        <f ca="1">IF(T_EMPLOYEES[[#This Row],[EMPLOYEE NUMBER]]="","",MATCH(T_EMPLOYEES[[#This Row],[JOB LEVEL]],L_JOBLEVEL,0))</f>
        <v>2</v>
      </c>
      <c r="AM348">
        <f ca="1">IF(T_EMPLOYEES[[#This Row],[EMPLOYEE NUMBER]]="","",MATCH(T_EMPLOYEES[[#This Row],[JOB TITLE]],L_JOBTITLE,0))</f>
        <v>38</v>
      </c>
      <c r="AN348">
        <f ca="1">IF(T_EMPLOYEES[[#This Row],[EMPLOYEE NUMBER]]="","",MATCH(T_EMPLOYEES[[#This Row],[MANAGER]],L_EMPLABELS,0))</f>
        <v>108</v>
      </c>
      <c r="AO348">
        <f ca="1">IF(T_EMPLOYEES[[#This Row],[EMPLOYEE NUMBER]]="","",IF(T_EMPLOYEES[[#This Row],[ERROR]]="",0,1))</f>
        <v>0</v>
      </c>
      <c r="AP34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9" spans="1:42">
      <c r="A349" t="s">
        <v>1193</v>
      </c>
      <c r="B349" t="s">
        <v>1194</v>
      </c>
      <c r="C349">
        <v>1031065</v>
      </c>
      <c r="D349" t="s">
        <v>1195</v>
      </c>
      <c r="E349" s="26">
        <v>35568</v>
      </c>
      <c r="F349" s="26">
        <v>44889</v>
      </c>
      <c r="H349" t="s">
        <v>27</v>
      </c>
      <c r="I349" t="s">
        <v>54</v>
      </c>
      <c r="J349" t="s">
        <v>64</v>
      </c>
      <c r="K349" t="s">
        <v>30</v>
      </c>
      <c r="L349" s="27" t="s">
        <v>114</v>
      </c>
      <c r="M349" t="s">
        <v>46</v>
      </c>
      <c r="N349" t="s">
        <v>151</v>
      </c>
      <c r="O349" t="s">
        <v>36</v>
      </c>
      <c r="P349" t="s">
        <v>151</v>
      </c>
      <c r="Q349" t="s">
        <v>505</v>
      </c>
      <c r="R349">
        <v>0</v>
      </c>
      <c r="S349" s="1">
        <v>250000</v>
      </c>
      <c r="T349" s="1">
        <f ca="1">ROUND(T_EMPLOYEES[[#This Row],[EMP_CTC1]]/12, 0)</f>
        <v>20833</v>
      </c>
      <c r="U349" s="1">
        <v>150000</v>
      </c>
      <c r="V349" s="1" t="s">
        <v>1065</v>
      </c>
      <c r="W349" s="1" t="s">
        <v>1065</v>
      </c>
      <c r="X34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Jadhav Suraj Sambhaji (1031065)</v>
      </c>
      <c r="Y349">
        <v>120000</v>
      </c>
      <c r="Z349" s="29">
        <f t="shared" ca="1" si="6"/>
        <v>40</v>
      </c>
      <c r="AA349">
        <f ca="1">IF(T_EMPLOYEES[[#This Row],[EMPLOYEE NUMBER]]="","",ROW(T_EMPLOYEES[[#This Row],[EMPLOYEE LABEL]])-ROW(T_EMPLOYEES[[#Headers],[EMPLOYEE LABEL]]))</f>
        <v>346</v>
      </c>
      <c r="AB349">
        <f ca="1">IF(T_EMPLOYEES[[#This Row],[EMPLOYEE NUMBER]]="","",IF(COUNTIF(T_EMPLOYEES[EMPLOYEE NUMBER],T_EMPLOYEES[[#This Row],[EMPLOYEE NUMBER]])&gt;1,1,0))</f>
        <v>0</v>
      </c>
      <c r="AC349">
        <f ca="1">IF(T_EMPLOYEES[[#This Row],[EMPLOYEE NUMBER]]="","",IF(AND(T_EMPLOYEES[[#This Row],[DATE OF BIRTH]]&gt;0,T_EMPLOYEES[[#This Row],[DATE OF BIRTH]]&lt;TODAY()),0,1))</f>
        <v>0</v>
      </c>
      <c r="AD349">
        <f ca="1">IF(T_EMPLOYEES[[#This Row],[EMPLOYEE NUMBER]]="","",IF(AND(T_EMPLOYEES[[#This Row],[START DATE]]&gt;0,T_EMPLOYEES[[#This Row],[START DATE]]&lt;TODAY()+60),0,1))</f>
        <v>0</v>
      </c>
      <c r="AE349">
        <f ca="1">IF(T_EMPLOYEES[[#This Row],[EMPLOYEE NUMBER]]="","",MATCH(T_EMPLOYEES[[#This Row],[GENDER]],L_GENDER,0))</f>
        <v>1</v>
      </c>
      <c r="AF349">
        <f ca="1">IF(T_EMPLOYEES[[#This Row],[EMPLOYEE NUMBER]]="","",MATCH(T_EMPLOYEES[[#This Row],[HIRE SOURCE]],L_HIRESOURCE,0))</f>
        <v>4</v>
      </c>
      <c r="AG349">
        <f ca="1">IF(T_EMPLOYEES[[#This Row],[EMPLOYEE NUMBER]]="","",MATCH(T_EMPLOYEES[[#This Row],[ETHNICITY]],L_ETHNICITY,0))</f>
        <v>3</v>
      </c>
      <c r="AH349">
        <f ca="1">IF(T_EMPLOYEES[[#This Row],[EMPLOYEE NUMBER]]="","",MATCH(T_EMPLOYEES[[#This Row],[LOCATION]],L_LOCATION,0))</f>
        <v>1</v>
      </c>
      <c r="AI349">
        <f ca="1">IF(T_EMPLOYEES[[#This Row],[EMPLOYEE NUMBER]]="","",MATCH(T_EMPLOYEES[[#This Row],[DEPARTMENT]],L_DEPARTMENT,0))</f>
        <v>11</v>
      </c>
      <c r="AJ349">
        <f ca="1">IF(T_EMPLOYEES[[#This Row],[EMPLOYEE NUMBER]]="","",MATCH(T_EMPLOYEES[[#This Row],[JOB TYPE]],L_JOBTYPE,0))</f>
        <v>2</v>
      </c>
      <c r="AK349">
        <f ca="1">IF(T_EMPLOYEES[[#This Row],[EMPLOYEE NUMBER]]="","",MATCH(T_EMPLOYEES[[#This Row],[JOB CATEGORY]],L_JOBCATEGORY,0))</f>
        <v>30</v>
      </c>
      <c r="AL349">
        <f ca="1">IF(T_EMPLOYEES[[#This Row],[EMPLOYEE NUMBER]]="","",MATCH(T_EMPLOYEES[[#This Row],[JOB LEVEL]],L_JOBLEVEL,0))</f>
        <v>1</v>
      </c>
      <c r="AM349">
        <f ca="1">IF(T_EMPLOYEES[[#This Row],[EMPLOYEE NUMBER]]="","",MATCH(T_EMPLOYEES[[#This Row],[JOB TITLE]],L_JOBTITLE,0))</f>
        <v>30</v>
      </c>
      <c r="AN349">
        <f ca="1">IF(T_EMPLOYEES[[#This Row],[EMPLOYEE NUMBER]]="","",MATCH(T_EMPLOYEES[[#This Row],[MANAGER]],L_EMPLABELS,0))</f>
        <v>57</v>
      </c>
      <c r="AO349">
        <f ca="1">IF(T_EMPLOYEES[[#This Row],[EMPLOYEE NUMBER]]="","",IF(T_EMPLOYEES[[#This Row],[ERROR]]="",0,1))</f>
        <v>0</v>
      </c>
      <c r="AP34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0" spans="1:42">
      <c r="A350" t="s">
        <v>1196</v>
      </c>
      <c r="B350" t="s">
        <v>1197</v>
      </c>
      <c r="C350">
        <v>1028495</v>
      </c>
      <c r="D350" t="s">
        <v>1198</v>
      </c>
      <c r="E350" s="26">
        <v>35586</v>
      </c>
      <c r="F350" s="26">
        <v>44624</v>
      </c>
      <c r="H350" t="s">
        <v>27</v>
      </c>
      <c r="I350" t="s">
        <v>54</v>
      </c>
      <c r="J350" t="s">
        <v>64</v>
      </c>
      <c r="K350" t="s">
        <v>30</v>
      </c>
      <c r="L350" s="27" t="s">
        <v>45</v>
      </c>
      <c r="M350" t="s">
        <v>46</v>
      </c>
      <c r="N350" t="s">
        <v>128</v>
      </c>
      <c r="O350" t="s">
        <v>60</v>
      </c>
      <c r="P350" t="s">
        <v>128</v>
      </c>
      <c r="Q350" t="s">
        <v>549</v>
      </c>
      <c r="R350" s="27">
        <v>4</v>
      </c>
      <c r="S350" s="1">
        <v>250000</v>
      </c>
      <c r="T350" s="1">
        <f ca="1">ROUND(T_EMPLOYEES[[#This Row],[EMP_CTC1]]/12, 0)</f>
        <v>20833</v>
      </c>
      <c r="U350" s="1">
        <v>150000</v>
      </c>
      <c r="V350" s="1" t="s">
        <v>1065</v>
      </c>
      <c r="W350" s="1" t="s">
        <v>1065</v>
      </c>
      <c r="X35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Vulisi  Sai Vamsi (1028495)</v>
      </c>
      <c r="Y350">
        <v>120000</v>
      </c>
      <c r="Z350" s="29">
        <f t="shared" ca="1" si="6"/>
        <v>40</v>
      </c>
      <c r="AA350">
        <f ca="1">IF(T_EMPLOYEES[[#This Row],[EMPLOYEE NUMBER]]="","",ROW(T_EMPLOYEES[[#This Row],[EMPLOYEE LABEL]])-ROW(T_EMPLOYEES[[#Headers],[EMPLOYEE LABEL]]))</f>
        <v>347</v>
      </c>
      <c r="AB350">
        <f ca="1">IF(T_EMPLOYEES[[#This Row],[EMPLOYEE NUMBER]]="","",IF(COUNTIF(T_EMPLOYEES[EMPLOYEE NUMBER],T_EMPLOYEES[[#This Row],[EMPLOYEE NUMBER]])&gt;1,1,0))</f>
        <v>0</v>
      </c>
      <c r="AC350">
        <f ca="1">IF(T_EMPLOYEES[[#This Row],[EMPLOYEE NUMBER]]="","",IF(AND(T_EMPLOYEES[[#This Row],[DATE OF BIRTH]]&gt;0,T_EMPLOYEES[[#This Row],[DATE OF BIRTH]]&lt;TODAY()),0,1))</f>
        <v>0</v>
      </c>
      <c r="AD350">
        <f ca="1">IF(T_EMPLOYEES[[#This Row],[EMPLOYEE NUMBER]]="","",IF(AND(T_EMPLOYEES[[#This Row],[START DATE]]&gt;0,T_EMPLOYEES[[#This Row],[START DATE]]&lt;TODAY()+60),0,1))</f>
        <v>0</v>
      </c>
      <c r="AE350">
        <f ca="1">IF(T_EMPLOYEES[[#This Row],[EMPLOYEE NUMBER]]="","",MATCH(T_EMPLOYEES[[#This Row],[GENDER]],L_GENDER,0))</f>
        <v>1</v>
      </c>
      <c r="AF350">
        <f ca="1">IF(T_EMPLOYEES[[#This Row],[EMPLOYEE NUMBER]]="","",MATCH(T_EMPLOYEES[[#This Row],[HIRE SOURCE]],L_HIRESOURCE,0))</f>
        <v>4</v>
      </c>
      <c r="AG350">
        <f ca="1">IF(T_EMPLOYEES[[#This Row],[EMPLOYEE NUMBER]]="","",MATCH(T_EMPLOYEES[[#This Row],[ETHNICITY]],L_ETHNICITY,0))</f>
        <v>3</v>
      </c>
      <c r="AH350">
        <f ca="1">IF(T_EMPLOYEES[[#This Row],[EMPLOYEE NUMBER]]="","",MATCH(T_EMPLOYEES[[#This Row],[LOCATION]],L_LOCATION,0))</f>
        <v>1</v>
      </c>
      <c r="AI350">
        <f ca="1">IF(T_EMPLOYEES[[#This Row],[EMPLOYEE NUMBER]]="","",MATCH(T_EMPLOYEES[[#This Row],[DEPARTMENT]],L_DEPARTMENT,0))</f>
        <v>2</v>
      </c>
      <c r="AJ350">
        <f ca="1">IF(T_EMPLOYEES[[#This Row],[EMPLOYEE NUMBER]]="","",MATCH(T_EMPLOYEES[[#This Row],[JOB TYPE]],L_JOBTYPE,0))</f>
        <v>2</v>
      </c>
      <c r="AK350">
        <f ca="1">IF(T_EMPLOYEES[[#This Row],[EMPLOYEE NUMBER]]="","",MATCH(T_EMPLOYEES[[#This Row],[JOB CATEGORY]],L_JOBCATEGORY,0))</f>
        <v>15</v>
      </c>
      <c r="AL350">
        <f ca="1">IF(T_EMPLOYEES[[#This Row],[EMPLOYEE NUMBER]]="","",MATCH(T_EMPLOYEES[[#This Row],[JOB LEVEL]],L_JOBLEVEL,0))</f>
        <v>3</v>
      </c>
      <c r="AM350">
        <f ca="1">IF(T_EMPLOYEES[[#This Row],[EMPLOYEE NUMBER]]="","",MATCH(T_EMPLOYEES[[#This Row],[JOB TITLE]],L_JOBTITLE,0))</f>
        <v>15</v>
      </c>
      <c r="AN350">
        <f ca="1">IF(T_EMPLOYEES[[#This Row],[EMPLOYEE NUMBER]]="","",MATCH(T_EMPLOYEES[[#This Row],[MANAGER]],L_EMPLABELS,0))</f>
        <v>50</v>
      </c>
      <c r="AO350">
        <f ca="1">IF(T_EMPLOYEES[[#This Row],[EMPLOYEE NUMBER]]="","",IF(T_EMPLOYEES[[#This Row],[ERROR]]="",0,1))</f>
        <v>0</v>
      </c>
      <c r="AP35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1" spans="1:42">
      <c r="A351" t="s">
        <v>715</v>
      </c>
      <c r="B351" t="s">
        <v>1199</v>
      </c>
      <c r="C351">
        <v>1032582</v>
      </c>
      <c r="D351" t="s">
        <v>1200</v>
      </c>
      <c r="E351" s="26">
        <v>35587</v>
      </c>
      <c r="F351" s="26">
        <v>45033</v>
      </c>
      <c r="H351" t="s">
        <v>27</v>
      </c>
      <c r="I351" t="s">
        <v>54</v>
      </c>
      <c r="J351" t="s">
        <v>64</v>
      </c>
      <c r="K351" t="s">
        <v>43</v>
      </c>
      <c r="L351" s="27" t="s">
        <v>45</v>
      </c>
      <c r="M351" t="s">
        <v>46</v>
      </c>
      <c r="N351" t="s">
        <v>160</v>
      </c>
      <c r="O351" t="s">
        <v>48</v>
      </c>
      <c r="P351" t="s">
        <v>160</v>
      </c>
      <c r="Q351" t="s">
        <v>578</v>
      </c>
      <c r="R351">
        <v>4</v>
      </c>
      <c r="S351" s="1">
        <v>250000</v>
      </c>
      <c r="T351" s="1">
        <f ca="1">ROUND(T_EMPLOYEES[[#This Row],[EMP_CTC1]]/12, 0)</f>
        <v>20833</v>
      </c>
      <c r="U351" s="1">
        <v>150000</v>
      </c>
      <c r="V351" s="1" t="s">
        <v>1065</v>
      </c>
      <c r="W351" s="1" t="s">
        <v>1065</v>
      </c>
      <c r="X35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 Vinay  Kumar (1032582)</v>
      </c>
      <c r="Y351">
        <v>120000</v>
      </c>
      <c r="Z351" s="29">
        <f t="shared" ca="1" si="6"/>
        <v>40</v>
      </c>
      <c r="AA351">
        <f ca="1">IF(T_EMPLOYEES[[#This Row],[EMPLOYEE NUMBER]]="","",ROW(T_EMPLOYEES[[#This Row],[EMPLOYEE LABEL]])-ROW(T_EMPLOYEES[[#Headers],[EMPLOYEE LABEL]]))</f>
        <v>348</v>
      </c>
      <c r="AB351">
        <f ca="1">IF(T_EMPLOYEES[[#This Row],[EMPLOYEE NUMBER]]="","",IF(COUNTIF(T_EMPLOYEES[EMPLOYEE NUMBER],T_EMPLOYEES[[#This Row],[EMPLOYEE NUMBER]])&gt;1,1,0))</f>
        <v>0</v>
      </c>
      <c r="AC351">
        <f ca="1">IF(T_EMPLOYEES[[#This Row],[EMPLOYEE NUMBER]]="","",IF(AND(T_EMPLOYEES[[#This Row],[DATE OF BIRTH]]&gt;0,T_EMPLOYEES[[#This Row],[DATE OF BIRTH]]&lt;TODAY()),0,1))</f>
        <v>0</v>
      </c>
      <c r="AD351">
        <f ca="1">IF(T_EMPLOYEES[[#This Row],[EMPLOYEE NUMBER]]="","",IF(AND(T_EMPLOYEES[[#This Row],[START DATE]]&gt;0,T_EMPLOYEES[[#This Row],[START DATE]]&lt;TODAY()+60),0,1))</f>
        <v>0</v>
      </c>
      <c r="AE351">
        <f ca="1">IF(T_EMPLOYEES[[#This Row],[EMPLOYEE NUMBER]]="","",MATCH(T_EMPLOYEES[[#This Row],[GENDER]],L_GENDER,0))</f>
        <v>1</v>
      </c>
      <c r="AF351">
        <f ca="1">IF(T_EMPLOYEES[[#This Row],[EMPLOYEE NUMBER]]="","",MATCH(T_EMPLOYEES[[#This Row],[HIRE SOURCE]],L_HIRESOURCE,0))</f>
        <v>4</v>
      </c>
      <c r="AG351">
        <f ca="1">IF(T_EMPLOYEES[[#This Row],[EMPLOYEE NUMBER]]="","",MATCH(T_EMPLOYEES[[#This Row],[ETHNICITY]],L_ETHNICITY,0))</f>
        <v>3</v>
      </c>
      <c r="AH351">
        <f ca="1">IF(T_EMPLOYEES[[#This Row],[EMPLOYEE NUMBER]]="","",MATCH(T_EMPLOYEES[[#This Row],[LOCATION]],L_LOCATION,0))</f>
        <v>2</v>
      </c>
      <c r="AI351">
        <f ca="1">IF(T_EMPLOYEES[[#This Row],[EMPLOYEE NUMBER]]="","",MATCH(T_EMPLOYEES[[#This Row],[DEPARTMENT]],L_DEPARTMENT,0))</f>
        <v>2</v>
      </c>
      <c r="AJ351">
        <f ca="1">IF(T_EMPLOYEES[[#This Row],[EMPLOYEE NUMBER]]="","",MATCH(T_EMPLOYEES[[#This Row],[JOB TYPE]],L_JOBTYPE,0))</f>
        <v>2</v>
      </c>
      <c r="AK351">
        <f ca="1">IF(T_EMPLOYEES[[#This Row],[EMPLOYEE NUMBER]]="","",MATCH(T_EMPLOYEES[[#This Row],[JOB CATEGORY]],L_JOBCATEGORY,0))</f>
        <v>39</v>
      </c>
      <c r="AL351">
        <f ca="1">IF(T_EMPLOYEES[[#This Row],[EMPLOYEE NUMBER]]="","",MATCH(T_EMPLOYEES[[#This Row],[JOB LEVEL]],L_JOBLEVEL,0))</f>
        <v>2</v>
      </c>
      <c r="AM351">
        <f ca="1">IF(T_EMPLOYEES[[#This Row],[EMPLOYEE NUMBER]]="","",MATCH(T_EMPLOYEES[[#This Row],[JOB TITLE]],L_JOBTITLE,0))</f>
        <v>39</v>
      </c>
      <c r="AN351">
        <f ca="1">IF(T_EMPLOYEES[[#This Row],[EMPLOYEE NUMBER]]="","",MATCH(T_EMPLOYEES[[#This Row],[MANAGER]],L_EMPLABELS,0))</f>
        <v>76</v>
      </c>
      <c r="AO351">
        <f ca="1">IF(T_EMPLOYEES[[#This Row],[EMPLOYEE NUMBER]]="","",IF(T_EMPLOYEES[[#This Row],[ERROR]]="",0,1))</f>
        <v>0</v>
      </c>
      <c r="AP35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2" spans="1:42">
      <c r="A352" t="s">
        <v>1190</v>
      </c>
      <c r="B352" t="s">
        <v>1201</v>
      </c>
      <c r="C352">
        <v>1023756</v>
      </c>
      <c r="D352" t="s">
        <v>1202</v>
      </c>
      <c r="E352" s="26">
        <v>35592</v>
      </c>
      <c r="F352" s="26">
        <v>44075</v>
      </c>
      <c r="H352" t="s">
        <v>27</v>
      </c>
      <c r="I352" t="s">
        <v>54</v>
      </c>
      <c r="J352" t="s">
        <v>64</v>
      </c>
      <c r="K352" t="s">
        <v>30</v>
      </c>
      <c r="L352" s="27" t="s">
        <v>130</v>
      </c>
      <c r="M352" t="s">
        <v>46</v>
      </c>
      <c r="N352" t="s">
        <v>160</v>
      </c>
      <c r="O352" t="s">
        <v>48</v>
      </c>
      <c r="P352" t="s">
        <v>160</v>
      </c>
      <c r="Q352" t="s">
        <v>337</v>
      </c>
      <c r="R352" s="27">
        <v>4</v>
      </c>
      <c r="S352" s="1">
        <v>250000</v>
      </c>
      <c r="T352" s="1">
        <f ca="1">ROUND(T_EMPLOYEES[[#This Row],[EMP_CTC1]]/12, 0)</f>
        <v>20833</v>
      </c>
      <c r="U352" s="1">
        <v>150000</v>
      </c>
      <c r="V352" s="1" t="s">
        <v>1065</v>
      </c>
      <c r="W352" s="1" t="s">
        <v>1065</v>
      </c>
      <c r="X35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Sandeep  Sen (1023756)</v>
      </c>
      <c r="Y352">
        <v>120000</v>
      </c>
      <c r="Z352" s="29">
        <f t="shared" ca="1" si="6"/>
        <v>40</v>
      </c>
      <c r="AA352">
        <f ca="1">IF(T_EMPLOYEES[[#This Row],[EMPLOYEE NUMBER]]="","",ROW(T_EMPLOYEES[[#This Row],[EMPLOYEE LABEL]])-ROW(T_EMPLOYEES[[#Headers],[EMPLOYEE LABEL]]))</f>
        <v>349</v>
      </c>
      <c r="AB352">
        <f ca="1">IF(T_EMPLOYEES[[#This Row],[EMPLOYEE NUMBER]]="","",IF(COUNTIF(T_EMPLOYEES[EMPLOYEE NUMBER],T_EMPLOYEES[[#This Row],[EMPLOYEE NUMBER]])&gt;1,1,0))</f>
        <v>0</v>
      </c>
      <c r="AC352">
        <f ca="1">IF(T_EMPLOYEES[[#This Row],[EMPLOYEE NUMBER]]="","",IF(AND(T_EMPLOYEES[[#This Row],[DATE OF BIRTH]]&gt;0,T_EMPLOYEES[[#This Row],[DATE OF BIRTH]]&lt;TODAY()),0,1))</f>
        <v>0</v>
      </c>
      <c r="AD352">
        <f ca="1">IF(T_EMPLOYEES[[#This Row],[EMPLOYEE NUMBER]]="","",IF(AND(T_EMPLOYEES[[#This Row],[START DATE]]&gt;0,T_EMPLOYEES[[#This Row],[START DATE]]&lt;TODAY()+60),0,1))</f>
        <v>0</v>
      </c>
      <c r="AE352">
        <f ca="1">IF(T_EMPLOYEES[[#This Row],[EMPLOYEE NUMBER]]="","",MATCH(T_EMPLOYEES[[#This Row],[GENDER]],L_GENDER,0))</f>
        <v>1</v>
      </c>
      <c r="AF352">
        <f ca="1">IF(T_EMPLOYEES[[#This Row],[EMPLOYEE NUMBER]]="","",MATCH(T_EMPLOYEES[[#This Row],[HIRE SOURCE]],L_HIRESOURCE,0))</f>
        <v>4</v>
      </c>
      <c r="AG352">
        <f ca="1">IF(T_EMPLOYEES[[#This Row],[EMPLOYEE NUMBER]]="","",MATCH(T_EMPLOYEES[[#This Row],[ETHNICITY]],L_ETHNICITY,0))</f>
        <v>3</v>
      </c>
      <c r="AH352">
        <f ca="1">IF(T_EMPLOYEES[[#This Row],[EMPLOYEE NUMBER]]="","",MATCH(T_EMPLOYEES[[#This Row],[LOCATION]],L_LOCATION,0))</f>
        <v>1</v>
      </c>
      <c r="AI352">
        <f ca="1">IF(T_EMPLOYEES[[#This Row],[EMPLOYEE NUMBER]]="","",MATCH(T_EMPLOYEES[[#This Row],[DEPARTMENT]],L_DEPARTMENT,0))</f>
        <v>16</v>
      </c>
      <c r="AJ352">
        <f ca="1">IF(T_EMPLOYEES[[#This Row],[EMPLOYEE NUMBER]]="","",MATCH(T_EMPLOYEES[[#This Row],[JOB TYPE]],L_JOBTYPE,0))</f>
        <v>2</v>
      </c>
      <c r="AK352">
        <f ca="1">IF(T_EMPLOYEES[[#This Row],[EMPLOYEE NUMBER]]="","",MATCH(T_EMPLOYEES[[#This Row],[JOB CATEGORY]],L_JOBCATEGORY,0))</f>
        <v>39</v>
      </c>
      <c r="AL352">
        <f ca="1">IF(T_EMPLOYEES[[#This Row],[EMPLOYEE NUMBER]]="","",MATCH(T_EMPLOYEES[[#This Row],[JOB LEVEL]],L_JOBLEVEL,0))</f>
        <v>2</v>
      </c>
      <c r="AM352">
        <f ca="1">IF(T_EMPLOYEES[[#This Row],[EMPLOYEE NUMBER]]="","",MATCH(T_EMPLOYEES[[#This Row],[JOB TITLE]],L_JOBTITLE,0))</f>
        <v>39</v>
      </c>
      <c r="AN352">
        <f ca="1">IF(T_EMPLOYEES[[#This Row],[EMPLOYEE NUMBER]]="","",MATCH(T_EMPLOYEES[[#This Row],[MANAGER]],L_EMPLABELS,0))</f>
        <v>48</v>
      </c>
      <c r="AO352">
        <f ca="1">IF(T_EMPLOYEES[[#This Row],[EMPLOYEE NUMBER]]="","",IF(T_EMPLOYEES[[#This Row],[ERROR]]="",0,1))</f>
        <v>0</v>
      </c>
      <c r="AP35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3" spans="1:42">
      <c r="A353" t="s">
        <v>1203</v>
      </c>
      <c r="B353" t="s">
        <v>293</v>
      </c>
      <c r="C353">
        <v>1030075</v>
      </c>
      <c r="D353" t="s">
        <v>1204</v>
      </c>
      <c r="E353" s="26">
        <v>35593</v>
      </c>
      <c r="F353" s="26">
        <v>44806</v>
      </c>
      <c r="H353" t="s">
        <v>27</v>
      </c>
      <c r="I353" t="s">
        <v>54</v>
      </c>
      <c r="J353" t="s">
        <v>64</v>
      </c>
      <c r="K353" t="s">
        <v>30</v>
      </c>
      <c r="L353" s="27" t="s">
        <v>45</v>
      </c>
      <c r="M353" t="s">
        <v>46</v>
      </c>
      <c r="N353" t="s">
        <v>160</v>
      </c>
      <c r="O353" t="s">
        <v>48</v>
      </c>
      <c r="P353" t="s">
        <v>160</v>
      </c>
      <c r="Q353" t="s">
        <v>559</v>
      </c>
      <c r="R353">
        <v>4</v>
      </c>
      <c r="S353" s="1">
        <v>250000</v>
      </c>
      <c r="T353" s="1">
        <f ca="1">ROUND(T_EMPLOYEES[[#This Row],[EMP_CTC1]]/12, 0)</f>
        <v>20833</v>
      </c>
      <c r="U353" s="1">
        <v>150000</v>
      </c>
      <c r="V353" s="1" t="s">
        <v>1065</v>
      </c>
      <c r="W353" s="1" t="s">
        <v>1065</v>
      </c>
      <c r="X35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Shantanu Kumar (1030075)</v>
      </c>
      <c r="Y353">
        <v>120000</v>
      </c>
      <c r="Z353" s="29">
        <f t="shared" ca="1" si="6"/>
        <v>40</v>
      </c>
      <c r="AA353">
        <f ca="1">IF(T_EMPLOYEES[[#This Row],[EMPLOYEE NUMBER]]="","",ROW(T_EMPLOYEES[[#This Row],[EMPLOYEE LABEL]])-ROW(T_EMPLOYEES[[#Headers],[EMPLOYEE LABEL]]))</f>
        <v>350</v>
      </c>
      <c r="AB353">
        <f ca="1">IF(T_EMPLOYEES[[#This Row],[EMPLOYEE NUMBER]]="","",IF(COUNTIF(T_EMPLOYEES[EMPLOYEE NUMBER],T_EMPLOYEES[[#This Row],[EMPLOYEE NUMBER]])&gt;1,1,0))</f>
        <v>0</v>
      </c>
      <c r="AC353">
        <f ca="1">IF(T_EMPLOYEES[[#This Row],[EMPLOYEE NUMBER]]="","",IF(AND(T_EMPLOYEES[[#This Row],[DATE OF BIRTH]]&gt;0,T_EMPLOYEES[[#This Row],[DATE OF BIRTH]]&lt;TODAY()),0,1))</f>
        <v>0</v>
      </c>
      <c r="AD353">
        <f ca="1">IF(T_EMPLOYEES[[#This Row],[EMPLOYEE NUMBER]]="","",IF(AND(T_EMPLOYEES[[#This Row],[START DATE]]&gt;0,T_EMPLOYEES[[#This Row],[START DATE]]&lt;TODAY()+60),0,1))</f>
        <v>0</v>
      </c>
      <c r="AE353">
        <f ca="1">IF(T_EMPLOYEES[[#This Row],[EMPLOYEE NUMBER]]="","",MATCH(T_EMPLOYEES[[#This Row],[GENDER]],L_GENDER,0))</f>
        <v>1</v>
      </c>
      <c r="AF353">
        <f ca="1">IF(T_EMPLOYEES[[#This Row],[EMPLOYEE NUMBER]]="","",MATCH(T_EMPLOYEES[[#This Row],[HIRE SOURCE]],L_HIRESOURCE,0))</f>
        <v>4</v>
      </c>
      <c r="AG353">
        <f ca="1">IF(T_EMPLOYEES[[#This Row],[EMPLOYEE NUMBER]]="","",MATCH(T_EMPLOYEES[[#This Row],[ETHNICITY]],L_ETHNICITY,0))</f>
        <v>3</v>
      </c>
      <c r="AH353">
        <f ca="1">IF(T_EMPLOYEES[[#This Row],[EMPLOYEE NUMBER]]="","",MATCH(T_EMPLOYEES[[#This Row],[LOCATION]],L_LOCATION,0))</f>
        <v>1</v>
      </c>
      <c r="AI353">
        <f ca="1">IF(T_EMPLOYEES[[#This Row],[EMPLOYEE NUMBER]]="","",MATCH(T_EMPLOYEES[[#This Row],[DEPARTMENT]],L_DEPARTMENT,0))</f>
        <v>2</v>
      </c>
      <c r="AJ353">
        <f ca="1">IF(T_EMPLOYEES[[#This Row],[EMPLOYEE NUMBER]]="","",MATCH(T_EMPLOYEES[[#This Row],[JOB TYPE]],L_JOBTYPE,0))</f>
        <v>2</v>
      </c>
      <c r="AK353">
        <f ca="1">IF(T_EMPLOYEES[[#This Row],[EMPLOYEE NUMBER]]="","",MATCH(T_EMPLOYEES[[#This Row],[JOB CATEGORY]],L_JOBCATEGORY,0))</f>
        <v>39</v>
      </c>
      <c r="AL353">
        <f ca="1">IF(T_EMPLOYEES[[#This Row],[EMPLOYEE NUMBER]]="","",MATCH(T_EMPLOYEES[[#This Row],[JOB LEVEL]],L_JOBLEVEL,0))</f>
        <v>2</v>
      </c>
      <c r="AM353">
        <f ca="1">IF(T_EMPLOYEES[[#This Row],[EMPLOYEE NUMBER]]="","",MATCH(T_EMPLOYEES[[#This Row],[JOB TITLE]],L_JOBTITLE,0))</f>
        <v>39</v>
      </c>
      <c r="AN353">
        <f ca="1">IF(T_EMPLOYEES[[#This Row],[EMPLOYEE NUMBER]]="","",MATCH(T_EMPLOYEES[[#This Row],[MANAGER]],L_EMPLABELS,0))</f>
        <v>58</v>
      </c>
      <c r="AO353">
        <f ca="1">IF(T_EMPLOYEES[[#This Row],[EMPLOYEE NUMBER]]="","",IF(T_EMPLOYEES[[#This Row],[ERROR]]="",0,1))</f>
        <v>0</v>
      </c>
      <c r="AP35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4" spans="1:42">
      <c r="A354" t="s">
        <v>1205</v>
      </c>
      <c r="B354" t="s">
        <v>1206</v>
      </c>
      <c r="C354">
        <v>1031039</v>
      </c>
      <c r="D354" t="s">
        <v>1207</v>
      </c>
      <c r="E354" s="26">
        <v>35601</v>
      </c>
      <c r="F354" s="26">
        <v>44889</v>
      </c>
      <c r="H354" t="s">
        <v>27</v>
      </c>
      <c r="I354" t="s">
        <v>54</v>
      </c>
      <c r="J354" t="s">
        <v>64</v>
      </c>
      <c r="K354" t="s">
        <v>43</v>
      </c>
      <c r="L354" s="27" t="s">
        <v>114</v>
      </c>
      <c r="M354" t="s">
        <v>46</v>
      </c>
      <c r="N354" t="s">
        <v>151</v>
      </c>
      <c r="O354" t="s">
        <v>36</v>
      </c>
      <c r="P354" t="s">
        <v>151</v>
      </c>
      <c r="Q354" t="s">
        <v>468</v>
      </c>
      <c r="R354" s="27">
        <v>0</v>
      </c>
      <c r="S354" s="1">
        <v>250000</v>
      </c>
      <c r="T354" s="1">
        <f ca="1">ROUND(T_EMPLOYEES[[#This Row],[EMP_CTC1]]/12, 0)</f>
        <v>20833</v>
      </c>
      <c r="U354" s="1">
        <v>150000</v>
      </c>
      <c r="V354" s="1" t="s">
        <v>1065</v>
      </c>
      <c r="W354" s="1" t="s">
        <v>1065</v>
      </c>
      <c r="X35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Ankit Radheshyam Patil (1031039)</v>
      </c>
      <c r="Y354">
        <v>120000</v>
      </c>
      <c r="Z354" s="29">
        <f t="shared" ca="1" si="6"/>
        <v>40</v>
      </c>
      <c r="AA354">
        <f ca="1">IF(T_EMPLOYEES[[#This Row],[EMPLOYEE NUMBER]]="","",ROW(T_EMPLOYEES[[#This Row],[EMPLOYEE LABEL]])-ROW(T_EMPLOYEES[[#Headers],[EMPLOYEE LABEL]]))</f>
        <v>351</v>
      </c>
      <c r="AB354">
        <f ca="1">IF(T_EMPLOYEES[[#This Row],[EMPLOYEE NUMBER]]="","",IF(COUNTIF(T_EMPLOYEES[EMPLOYEE NUMBER],T_EMPLOYEES[[#This Row],[EMPLOYEE NUMBER]])&gt;1,1,0))</f>
        <v>0</v>
      </c>
      <c r="AC354">
        <f ca="1">IF(T_EMPLOYEES[[#This Row],[EMPLOYEE NUMBER]]="","",IF(AND(T_EMPLOYEES[[#This Row],[DATE OF BIRTH]]&gt;0,T_EMPLOYEES[[#This Row],[DATE OF BIRTH]]&lt;TODAY()),0,1))</f>
        <v>0</v>
      </c>
      <c r="AD354">
        <f ca="1">IF(T_EMPLOYEES[[#This Row],[EMPLOYEE NUMBER]]="","",IF(AND(T_EMPLOYEES[[#This Row],[START DATE]]&gt;0,T_EMPLOYEES[[#This Row],[START DATE]]&lt;TODAY()+60),0,1))</f>
        <v>0</v>
      </c>
      <c r="AE354">
        <f ca="1">IF(T_EMPLOYEES[[#This Row],[EMPLOYEE NUMBER]]="","",MATCH(T_EMPLOYEES[[#This Row],[GENDER]],L_GENDER,0))</f>
        <v>1</v>
      </c>
      <c r="AF354">
        <f ca="1">IF(T_EMPLOYEES[[#This Row],[EMPLOYEE NUMBER]]="","",MATCH(T_EMPLOYEES[[#This Row],[HIRE SOURCE]],L_HIRESOURCE,0))</f>
        <v>4</v>
      </c>
      <c r="AG354">
        <f ca="1">IF(T_EMPLOYEES[[#This Row],[EMPLOYEE NUMBER]]="","",MATCH(T_EMPLOYEES[[#This Row],[ETHNICITY]],L_ETHNICITY,0))</f>
        <v>3</v>
      </c>
      <c r="AH354">
        <f ca="1">IF(T_EMPLOYEES[[#This Row],[EMPLOYEE NUMBER]]="","",MATCH(T_EMPLOYEES[[#This Row],[LOCATION]],L_LOCATION,0))</f>
        <v>2</v>
      </c>
      <c r="AI354">
        <f ca="1">IF(T_EMPLOYEES[[#This Row],[EMPLOYEE NUMBER]]="","",MATCH(T_EMPLOYEES[[#This Row],[DEPARTMENT]],L_DEPARTMENT,0))</f>
        <v>11</v>
      </c>
      <c r="AJ354">
        <f ca="1">IF(T_EMPLOYEES[[#This Row],[EMPLOYEE NUMBER]]="","",MATCH(T_EMPLOYEES[[#This Row],[JOB TYPE]],L_JOBTYPE,0))</f>
        <v>2</v>
      </c>
      <c r="AK354">
        <f ca="1">IF(T_EMPLOYEES[[#This Row],[EMPLOYEE NUMBER]]="","",MATCH(T_EMPLOYEES[[#This Row],[JOB CATEGORY]],L_JOBCATEGORY,0))</f>
        <v>30</v>
      </c>
      <c r="AL354">
        <f ca="1">IF(T_EMPLOYEES[[#This Row],[EMPLOYEE NUMBER]]="","",MATCH(T_EMPLOYEES[[#This Row],[JOB LEVEL]],L_JOBLEVEL,0))</f>
        <v>1</v>
      </c>
      <c r="AM354">
        <f ca="1">IF(T_EMPLOYEES[[#This Row],[EMPLOYEE NUMBER]]="","",MATCH(T_EMPLOYEES[[#This Row],[JOB TITLE]],L_JOBTITLE,0))</f>
        <v>30</v>
      </c>
      <c r="AN354">
        <f ca="1">IF(T_EMPLOYEES[[#This Row],[EMPLOYEE NUMBER]]="","",MATCH(T_EMPLOYEES[[#This Row],[MANAGER]],L_EMPLABELS,0))</f>
        <v>56</v>
      </c>
      <c r="AO354">
        <f ca="1">IF(T_EMPLOYEES[[#This Row],[EMPLOYEE NUMBER]]="","",IF(T_EMPLOYEES[[#This Row],[ERROR]]="",0,1))</f>
        <v>0</v>
      </c>
      <c r="AP35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5" spans="1:42">
      <c r="A355" t="s">
        <v>1208</v>
      </c>
      <c r="B355" t="s">
        <v>1209</v>
      </c>
      <c r="C355">
        <v>1031091</v>
      </c>
      <c r="D355" t="s">
        <v>1210</v>
      </c>
      <c r="E355" s="26">
        <v>35616</v>
      </c>
      <c r="F355" s="26">
        <v>44889</v>
      </c>
      <c r="H355" t="s">
        <v>27</v>
      </c>
      <c r="I355" t="s">
        <v>54</v>
      </c>
      <c r="J355" t="s">
        <v>64</v>
      </c>
      <c r="K355" t="s">
        <v>30</v>
      </c>
      <c r="L355" s="27" t="s">
        <v>45</v>
      </c>
      <c r="M355" t="s">
        <v>46</v>
      </c>
      <c r="N355" t="s">
        <v>151</v>
      </c>
      <c r="O355" t="s">
        <v>36</v>
      </c>
      <c r="P355" t="s">
        <v>151</v>
      </c>
      <c r="Q355" t="s">
        <v>937</v>
      </c>
      <c r="R355">
        <v>0</v>
      </c>
      <c r="S355" s="1">
        <v>250000</v>
      </c>
      <c r="T355" s="1">
        <f ca="1">ROUND(T_EMPLOYEES[[#This Row],[EMP_CTC1]]/12, 0)</f>
        <v>20833</v>
      </c>
      <c r="U355" s="1">
        <v>150000</v>
      </c>
      <c r="V355" s="1" t="s">
        <v>1065</v>
      </c>
      <c r="W355" s="1" t="s">
        <v>1065</v>
      </c>
      <c r="X35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Rushikesh Ganeshrao Pawar (1031091)</v>
      </c>
      <c r="Y355">
        <v>120000</v>
      </c>
      <c r="Z355" s="29">
        <f t="shared" ca="1" si="6"/>
        <v>40</v>
      </c>
      <c r="AA355">
        <f ca="1">IF(T_EMPLOYEES[[#This Row],[EMPLOYEE NUMBER]]="","",ROW(T_EMPLOYEES[[#This Row],[EMPLOYEE LABEL]])-ROW(T_EMPLOYEES[[#Headers],[EMPLOYEE LABEL]]))</f>
        <v>352</v>
      </c>
      <c r="AB355">
        <f ca="1">IF(T_EMPLOYEES[[#This Row],[EMPLOYEE NUMBER]]="","",IF(COUNTIF(T_EMPLOYEES[EMPLOYEE NUMBER],T_EMPLOYEES[[#This Row],[EMPLOYEE NUMBER]])&gt;1,1,0))</f>
        <v>0</v>
      </c>
      <c r="AC355">
        <f ca="1">IF(T_EMPLOYEES[[#This Row],[EMPLOYEE NUMBER]]="","",IF(AND(T_EMPLOYEES[[#This Row],[DATE OF BIRTH]]&gt;0,T_EMPLOYEES[[#This Row],[DATE OF BIRTH]]&lt;TODAY()),0,1))</f>
        <v>0</v>
      </c>
      <c r="AD355">
        <f ca="1">IF(T_EMPLOYEES[[#This Row],[EMPLOYEE NUMBER]]="","",IF(AND(T_EMPLOYEES[[#This Row],[START DATE]]&gt;0,T_EMPLOYEES[[#This Row],[START DATE]]&lt;TODAY()+60),0,1))</f>
        <v>0</v>
      </c>
      <c r="AE355">
        <f ca="1">IF(T_EMPLOYEES[[#This Row],[EMPLOYEE NUMBER]]="","",MATCH(T_EMPLOYEES[[#This Row],[GENDER]],L_GENDER,0))</f>
        <v>1</v>
      </c>
      <c r="AF355">
        <f ca="1">IF(T_EMPLOYEES[[#This Row],[EMPLOYEE NUMBER]]="","",MATCH(T_EMPLOYEES[[#This Row],[HIRE SOURCE]],L_HIRESOURCE,0))</f>
        <v>4</v>
      </c>
      <c r="AG355">
        <f ca="1">IF(T_EMPLOYEES[[#This Row],[EMPLOYEE NUMBER]]="","",MATCH(T_EMPLOYEES[[#This Row],[ETHNICITY]],L_ETHNICITY,0))</f>
        <v>3</v>
      </c>
      <c r="AH355">
        <f ca="1">IF(T_EMPLOYEES[[#This Row],[EMPLOYEE NUMBER]]="","",MATCH(T_EMPLOYEES[[#This Row],[LOCATION]],L_LOCATION,0))</f>
        <v>1</v>
      </c>
      <c r="AI355">
        <f ca="1">IF(T_EMPLOYEES[[#This Row],[EMPLOYEE NUMBER]]="","",MATCH(T_EMPLOYEES[[#This Row],[DEPARTMENT]],L_DEPARTMENT,0))</f>
        <v>2</v>
      </c>
      <c r="AJ355">
        <f ca="1">IF(T_EMPLOYEES[[#This Row],[EMPLOYEE NUMBER]]="","",MATCH(T_EMPLOYEES[[#This Row],[JOB TYPE]],L_JOBTYPE,0))</f>
        <v>2</v>
      </c>
      <c r="AK355">
        <f ca="1">IF(T_EMPLOYEES[[#This Row],[EMPLOYEE NUMBER]]="","",MATCH(T_EMPLOYEES[[#This Row],[JOB CATEGORY]],L_JOBCATEGORY,0))</f>
        <v>30</v>
      </c>
      <c r="AL355">
        <f ca="1">IF(T_EMPLOYEES[[#This Row],[EMPLOYEE NUMBER]]="","",MATCH(T_EMPLOYEES[[#This Row],[JOB LEVEL]],L_JOBLEVEL,0))</f>
        <v>1</v>
      </c>
      <c r="AM355">
        <f ca="1">IF(T_EMPLOYEES[[#This Row],[EMPLOYEE NUMBER]]="","",MATCH(T_EMPLOYEES[[#This Row],[JOB TITLE]],L_JOBTITLE,0))</f>
        <v>30</v>
      </c>
      <c r="AN355">
        <f ca="1">IF(T_EMPLOYEES[[#This Row],[EMPLOYEE NUMBER]]="","",MATCH(T_EMPLOYEES[[#This Row],[MANAGER]],L_EMPLABELS,0))</f>
        <v>132</v>
      </c>
      <c r="AO355">
        <f ca="1">IF(T_EMPLOYEES[[#This Row],[EMPLOYEE NUMBER]]="","",IF(T_EMPLOYEES[[#This Row],[ERROR]]="",0,1))</f>
        <v>0</v>
      </c>
      <c r="AP35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6" spans="1:42">
      <c r="A356" t="s">
        <v>1211</v>
      </c>
      <c r="B356" t="s">
        <v>1212</v>
      </c>
      <c r="C356">
        <v>1031067</v>
      </c>
      <c r="D356" t="s">
        <v>1213</v>
      </c>
      <c r="E356" s="26">
        <v>35632</v>
      </c>
      <c r="F356" s="26">
        <v>44889</v>
      </c>
      <c r="H356" t="s">
        <v>27</v>
      </c>
      <c r="I356" t="s">
        <v>54</v>
      </c>
      <c r="J356" t="s">
        <v>64</v>
      </c>
      <c r="K356" t="s">
        <v>43</v>
      </c>
      <c r="L356" s="27" t="s">
        <v>114</v>
      </c>
      <c r="M356" t="s">
        <v>46</v>
      </c>
      <c r="N356" t="s">
        <v>151</v>
      </c>
      <c r="O356" t="s">
        <v>36</v>
      </c>
      <c r="P356" t="s">
        <v>151</v>
      </c>
      <c r="Q356" t="s">
        <v>468</v>
      </c>
      <c r="R356" s="27">
        <v>0</v>
      </c>
      <c r="S356" s="1">
        <v>250000</v>
      </c>
      <c r="T356" s="1">
        <f ca="1">ROUND(T_EMPLOYEES[[#This Row],[EMP_CTC1]]/12, 0)</f>
        <v>20833</v>
      </c>
      <c r="U356" s="1">
        <v>150000</v>
      </c>
      <c r="V356" s="1" t="s">
        <v>1065</v>
      </c>
      <c r="W356" s="1" t="s">
        <v>1065</v>
      </c>
      <c r="X35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Mitesh Malviya (1031067)</v>
      </c>
      <c r="Y356">
        <v>120000</v>
      </c>
      <c r="Z356" s="29">
        <f t="shared" ca="1" si="6"/>
        <v>40</v>
      </c>
      <c r="AA356">
        <f ca="1">IF(T_EMPLOYEES[[#This Row],[EMPLOYEE NUMBER]]="","",ROW(T_EMPLOYEES[[#This Row],[EMPLOYEE LABEL]])-ROW(T_EMPLOYEES[[#Headers],[EMPLOYEE LABEL]]))</f>
        <v>353</v>
      </c>
      <c r="AB356">
        <f ca="1">IF(T_EMPLOYEES[[#This Row],[EMPLOYEE NUMBER]]="","",IF(COUNTIF(T_EMPLOYEES[EMPLOYEE NUMBER],T_EMPLOYEES[[#This Row],[EMPLOYEE NUMBER]])&gt;1,1,0))</f>
        <v>0</v>
      </c>
      <c r="AC356">
        <f ca="1">IF(T_EMPLOYEES[[#This Row],[EMPLOYEE NUMBER]]="","",IF(AND(T_EMPLOYEES[[#This Row],[DATE OF BIRTH]]&gt;0,T_EMPLOYEES[[#This Row],[DATE OF BIRTH]]&lt;TODAY()),0,1))</f>
        <v>0</v>
      </c>
      <c r="AD356">
        <f ca="1">IF(T_EMPLOYEES[[#This Row],[EMPLOYEE NUMBER]]="","",IF(AND(T_EMPLOYEES[[#This Row],[START DATE]]&gt;0,T_EMPLOYEES[[#This Row],[START DATE]]&lt;TODAY()+60),0,1))</f>
        <v>0</v>
      </c>
      <c r="AE356">
        <f ca="1">IF(T_EMPLOYEES[[#This Row],[EMPLOYEE NUMBER]]="","",MATCH(T_EMPLOYEES[[#This Row],[GENDER]],L_GENDER,0))</f>
        <v>1</v>
      </c>
      <c r="AF356">
        <f ca="1">IF(T_EMPLOYEES[[#This Row],[EMPLOYEE NUMBER]]="","",MATCH(T_EMPLOYEES[[#This Row],[HIRE SOURCE]],L_HIRESOURCE,0))</f>
        <v>4</v>
      </c>
      <c r="AG356">
        <f ca="1">IF(T_EMPLOYEES[[#This Row],[EMPLOYEE NUMBER]]="","",MATCH(T_EMPLOYEES[[#This Row],[ETHNICITY]],L_ETHNICITY,0))</f>
        <v>3</v>
      </c>
      <c r="AH356">
        <f ca="1">IF(T_EMPLOYEES[[#This Row],[EMPLOYEE NUMBER]]="","",MATCH(T_EMPLOYEES[[#This Row],[LOCATION]],L_LOCATION,0))</f>
        <v>2</v>
      </c>
      <c r="AI356">
        <f ca="1">IF(T_EMPLOYEES[[#This Row],[EMPLOYEE NUMBER]]="","",MATCH(T_EMPLOYEES[[#This Row],[DEPARTMENT]],L_DEPARTMENT,0))</f>
        <v>11</v>
      </c>
      <c r="AJ356">
        <f ca="1">IF(T_EMPLOYEES[[#This Row],[EMPLOYEE NUMBER]]="","",MATCH(T_EMPLOYEES[[#This Row],[JOB TYPE]],L_JOBTYPE,0))</f>
        <v>2</v>
      </c>
      <c r="AK356">
        <f ca="1">IF(T_EMPLOYEES[[#This Row],[EMPLOYEE NUMBER]]="","",MATCH(T_EMPLOYEES[[#This Row],[JOB CATEGORY]],L_JOBCATEGORY,0))</f>
        <v>30</v>
      </c>
      <c r="AL356">
        <f ca="1">IF(T_EMPLOYEES[[#This Row],[EMPLOYEE NUMBER]]="","",MATCH(T_EMPLOYEES[[#This Row],[JOB LEVEL]],L_JOBLEVEL,0))</f>
        <v>1</v>
      </c>
      <c r="AM356">
        <f ca="1">IF(T_EMPLOYEES[[#This Row],[EMPLOYEE NUMBER]]="","",MATCH(T_EMPLOYEES[[#This Row],[JOB TITLE]],L_JOBTITLE,0))</f>
        <v>30</v>
      </c>
      <c r="AN356">
        <f ca="1">IF(T_EMPLOYEES[[#This Row],[EMPLOYEE NUMBER]]="","",MATCH(T_EMPLOYEES[[#This Row],[MANAGER]],L_EMPLABELS,0))</f>
        <v>56</v>
      </c>
      <c r="AO356">
        <f ca="1">IF(T_EMPLOYEES[[#This Row],[EMPLOYEE NUMBER]]="","",IF(T_EMPLOYEES[[#This Row],[ERROR]]="",0,1))</f>
        <v>0</v>
      </c>
      <c r="AP35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7" spans="1:42">
      <c r="A357" t="s">
        <v>1214</v>
      </c>
      <c r="B357" t="s">
        <v>1215</v>
      </c>
      <c r="C357">
        <v>1022131</v>
      </c>
      <c r="D357" t="s">
        <v>1216</v>
      </c>
      <c r="E357" s="26">
        <v>35642</v>
      </c>
      <c r="F357" s="26">
        <v>43614</v>
      </c>
      <c r="H357" t="s">
        <v>40</v>
      </c>
      <c r="I357" t="s">
        <v>54</v>
      </c>
      <c r="J357" t="s">
        <v>64</v>
      </c>
      <c r="K357" t="s">
        <v>30</v>
      </c>
      <c r="L357" s="27" t="s">
        <v>114</v>
      </c>
      <c r="M357" t="s">
        <v>46</v>
      </c>
      <c r="N357" t="s">
        <v>128</v>
      </c>
      <c r="O357" t="s">
        <v>60</v>
      </c>
      <c r="P357" t="s">
        <v>128</v>
      </c>
      <c r="Q357" t="s">
        <v>505</v>
      </c>
      <c r="R357">
        <v>4</v>
      </c>
      <c r="S357" s="1">
        <v>250000</v>
      </c>
      <c r="T357" s="1">
        <f ca="1">ROUND(T_EMPLOYEES[[#This Row],[EMP_CTC1]]/12, 0)</f>
        <v>20833</v>
      </c>
      <c r="U357" s="1">
        <v>150000</v>
      </c>
      <c r="V357" s="1" t="s">
        <v>1065</v>
      </c>
      <c r="W357" s="1" t="s">
        <v>1065</v>
      </c>
      <c r="X35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Meghana  M T (1022131)</v>
      </c>
      <c r="Y357">
        <v>120000</v>
      </c>
      <c r="Z357" s="29">
        <f t="shared" ca="1" si="6"/>
        <v>40</v>
      </c>
      <c r="AA357">
        <f ca="1">IF(T_EMPLOYEES[[#This Row],[EMPLOYEE NUMBER]]="","",ROW(T_EMPLOYEES[[#This Row],[EMPLOYEE LABEL]])-ROW(T_EMPLOYEES[[#Headers],[EMPLOYEE LABEL]]))</f>
        <v>354</v>
      </c>
      <c r="AB357">
        <f ca="1">IF(T_EMPLOYEES[[#This Row],[EMPLOYEE NUMBER]]="","",IF(COUNTIF(T_EMPLOYEES[EMPLOYEE NUMBER],T_EMPLOYEES[[#This Row],[EMPLOYEE NUMBER]])&gt;1,1,0))</f>
        <v>0</v>
      </c>
      <c r="AC357">
        <f ca="1">IF(T_EMPLOYEES[[#This Row],[EMPLOYEE NUMBER]]="","",IF(AND(T_EMPLOYEES[[#This Row],[DATE OF BIRTH]]&gt;0,T_EMPLOYEES[[#This Row],[DATE OF BIRTH]]&lt;TODAY()),0,1))</f>
        <v>0</v>
      </c>
      <c r="AD357">
        <f ca="1">IF(T_EMPLOYEES[[#This Row],[EMPLOYEE NUMBER]]="","",IF(AND(T_EMPLOYEES[[#This Row],[START DATE]]&gt;0,T_EMPLOYEES[[#This Row],[START DATE]]&lt;TODAY()+60),0,1))</f>
        <v>0</v>
      </c>
      <c r="AE357">
        <f ca="1">IF(T_EMPLOYEES[[#This Row],[EMPLOYEE NUMBER]]="","",MATCH(T_EMPLOYEES[[#This Row],[GENDER]],L_GENDER,0))</f>
        <v>2</v>
      </c>
      <c r="AF357">
        <f ca="1">IF(T_EMPLOYEES[[#This Row],[EMPLOYEE NUMBER]]="","",MATCH(T_EMPLOYEES[[#This Row],[HIRE SOURCE]],L_HIRESOURCE,0))</f>
        <v>4</v>
      </c>
      <c r="AG357">
        <f ca="1">IF(T_EMPLOYEES[[#This Row],[EMPLOYEE NUMBER]]="","",MATCH(T_EMPLOYEES[[#This Row],[ETHNICITY]],L_ETHNICITY,0))</f>
        <v>3</v>
      </c>
      <c r="AH357">
        <f ca="1">IF(T_EMPLOYEES[[#This Row],[EMPLOYEE NUMBER]]="","",MATCH(T_EMPLOYEES[[#This Row],[LOCATION]],L_LOCATION,0))</f>
        <v>1</v>
      </c>
      <c r="AI357">
        <f ca="1">IF(T_EMPLOYEES[[#This Row],[EMPLOYEE NUMBER]]="","",MATCH(T_EMPLOYEES[[#This Row],[DEPARTMENT]],L_DEPARTMENT,0))</f>
        <v>11</v>
      </c>
      <c r="AJ357">
        <f ca="1">IF(T_EMPLOYEES[[#This Row],[EMPLOYEE NUMBER]]="","",MATCH(T_EMPLOYEES[[#This Row],[JOB TYPE]],L_JOBTYPE,0))</f>
        <v>2</v>
      </c>
      <c r="AK357">
        <f ca="1">IF(T_EMPLOYEES[[#This Row],[EMPLOYEE NUMBER]]="","",MATCH(T_EMPLOYEES[[#This Row],[JOB CATEGORY]],L_JOBCATEGORY,0))</f>
        <v>15</v>
      </c>
      <c r="AL357">
        <f ca="1">IF(T_EMPLOYEES[[#This Row],[EMPLOYEE NUMBER]]="","",MATCH(T_EMPLOYEES[[#This Row],[JOB LEVEL]],L_JOBLEVEL,0))</f>
        <v>3</v>
      </c>
      <c r="AM357">
        <f ca="1">IF(T_EMPLOYEES[[#This Row],[EMPLOYEE NUMBER]]="","",MATCH(T_EMPLOYEES[[#This Row],[JOB TITLE]],L_JOBTITLE,0))</f>
        <v>15</v>
      </c>
      <c r="AN357">
        <f ca="1">IF(T_EMPLOYEES[[#This Row],[EMPLOYEE NUMBER]]="","",MATCH(T_EMPLOYEES[[#This Row],[MANAGER]],L_EMPLABELS,0))</f>
        <v>57</v>
      </c>
      <c r="AO357">
        <f ca="1">IF(T_EMPLOYEES[[#This Row],[EMPLOYEE NUMBER]]="","",IF(T_EMPLOYEES[[#This Row],[ERROR]]="",0,1))</f>
        <v>0</v>
      </c>
      <c r="AP35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8" spans="1:42">
      <c r="A358" t="s">
        <v>1217</v>
      </c>
      <c r="B358" t="s">
        <v>1218</v>
      </c>
      <c r="C358">
        <v>1031054</v>
      </c>
      <c r="D358" t="s">
        <v>1219</v>
      </c>
      <c r="E358" s="26">
        <v>35642</v>
      </c>
      <c r="F358" s="26">
        <v>44889</v>
      </c>
      <c r="H358" t="s">
        <v>27</v>
      </c>
      <c r="I358" t="s">
        <v>54</v>
      </c>
      <c r="J358" t="s">
        <v>64</v>
      </c>
      <c r="K358" t="s">
        <v>43</v>
      </c>
      <c r="L358" s="27" t="s">
        <v>45</v>
      </c>
      <c r="M358" t="s">
        <v>46</v>
      </c>
      <c r="N358" t="s">
        <v>151</v>
      </c>
      <c r="O358" t="s">
        <v>36</v>
      </c>
      <c r="P358" t="s">
        <v>151</v>
      </c>
      <c r="Q358" t="s">
        <v>218</v>
      </c>
      <c r="R358" s="27">
        <v>0</v>
      </c>
      <c r="S358" s="1">
        <v>250000</v>
      </c>
      <c r="T358" s="1">
        <f ca="1">ROUND(T_EMPLOYEES[[#This Row],[EMP_CTC1]]/12, 0)</f>
        <v>20833</v>
      </c>
      <c r="U358" s="1">
        <v>150000</v>
      </c>
      <c r="V358" s="1" t="s">
        <v>1065</v>
      </c>
      <c r="W358" s="1" t="s">
        <v>1065</v>
      </c>
      <c r="X35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Deepak Singh (1031054)</v>
      </c>
      <c r="Y358">
        <v>120000</v>
      </c>
      <c r="Z358" s="29">
        <f t="shared" ca="1" si="6"/>
        <v>40</v>
      </c>
      <c r="AA358">
        <f ca="1">IF(T_EMPLOYEES[[#This Row],[EMPLOYEE NUMBER]]="","",ROW(T_EMPLOYEES[[#This Row],[EMPLOYEE LABEL]])-ROW(T_EMPLOYEES[[#Headers],[EMPLOYEE LABEL]]))</f>
        <v>355</v>
      </c>
      <c r="AB358">
        <f ca="1">IF(T_EMPLOYEES[[#This Row],[EMPLOYEE NUMBER]]="","",IF(COUNTIF(T_EMPLOYEES[EMPLOYEE NUMBER],T_EMPLOYEES[[#This Row],[EMPLOYEE NUMBER]])&gt;1,1,0))</f>
        <v>0</v>
      </c>
      <c r="AC358">
        <f ca="1">IF(T_EMPLOYEES[[#This Row],[EMPLOYEE NUMBER]]="","",IF(AND(T_EMPLOYEES[[#This Row],[DATE OF BIRTH]]&gt;0,T_EMPLOYEES[[#This Row],[DATE OF BIRTH]]&lt;TODAY()),0,1))</f>
        <v>0</v>
      </c>
      <c r="AD358">
        <f ca="1">IF(T_EMPLOYEES[[#This Row],[EMPLOYEE NUMBER]]="","",IF(AND(T_EMPLOYEES[[#This Row],[START DATE]]&gt;0,T_EMPLOYEES[[#This Row],[START DATE]]&lt;TODAY()+60),0,1))</f>
        <v>0</v>
      </c>
      <c r="AE358">
        <f ca="1">IF(T_EMPLOYEES[[#This Row],[EMPLOYEE NUMBER]]="","",MATCH(T_EMPLOYEES[[#This Row],[GENDER]],L_GENDER,0))</f>
        <v>1</v>
      </c>
      <c r="AF358">
        <f ca="1">IF(T_EMPLOYEES[[#This Row],[EMPLOYEE NUMBER]]="","",MATCH(T_EMPLOYEES[[#This Row],[HIRE SOURCE]],L_HIRESOURCE,0))</f>
        <v>4</v>
      </c>
      <c r="AG358">
        <f ca="1">IF(T_EMPLOYEES[[#This Row],[EMPLOYEE NUMBER]]="","",MATCH(T_EMPLOYEES[[#This Row],[ETHNICITY]],L_ETHNICITY,0))</f>
        <v>3</v>
      </c>
      <c r="AH358">
        <f ca="1">IF(T_EMPLOYEES[[#This Row],[EMPLOYEE NUMBER]]="","",MATCH(T_EMPLOYEES[[#This Row],[LOCATION]],L_LOCATION,0))</f>
        <v>2</v>
      </c>
      <c r="AI358">
        <f ca="1">IF(T_EMPLOYEES[[#This Row],[EMPLOYEE NUMBER]]="","",MATCH(T_EMPLOYEES[[#This Row],[DEPARTMENT]],L_DEPARTMENT,0))</f>
        <v>2</v>
      </c>
      <c r="AJ358">
        <f ca="1">IF(T_EMPLOYEES[[#This Row],[EMPLOYEE NUMBER]]="","",MATCH(T_EMPLOYEES[[#This Row],[JOB TYPE]],L_JOBTYPE,0))</f>
        <v>2</v>
      </c>
      <c r="AK358">
        <f ca="1">IF(T_EMPLOYEES[[#This Row],[EMPLOYEE NUMBER]]="","",MATCH(T_EMPLOYEES[[#This Row],[JOB CATEGORY]],L_JOBCATEGORY,0))</f>
        <v>30</v>
      </c>
      <c r="AL358">
        <f ca="1">IF(T_EMPLOYEES[[#This Row],[EMPLOYEE NUMBER]]="","",MATCH(T_EMPLOYEES[[#This Row],[JOB LEVEL]],L_JOBLEVEL,0))</f>
        <v>1</v>
      </c>
      <c r="AM358">
        <f ca="1">IF(T_EMPLOYEES[[#This Row],[EMPLOYEE NUMBER]]="","",MATCH(T_EMPLOYEES[[#This Row],[JOB TITLE]],L_JOBTITLE,0))</f>
        <v>30</v>
      </c>
      <c r="AN358">
        <f ca="1">IF(T_EMPLOYEES[[#This Row],[EMPLOYEE NUMBER]]="","",MATCH(T_EMPLOYEES[[#This Row],[MANAGER]],L_EMPLABELS,0))</f>
        <v>43</v>
      </c>
      <c r="AO358">
        <f ca="1">IF(T_EMPLOYEES[[#This Row],[EMPLOYEE NUMBER]]="","",IF(T_EMPLOYEES[[#This Row],[ERROR]]="",0,1))</f>
        <v>0</v>
      </c>
      <c r="AP35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9" spans="1:42">
      <c r="A359" t="s">
        <v>1220</v>
      </c>
      <c r="B359" t="s">
        <v>1221</v>
      </c>
      <c r="C359">
        <v>1024573</v>
      </c>
      <c r="D359" t="s">
        <v>1222</v>
      </c>
      <c r="E359" s="26">
        <v>35647</v>
      </c>
      <c r="F359" s="26">
        <v>44246</v>
      </c>
      <c r="H359" t="s">
        <v>27</v>
      </c>
      <c r="I359" t="s">
        <v>54</v>
      </c>
      <c r="J359" t="s">
        <v>64</v>
      </c>
      <c r="K359" t="s">
        <v>30</v>
      </c>
      <c r="L359" s="27" t="s">
        <v>45</v>
      </c>
      <c r="M359" t="s">
        <v>46</v>
      </c>
      <c r="N359" t="s">
        <v>148</v>
      </c>
      <c r="O359" t="s">
        <v>48</v>
      </c>
      <c r="P359" t="s">
        <v>148</v>
      </c>
      <c r="Q359" t="s">
        <v>222</v>
      </c>
      <c r="R359">
        <v>4</v>
      </c>
      <c r="S359" s="1">
        <v>250000</v>
      </c>
      <c r="T359" s="1">
        <f ca="1">ROUND(T_EMPLOYEES[[#This Row],[EMP_CTC1]]/12, 0)</f>
        <v>20833</v>
      </c>
      <c r="U359" s="1">
        <v>150000</v>
      </c>
      <c r="V359" s="1" t="s">
        <v>1065</v>
      </c>
      <c r="W359" s="1" t="s">
        <v>1065</v>
      </c>
      <c r="X35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Putta  Harish (1024573)</v>
      </c>
      <c r="Y359">
        <v>120000</v>
      </c>
      <c r="Z359" s="29">
        <f t="shared" ca="1" si="6"/>
        <v>40</v>
      </c>
      <c r="AA359">
        <f ca="1">IF(T_EMPLOYEES[[#This Row],[EMPLOYEE NUMBER]]="","",ROW(T_EMPLOYEES[[#This Row],[EMPLOYEE LABEL]])-ROW(T_EMPLOYEES[[#Headers],[EMPLOYEE LABEL]]))</f>
        <v>356</v>
      </c>
      <c r="AB359">
        <f ca="1">IF(T_EMPLOYEES[[#This Row],[EMPLOYEE NUMBER]]="","",IF(COUNTIF(T_EMPLOYEES[EMPLOYEE NUMBER],T_EMPLOYEES[[#This Row],[EMPLOYEE NUMBER]])&gt;1,1,0))</f>
        <v>0</v>
      </c>
      <c r="AC359">
        <f ca="1">IF(T_EMPLOYEES[[#This Row],[EMPLOYEE NUMBER]]="","",IF(AND(T_EMPLOYEES[[#This Row],[DATE OF BIRTH]]&gt;0,T_EMPLOYEES[[#This Row],[DATE OF BIRTH]]&lt;TODAY()),0,1))</f>
        <v>0</v>
      </c>
      <c r="AD359">
        <f ca="1">IF(T_EMPLOYEES[[#This Row],[EMPLOYEE NUMBER]]="","",IF(AND(T_EMPLOYEES[[#This Row],[START DATE]]&gt;0,T_EMPLOYEES[[#This Row],[START DATE]]&lt;TODAY()+60),0,1))</f>
        <v>0</v>
      </c>
      <c r="AE359">
        <f ca="1">IF(T_EMPLOYEES[[#This Row],[EMPLOYEE NUMBER]]="","",MATCH(T_EMPLOYEES[[#This Row],[GENDER]],L_GENDER,0))</f>
        <v>1</v>
      </c>
      <c r="AF359">
        <f ca="1">IF(T_EMPLOYEES[[#This Row],[EMPLOYEE NUMBER]]="","",MATCH(T_EMPLOYEES[[#This Row],[HIRE SOURCE]],L_HIRESOURCE,0))</f>
        <v>4</v>
      </c>
      <c r="AG359">
        <f ca="1">IF(T_EMPLOYEES[[#This Row],[EMPLOYEE NUMBER]]="","",MATCH(T_EMPLOYEES[[#This Row],[ETHNICITY]],L_ETHNICITY,0))</f>
        <v>3</v>
      </c>
      <c r="AH359">
        <f ca="1">IF(T_EMPLOYEES[[#This Row],[EMPLOYEE NUMBER]]="","",MATCH(T_EMPLOYEES[[#This Row],[LOCATION]],L_LOCATION,0))</f>
        <v>1</v>
      </c>
      <c r="AI359">
        <f ca="1">IF(T_EMPLOYEES[[#This Row],[EMPLOYEE NUMBER]]="","",MATCH(T_EMPLOYEES[[#This Row],[DEPARTMENT]],L_DEPARTMENT,0))</f>
        <v>2</v>
      </c>
      <c r="AJ359">
        <f ca="1">IF(T_EMPLOYEES[[#This Row],[EMPLOYEE NUMBER]]="","",MATCH(T_EMPLOYEES[[#This Row],[JOB TYPE]],L_JOBTYPE,0))</f>
        <v>2</v>
      </c>
      <c r="AK359">
        <f ca="1">IF(T_EMPLOYEES[[#This Row],[EMPLOYEE NUMBER]]="","",MATCH(T_EMPLOYEES[[#This Row],[JOB CATEGORY]],L_JOBCATEGORY,0))</f>
        <v>27</v>
      </c>
      <c r="AL359">
        <f ca="1">IF(T_EMPLOYEES[[#This Row],[EMPLOYEE NUMBER]]="","",MATCH(T_EMPLOYEES[[#This Row],[JOB LEVEL]],L_JOBLEVEL,0))</f>
        <v>2</v>
      </c>
      <c r="AM359">
        <f ca="1">IF(T_EMPLOYEES[[#This Row],[EMPLOYEE NUMBER]]="","",MATCH(T_EMPLOYEES[[#This Row],[JOB TITLE]],L_JOBTITLE,0))</f>
        <v>27</v>
      </c>
      <c r="AN359">
        <f ca="1">IF(T_EMPLOYEES[[#This Row],[EMPLOYEE NUMBER]]="","",MATCH(T_EMPLOYEES[[#This Row],[MANAGER]],L_EMPLABELS,0))</f>
        <v>69</v>
      </c>
      <c r="AO359">
        <f ca="1">IF(T_EMPLOYEES[[#This Row],[EMPLOYEE NUMBER]]="","",IF(T_EMPLOYEES[[#This Row],[ERROR]]="",0,1))</f>
        <v>0</v>
      </c>
      <c r="AP35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0" spans="1:42">
      <c r="A360" t="s">
        <v>1223</v>
      </c>
      <c r="B360" t="s">
        <v>1224</v>
      </c>
      <c r="C360">
        <v>1033768</v>
      </c>
      <c r="D360" t="s">
        <v>1225</v>
      </c>
      <c r="E360" s="26">
        <v>35647</v>
      </c>
      <c r="F360" s="26">
        <v>45222</v>
      </c>
      <c r="H360" t="s">
        <v>27</v>
      </c>
      <c r="I360" t="s">
        <v>54</v>
      </c>
      <c r="J360" t="s">
        <v>64</v>
      </c>
      <c r="K360" t="s">
        <v>30</v>
      </c>
      <c r="L360" s="27" t="s">
        <v>45</v>
      </c>
      <c r="M360" t="s">
        <v>46</v>
      </c>
      <c r="N360" t="s">
        <v>159</v>
      </c>
      <c r="O360" t="s">
        <v>48</v>
      </c>
      <c r="P360" t="s">
        <v>159</v>
      </c>
      <c r="Q360" t="s">
        <v>907</v>
      </c>
      <c r="R360" s="27">
        <v>4</v>
      </c>
      <c r="S360" s="1">
        <v>250000</v>
      </c>
      <c r="T360" s="1">
        <f ca="1">ROUND(T_EMPLOYEES[[#This Row],[EMP_CTC1]]/12, 0)</f>
        <v>20833</v>
      </c>
      <c r="U360" s="1">
        <v>150000</v>
      </c>
      <c r="V360" s="1" t="s">
        <v>1065</v>
      </c>
      <c r="W360" s="1" t="s">
        <v>1065</v>
      </c>
      <c r="X36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Manish Hudli (1033768)</v>
      </c>
      <c r="Y360">
        <v>120000</v>
      </c>
      <c r="Z360" s="29">
        <f t="shared" ca="1" si="6"/>
        <v>40</v>
      </c>
      <c r="AA360">
        <f ca="1">IF(T_EMPLOYEES[[#This Row],[EMPLOYEE NUMBER]]="","",ROW(T_EMPLOYEES[[#This Row],[EMPLOYEE LABEL]])-ROW(T_EMPLOYEES[[#Headers],[EMPLOYEE LABEL]]))</f>
        <v>357</v>
      </c>
      <c r="AB360">
        <f ca="1">IF(T_EMPLOYEES[[#This Row],[EMPLOYEE NUMBER]]="","",IF(COUNTIF(T_EMPLOYEES[EMPLOYEE NUMBER],T_EMPLOYEES[[#This Row],[EMPLOYEE NUMBER]])&gt;1,1,0))</f>
        <v>0</v>
      </c>
      <c r="AC360">
        <f ca="1">IF(T_EMPLOYEES[[#This Row],[EMPLOYEE NUMBER]]="","",IF(AND(T_EMPLOYEES[[#This Row],[DATE OF BIRTH]]&gt;0,T_EMPLOYEES[[#This Row],[DATE OF BIRTH]]&lt;TODAY()),0,1))</f>
        <v>0</v>
      </c>
      <c r="AD360">
        <f ca="1">IF(T_EMPLOYEES[[#This Row],[EMPLOYEE NUMBER]]="","",IF(AND(T_EMPLOYEES[[#This Row],[START DATE]]&gt;0,T_EMPLOYEES[[#This Row],[START DATE]]&lt;TODAY()+60),0,1))</f>
        <v>0</v>
      </c>
      <c r="AE360">
        <f ca="1">IF(T_EMPLOYEES[[#This Row],[EMPLOYEE NUMBER]]="","",MATCH(T_EMPLOYEES[[#This Row],[GENDER]],L_GENDER,0))</f>
        <v>1</v>
      </c>
      <c r="AF360">
        <f ca="1">IF(T_EMPLOYEES[[#This Row],[EMPLOYEE NUMBER]]="","",MATCH(T_EMPLOYEES[[#This Row],[HIRE SOURCE]],L_HIRESOURCE,0))</f>
        <v>4</v>
      </c>
      <c r="AG360">
        <f ca="1">IF(T_EMPLOYEES[[#This Row],[EMPLOYEE NUMBER]]="","",MATCH(T_EMPLOYEES[[#This Row],[ETHNICITY]],L_ETHNICITY,0))</f>
        <v>3</v>
      </c>
      <c r="AH360">
        <f ca="1">IF(T_EMPLOYEES[[#This Row],[EMPLOYEE NUMBER]]="","",MATCH(T_EMPLOYEES[[#This Row],[LOCATION]],L_LOCATION,0))</f>
        <v>1</v>
      </c>
      <c r="AI360">
        <f ca="1">IF(T_EMPLOYEES[[#This Row],[EMPLOYEE NUMBER]]="","",MATCH(T_EMPLOYEES[[#This Row],[DEPARTMENT]],L_DEPARTMENT,0))</f>
        <v>2</v>
      </c>
      <c r="AJ360">
        <f ca="1">IF(T_EMPLOYEES[[#This Row],[EMPLOYEE NUMBER]]="","",MATCH(T_EMPLOYEES[[#This Row],[JOB TYPE]],L_JOBTYPE,0))</f>
        <v>2</v>
      </c>
      <c r="AK360">
        <f ca="1">IF(T_EMPLOYEES[[#This Row],[EMPLOYEE NUMBER]]="","",MATCH(T_EMPLOYEES[[#This Row],[JOB CATEGORY]],L_JOBCATEGORY,0))</f>
        <v>38</v>
      </c>
      <c r="AL360">
        <f ca="1">IF(T_EMPLOYEES[[#This Row],[EMPLOYEE NUMBER]]="","",MATCH(T_EMPLOYEES[[#This Row],[JOB LEVEL]],L_JOBLEVEL,0))</f>
        <v>2</v>
      </c>
      <c r="AM360">
        <f ca="1">IF(T_EMPLOYEES[[#This Row],[EMPLOYEE NUMBER]]="","",MATCH(T_EMPLOYEES[[#This Row],[JOB TITLE]],L_JOBTITLE,0))</f>
        <v>38</v>
      </c>
      <c r="AN360">
        <f ca="1">IF(T_EMPLOYEES[[#This Row],[EMPLOYEE NUMBER]]="","",MATCH(T_EMPLOYEES[[#This Row],[MANAGER]],L_EMPLABELS,0))</f>
        <v>108</v>
      </c>
      <c r="AO360">
        <f ca="1">IF(T_EMPLOYEES[[#This Row],[EMPLOYEE NUMBER]]="","",IF(T_EMPLOYEES[[#This Row],[ERROR]]="",0,1))</f>
        <v>0</v>
      </c>
      <c r="AP36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1" spans="1:42">
      <c r="A361" t="s">
        <v>676</v>
      </c>
      <c r="B361" t="s">
        <v>1226</v>
      </c>
      <c r="C361">
        <v>1028364</v>
      </c>
      <c r="D361" t="s">
        <v>1227</v>
      </c>
      <c r="E361" s="26">
        <v>35671</v>
      </c>
      <c r="F361" s="26">
        <v>44608</v>
      </c>
      <c r="H361" t="s">
        <v>27</v>
      </c>
      <c r="I361" t="s">
        <v>54</v>
      </c>
      <c r="J361" t="s">
        <v>64</v>
      </c>
      <c r="K361" t="s">
        <v>30</v>
      </c>
      <c r="L361" s="27" t="s">
        <v>114</v>
      </c>
      <c r="M361" t="s">
        <v>46</v>
      </c>
      <c r="N361" t="s">
        <v>160</v>
      </c>
      <c r="O361" t="s">
        <v>48</v>
      </c>
      <c r="P361" t="s">
        <v>160</v>
      </c>
      <c r="Q361" t="s">
        <v>468</v>
      </c>
      <c r="R361">
        <v>4</v>
      </c>
      <c r="S361" s="1">
        <v>250000</v>
      </c>
      <c r="T361" s="1">
        <f ca="1">ROUND(T_EMPLOYEES[[#This Row],[EMP_CTC1]]/12, 0)</f>
        <v>20833</v>
      </c>
      <c r="U361" s="1">
        <v>150000</v>
      </c>
      <c r="V361" s="1" t="s">
        <v>1065</v>
      </c>
      <c r="W361" s="1" t="s">
        <v>1065</v>
      </c>
      <c r="X36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Rahul Dev (1028364)</v>
      </c>
      <c r="Y361">
        <v>120000</v>
      </c>
      <c r="Z361" s="29">
        <f t="shared" ca="1" si="6"/>
        <v>40</v>
      </c>
      <c r="AA361">
        <f ca="1">IF(T_EMPLOYEES[[#This Row],[EMPLOYEE NUMBER]]="","",ROW(T_EMPLOYEES[[#This Row],[EMPLOYEE LABEL]])-ROW(T_EMPLOYEES[[#Headers],[EMPLOYEE LABEL]]))</f>
        <v>358</v>
      </c>
      <c r="AB361">
        <f ca="1">IF(T_EMPLOYEES[[#This Row],[EMPLOYEE NUMBER]]="","",IF(COUNTIF(T_EMPLOYEES[EMPLOYEE NUMBER],T_EMPLOYEES[[#This Row],[EMPLOYEE NUMBER]])&gt;1,1,0))</f>
        <v>0</v>
      </c>
      <c r="AC361">
        <f ca="1">IF(T_EMPLOYEES[[#This Row],[EMPLOYEE NUMBER]]="","",IF(AND(T_EMPLOYEES[[#This Row],[DATE OF BIRTH]]&gt;0,T_EMPLOYEES[[#This Row],[DATE OF BIRTH]]&lt;TODAY()),0,1))</f>
        <v>0</v>
      </c>
      <c r="AD361">
        <f ca="1">IF(T_EMPLOYEES[[#This Row],[EMPLOYEE NUMBER]]="","",IF(AND(T_EMPLOYEES[[#This Row],[START DATE]]&gt;0,T_EMPLOYEES[[#This Row],[START DATE]]&lt;TODAY()+60),0,1))</f>
        <v>0</v>
      </c>
      <c r="AE361">
        <f ca="1">IF(T_EMPLOYEES[[#This Row],[EMPLOYEE NUMBER]]="","",MATCH(T_EMPLOYEES[[#This Row],[GENDER]],L_GENDER,0))</f>
        <v>1</v>
      </c>
      <c r="AF361">
        <f ca="1">IF(T_EMPLOYEES[[#This Row],[EMPLOYEE NUMBER]]="","",MATCH(T_EMPLOYEES[[#This Row],[HIRE SOURCE]],L_HIRESOURCE,0))</f>
        <v>4</v>
      </c>
      <c r="AG361">
        <f ca="1">IF(T_EMPLOYEES[[#This Row],[EMPLOYEE NUMBER]]="","",MATCH(T_EMPLOYEES[[#This Row],[ETHNICITY]],L_ETHNICITY,0))</f>
        <v>3</v>
      </c>
      <c r="AH361">
        <f ca="1">IF(T_EMPLOYEES[[#This Row],[EMPLOYEE NUMBER]]="","",MATCH(T_EMPLOYEES[[#This Row],[LOCATION]],L_LOCATION,0))</f>
        <v>1</v>
      </c>
      <c r="AI361">
        <f ca="1">IF(T_EMPLOYEES[[#This Row],[EMPLOYEE NUMBER]]="","",MATCH(T_EMPLOYEES[[#This Row],[DEPARTMENT]],L_DEPARTMENT,0))</f>
        <v>11</v>
      </c>
      <c r="AJ361">
        <f ca="1">IF(T_EMPLOYEES[[#This Row],[EMPLOYEE NUMBER]]="","",MATCH(T_EMPLOYEES[[#This Row],[JOB TYPE]],L_JOBTYPE,0))</f>
        <v>2</v>
      </c>
      <c r="AK361">
        <f ca="1">IF(T_EMPLOYEES[[#This Row],[EMPLOYEE NUMBER]]="","",MATCH(T_EMPLOYEES[[#This Row],[JOB CATEGORY]],L_JOBCATEGORY,0))</f>
        <v>39</v>
      </c>
      <c r="AL361">
        <f ca="1">IF(T_EMPLOYEES[[#This Row],[EMPLOYEE NUMBER]]="","",MATCH(T_EMPLOYEES[[#This Row],[JOB LEVEL]],L_JOBLEVEL,0))</f>
        <v>2</v>
      </c>
      <c r="AM361">
        <f ca="1">IF(T_EMPLOYEES[[#This Row],[EMPLOYEE NUMBER]]="","",MATCH(T_EMPLOYEES[[#This Row],[JOB TITLE]],L_JOBTITLE,0))</f>
        <v>39</v>
      </c>
      <c r="AN361">
        <f ca="1">IF(T_EMPLOYEES[[#This Row],[EMPLOYEE NUMBER]]="","",MATCH(T_EMPLOYEES[[#This Row],[MANAGER]],L_EMPLABELS,0))</f>
        <v>56</v>
      </c>
      <c r="AO361">
        <f ca="1">IF(T_EMPLOYEES[[#This Row],[EMPLOYEE NUMBER]]="","",IF(T_EMPLOYEES[[#This Row],[ERROR]]="",0,1))</f>
        <v>0</v>
      </c>
      <c r="AP36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2" spans="1:42">
      <c r="A362" t="s">
        <v>934</v>
      </c>
      <c r="B362" t="s">
        <v>1228</v>
      </c>
      <c r="C362">
        <v>1031090</v>
      </c>
      <c r="D362" t="s">
        <v>1229</v>
      </c>
      <c r="E362" s="26">
        <v>35673</v>
      </c>
      <c r="F362" s="26">
        <v>44889</v>
      </c>
      <c r="H362" t="s">
        <v>27</v>
      </c>
      <c r="I362" t="s">
        <v>54</v>
      </c>
      <c r="J362" t="s">
        <v>64</v>
      </c>
      <c r="K362" t="s">
        <v>30</v>
      </c>
      <c r="L362" s="27" t="s">
        <v>114</v>
      </c>
      <c r="M362" t="s">
        <v>46</v>
      </c>
      <c r="N362" t="s">
        <v>151</v>
      </c>
      <c r="O362" t="s">
        <v>36</v>
      </c>
      <c r="P362" t="s">
        <v>151</v>
      </c>
      <c r="Q362" t="s">
        <v>505</v>
      </c>
      <c r="R362" s="27">
        <v>0</v>
      </c>
      <c r="S362" s="1">
        <v>250000</v>
      </c>
      <c r="T362" s="1">
        <f ca="1">ROUND(T_EMPLOYEES[[#This Row],[EMP_CTC1]]/12, 0)</f>
        <v>20833</v>
      </c>
      <c r="U362" s="1">
        <v>150000</v>
      </c>
      <c r="V362" s="1" t="s">
        <v>1065</v>
      </c>
      <c r="W362" s="1" t="s">
        <v>1065</v>
      </c>
      <c r="X36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Akshay Akaram Arage (1031090)</v>
      </c>
      <c r="Y362">
        <v>120000</v>
      </c>
      <c r="Z362" s="29">
        <f t="shared" ca="1" si="6"/>
        <v>40</v>
      </c>
      <c r="AA362">
        <f ca="1">IF(T_EMPLOYEES[[#This Row],[EMPLOYEE NUMBER]]="","",ROW(T_EMPLOYEES[[#This Row],[EMPLOYEE LABEL]])-ROW(T_EMPLOYEES[[#Headers],[EMPLOYEE LABEL]]))</f>
        <v>359</v>
      </c>
      <c r="AB362">
        <f ca="1">IF(T_EMPLOYEES[[#This Row],[EMPLOYEE NUMBER]]="","",IF(COUNTIF(T_EMPLOYEES[EMPLOYEE NUMBER],T_EMPLOYEES[[#This Row],[EMPLOYEE NUMBER]])&gt;1,1,0))</f>
        <v>0</v>
      </c>
      <c r="AC362">
        <f ca="1">IF(T_EMPLOYEES[[#This Row],[EMPLOYEE NUMBER]]="","",IF(AND(T_EMPLOYEES[[#This Row],[DATE OF BIRTH]]&gt;0,T_EMPLOYEES[[#This Row],[DATE OF BIRTH]]&lt;TODAY()),0,1))</f>
        <v>0</v>
      </c>
      <c r="AD362">
        <f ca="1">IF(T_EMPLOYEES[[#This Row],[EMPLOYEE NUMBER]]="","",IF(AND(T_EMPLOYEES[[#This Row],[START DATE]]&gt;0,T_EMPLOYEES[[#This Row],[START DATE]]&lt;TODAY()+60),0,1))</f>
        <v>0</v>
      </c>
      <c r="AE362">
        <f ca="1">IF(T_EMPLOYEES[[#This Row],[EMPLOYEE NUMBER]]="","",MATCH(T_EMPLOYEES[[#This Row],[GENDER]],L_GENDER,0))</f>
        <v>1</v>
      </c>
      <c r="AF362">
        <f ca="1">IF(T_EMPLOYEES[[#This Row],[EMPLOYEE NUMBER]]="","",MATCH(T_EMPLOYEES[[#This Row],[HIRE SOURCE]],L_HIRESOURCE,0))</f>
        <v>4</v>
      </c>
      <c r="AG362">
        <f ca="1">IF(T_EMPLOYEES[[#This Row],[EMPLOYEE NUMBER]]="","",MATCH(T_EMPLOYEES[[#This Row],[ETHNICITY]],L_ETHNICITY,0))</f>
        <v>3</v>
      </c>
      <c r="AH362">
        <f ca="1">IF(T_EMPLOYEES[[#This Row],[EMPLOYEE NUMBER]]="","",MATCH(T_EMPLOYEES[[#This Row],[LOCATION]],L_LOCATION,0))</f>
        <v>1</v>
      </c>
      <c r="AI362">
        <f ca="1">IF(T_EMPLOYEES[[#This Row],[EMPLOYEE NUMBER]]="","",MATCH(T_EMPLOYEES[[#This Row],[DEPARTMENT]],L_DEPARTMENT,0))</f>
        <v>11</v>
      </c>
      <c r="AJ362">
        <f ca="1">IF(T_EMPLOYEES[[#This Row],[EMPLOYEE NUMBER]]="","",MATCH(T_EMPLOYEES[[#This Row],[JOB TYPE]],L_JOBTYPE,0))</f>
        <v>2</v>
      </c>
      <c r="AK362">
        <f ca="1">IF(T_EMPLOYEES[[#This Row],[EMPLOYEE NUMBER]]="","",MATCH(T_EMPLOYEES[[#This Row],[JOB CATEGORY]],L_JOBCATEGORY,0))</f>
        <v>30</v>
      </c>
      <c r="AL362">
        <f ca="1">IF(T_EMPLOYEES[[#This Row],[EMPLOYEE NUMBER]]="","",MATCH(T_EMPLOYEES[[#This Row],[JOB LEVEL]],L_JOBLEVEL,0))</f>
        <v>1</v>
      </c>
      <c r="AM362">
        <f ca="1">IF(T_EMPLOYEES[[#This Row],[EMPLOYEE NUMBER]]="","",MATCH(T_EMPLOYEES[[#This Row],[JOB TITLE]],L_JOBTITLE,0))</f>
        <v>30</v>
      </c>
      <c r="AN362">
        <f ca="1">IF(T_EMPLOYEES[[#This Row],[EMPLOYEE NUMBER]]="","",MATCH(T_EMPLOYEES[[#This Row],[MANAGER]],L_EMPLABELS,0))</f>
        <v>57</v>
      </c>
      <c r="AO362">
        <f ca="1">IF(T_EMPLOYEES[[#This Row],[EMPLOYEE NUMBER]]="","",IF(T_EMPLOYEES[[#This Row],[ERROR]]="",0,1))</f>
        <v>0</v>
      </c>
      <c r="AP36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3" spans="1:42">
      <c r="A363" t="s">
        <v>1104</v>
      </c>
      <c r="B363" t="s">
        <v>226</v>
      </c>
      <c r="C363">
        <v>1028582</v>
      </c>
      <c r="D363" t="s">
        <v>1230</v>
      </c>
      <c r="E363" s="26">
        <v>35679</v>
      </c>
      <c r="F363" s="26">
        <v>44635</v>
      </c>
      <c r="H363" t="s">
        <v>40</v>
      </c>
      <c r="I363" t="s">
        <v>54</v>
      </c>
      <c r="J363" t="s">
        <v>64</v>
      </c>
      <c r="K363" t="s">
        <v>30</v>
      </c>
      <c r="L363" s="27" t="s">
        <v>45</v>
      </c>
      <c r="M363" t="s">
        <v>46</v>
      </c>
      <c r="N363" t="s">
        <v>148</v>
      </c>
      <c r="O363" t="s">
        <v>48</v>
      </c>
      <c r="P363" t="s">
        <v>148</v>
      </c>
      <c r="Q363" t="s">
        <v>1231</v>
      </c>
      <c r="R363">
        <v>4</v>
      </c>
      <c r="S363" s="1">
        <v>250000</v>
      </c>
      <c r="T363" s="1">
        <f ca="1">ROUND(T_EMPLOYEES[[#This Row],[EMP_CTC1]]/12, 0)</f>
        <v>20833</v>
      </c>
      <c r="U363" s="1">
        <v>150000</v>
      </c>
      <c r="V363" s="1" t="s">
        <v>1065</v>
      </c>
      <c r="W363" s="1" t="s">
        <v>1065</v>
      </c>
      <c r="X36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Priyanka K (1028582)</v>
      </c>
      <c r="Y363">
        <v>120000</v>
      </c>
      <c r="Z363" s="29">
        <f t="shared" ca="1" si="6"/>
        <v>40</v>
      </c>
      <c r="AA363">
        <f ca="1">IF(T_EMPLOYEES[[#This Row],[EMPLOYEE NUMBER]]="","",ROW(T_EMPLOYEES[[#This Row],[EMPLOYEE LABEL]])-ROW(T_EMPLOYEES[[#Headers],[EMPLOYEE LABEL]]))</f>
        <v>360</v>
      </c>
      <c r="AB363">
        <f ca="1">IF(T_EMPLOYEES[[#This Row],[EMPLOYEE NUMBER]]="","",IF(COUNTIF(T_EMPLOYEES[EMPLOYEE NUMBER],T_EMPLOYEES[[#This Row],[EMPLOYEE NUMBER]])&gt;1,1,0))</f>
        <v>0</v>
      </c>
      <c r="AC363">
        <f ca="1">IF(T_EMPLOYEES[[#This Row],[EMPLOYEE NUMBER]]="","",IF(AND(T_EMPLOYEES[[#This Row],[DATE OF BIRTH]]&gt;0,T_EMPLOYEES[[#This Row],[DATE OF BIRTH]]&lt;TODAY()),0,1))</f>
        <v>0</v>
      </c>
      <c r="AD363">
        <f ca="1">IF(T_EMPLOYEES[[#This Row],[EMPLOYEE NUMBER]]="","",IF(AND(T_EMPLOYEES[[#This Row],[START DATE]]&gt;0,T_EMPLOYEES[[#This Row],[START DATE]]&lt;TODAY()+60),0,1))</f>
        <v>0</v>
      </c>
      <c r="AE363">
        <f ca="1">IF(T_EMPLOYEES[[#This Row],[EMPLOYEE NUMBER]]="","",MATCH(T_EMPLOYEES[[#This Row],[GENDER]],L_GENDER,0))</f>
        <v>2</v>
      </c>
      <c r="AF363">
        <f ca="1">IF(T_EMPLOYEES[[#This Row],[EMPLOYEE NUMBER]]="","",MATCH(T_EMPLOYEES[[#This Row],[HIRE SOURCE]],L_HIRESOURCE,0))</f>
        <v>4</v>
      </c>
      <c r="AG363">
        <f ca="1">IF(T_EMPLOYEES[[#This Row],[EMPLOYEE NUMBER]]="","",MATCH(T_EMPLOYEES[[#This Row],[ETHNICITY]],L_ETHNICITY,0))</f>
        <v>3</v>
      </c>
      <c r="AH363">
        <f ca="1">IF(T_EMPLOYEES[[#This Row],[EMPLOYEE NUMBER]]="","",MATCH(T_EMPLOYEES[[#This Row],[LOCATION]],L_LOCATION,0))</f>
        <v>1</v>
      </c>
      <c r="AI363">
        <f ca="1">IF(T_EMPLOYEES[[#This Row],[EMPLOYEE NUMBER]]="","",MATCH(T_EMPLOYEES[[#This Row],[DEPARTMENT]],L_DEPARTMENT,0))</f>
        <v>2</v>
      </c>
      <c r="AJ363">
        <f ca="1">IF(T_EMPLOYEES[[#This Row],[EMPLOYEE NUMBER]]="","",MATCH(T_EMPLOYEES[[#This Row],[JOB TYPE]],L_JOBTYPE,0))</f>
        <v>2</v>
      </c>
      <c r="AK363">
        <f ca="1">IF(T_EMPLOYEES[[#This Row],[EMPLOYEE NUMBER]]="","",MATCH(T_EMPLOYEES[[#This Row],[JOB CATEGORY]],L_JOBCATEGORY,0))</f>
        <v>27</v>
      </c>
      <c r="AL363">
        <f ca="1">IF(T_EMPLOYEES[[#This Row],[EMPLOYEE NUMBER]]="","",MATCH(T_EMPLOYEES[[#This Row],[JOB LEVEL]],L_JOBLEVEL,0))</f>
        <v>2</v>
      </c>
      <c r="AM363">
        <f ca="1">IF(T_EMPLOYEES[[#This Row],[EMPLOYEE NUMBER]]="","",MATCH(T_EMPLOYEES[[#This Row],[JOB TITLE]],L_JOBTITLE,0))</f>
        <v>27</v>
      </c>
      <c r="AN363">
        <f ca="1">IF(T_EMPLOYEES[[#This Row],[EMPLOYEE NUMBER]]="","",MATCH(T_EMPLOYEES[[#This Row],[MANAGER]],L_EMPLABELS,0))</f>
        <v>270</v>
      </c>
      <c r="AO363">
        <f ca="1">IF(T_EMPLOYEES[[#This Row],[EMPLOYEE NUMBER]]="","",IF(T_EMPLOYEES[[#This Row],[ERROR]]="",0,1))</f>
        <v>0</v>
      </c>
      <c r="AP36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4" spans="1:42">
      <c r="A364" t="s">
        <v>1232</v>
      </c>
      <c r="B364" t="s">
        <v>1233</v>
      </c>
      <c r="C364">
        <v>1031070</v>
      </c>
      <c r="D364" t="s">
        <v>1234</v>
      </c>
      <c r="E364" s="26">
        <v>35689</v>
      </c>
      <c r="F364" s="26">
        <v>44889</v>
      </c>
      <c r="H364" t="s">
        <v>27</v>
      </c>
      <c r="I364" t="s">
        <v>54</v>
      </c>
      <c r="J364" t="s">
        <v>64</v>
      </c>
      <c r="K364" t="s">
        <v>30</v>
      </c>
      <c r="L364" t="s">
        <v>130</v>
      </c>
      <c r="M364" t="s">
        <v>46</v>
      </c>
      <c r="N364" t="s">
        <v>151</v>
      </c>
      <c r="O364" t="s">
        <v>36</v>
      </c>
      <c r="P364" t="s">
        <v>151</v>
      </c>
      <c r="Q364" t="s">
        <v>337</v>
      </c>
      <c r="R364" s="27">
        <v>0</v>
      </c>
      <c r="S364" s="1">
        <v>250000</v>
      </c>
      <c r="T364" s="1">
        <f ca="1">ROUND(T_EMPLOYEES[[#This Row],[EMP_CTC1]]/12, 0)</f>
        <v>20833</v>
      </c>
      <c r="U364" s="1">
        <v>150000</v>
      </c>
      <c r="V364" s="1" t="s">
        <v>1065</v>
      </c>
      <c r="W364" s="1" t="s">
        <v>1065</v>
      </c>
      <c r="X36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Akshaykumar Laxman Patil (1031070)</v>
      </c>
      <c r="Y364">
        <v>120000</v>
      </c>
      <c r="Z364" s="29">
        <f t="shared" ca="1" si="6"/>
        <v>40</v>
      </c>
      <c r="AA364">
        <f ca="1">IF(T_EMPLOYEES[[#This Row],[EMPLOYEE NUMBER]]="","",ROW(T_EMPLOYEES[[#This Row],[EMPLOYEE LABEL]])-ROW(T_EMPLOYEES[[#Headers],[EMPLOYEE LABEL]]))</f>
        <v>361</v>
      </c>
      <c r="AB364">
        <f ca="1">IF(T_EMPLOYEES[[#This Row],[EMPLOYEE NUMBER]]="","",IF(COUNTIF(T_EMPLOYEES[EMPLOYEE NUMBER],T_EMPLOYEES[[#This Row],[EMPLOYEE NUMBER]])&gt;1,1,0))</f>
        <v>0</v>
      </c>
      <c r="AC364">
        <f ca="1">IF(T_EMPLOYEES[[#This Row],[EMPLOYEE NUMBER]]="","",IF(AND(T_EMPLOYEES[[#This Row],[DATE OF BIRTH]]&gt;0,T_EMPLOYEES[[#This Row],[DATE OF BIRTH]]&lt;TODAY()),0,1))</f>
        <v>0</v>
      </c>
      <c r="AD364">
        <f ca="1">IF(T_EMPLOYEES[[#This Row],[EMPLOYEE NUMBER]]="","",IF(AND(T_EMPLOYEES[[#This Row],[START DATE]]&gt;0,T_EMPLOYEES[[#This Row],[START DATE]]&lt;TODAY()+60),0,1))</f>
        <v>0</v>
      </c>
      <c r="AE364">
        <f ca="1">IF(T_EMPLOYEES[[#This Row],[EMPLOYEE NUMBER]]="","",MATCH(T_EMPLOYEES[[#This Row],[GENDER]],L_GENDER,0))</f>
        <v>1</v>
      </c>
      <c r="AF364">
        <f ca="1">IF(T_EMPLOYEES[[#This Row],[EMPLOYEE NUMBER]]="","",MATCH(T_EMPLOYEES[[#This Row],[HIRE SOURCE]],L_HIRESOURCE,0))</f>
        <v>4</v>
      </c>
      <c r="AG364">
        <f ca="1">IF(T_EMPLOYEES[[#This Row],[EMPLOYEE NUMBER]]="","",MATCH(T_EMPLOYEES[[#This Row],[ETHNICITY]],L_ETHNICITY,0))</f>
        <v>3</v>
      </c>
      <c r="AH364">
        <f ca="1">IF(T_EMPLOYEES[[#This Row],[EMPLOYEE NUMBER]]="","",MATCH(T_EMPLOYEES[[#This Row],[LOCATION]],L_LOCATION,0))</f>
        <v>1</v>
      </c>
      <c r="AI364">
        <f ca="1">IF(T_EMPLOYEES[[#This Row],[EMPLOYEE NUMBER]]="","",MATCH(T_EMPLOYEES[[#This Row],[DEPARTMENT]],L_DEPARTMENT,0))</f>
        <v>16</v>
      </c>
      <c r="AJ364">
        <f ca="1">IF(T_EMPLOYEES[[#This Row],[EMPLOYEE NUMBER]]="","",MATCH(T_EMPLOYEES[[#This Row],[JOB TYPE]],L_JOBTYPE,0))</f>
        <v>2</v>
      </c>
      <c r="AK364">
        <f ca="1">IF(T_EMPLOYEES[[#This Row],[EMPLOYEE NUMBER]]="","",MATCH(T_EMPLOYEES[[#This Row],[JOB CATEGORY]],L_JOBCATEGORY,0))</f>
        <v>30</v>
      </c>
      <c r="AL364">
        <f ca="1">IF(T_EMPLOYEES[[#This Row],[EMPLOYEE NUMBER]]="","",MATCH(T_EMPLOYEES[[#This Row],[JOB LEVEL]],L_JOBLEVEL,0))</f>
        <v>1</v>
      </c>
      <c r="AM364">
        <f ca="1">IF(T_EMPLOYEES[[#This Row],[EMPLOYEE NUMBER]]="","",MATCH(T_EMPLOYEES[[#This Row],[JOB TITLE]],L_JOBTITLE,0))</f>
        <v>30</v>
      </c>
      <c r="AN364">
        <f ca="1">IF(T_EMPLOYEES[[#This Row],[EMPLOYEE NUMBER]]="","",MATCH(T_EMPLOYEES[[#This Row],[MANAGER]],L_EMPLABELS,0))</f>
        <v>48</v>
      </c>
      <c r="AO364">
        <f ca="1">IF(T_EMPLOYEES[[#This Row],[EMPLOYEE NUMBER]]="","",IF(T_EMPLOYEES[[#This Row],[ERROR]]="",0,1))</f>
        <v>0</v>
      </c>
      <c r="AP36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5" spans="1:42">
      <c r="A365" t="s">
        <v>1235</v>
      </c>
      <c r="B365" t="s">
        <v>1236</v>
      </c>
      <c r="C365">
        <v>1032853</v>
      </c>
      <c r="D365" t="s">
        <v>1237</v>
      </c>
      <c r="E365" s="26">
        <v>35704</v>
      </c>
      <c r="F365" s="26">
        <v>45070</v>
      </c>
      <c r="H365" t="s">
        <v>27</v>
      </c>
      <c r="I365" t="s">
        <v>54</v>
      </c>
      <c r="J365" t="s">
        <v>64</v>
      </c>
      <c r="K365" t="s">
        <v>43</v>
      </c>
      <c r="L365" s="27" t="s">
        <v>45</v>
      </c>
      <c r="M365" t="s">
        <v>46</v>
      </c>
      <c r="N365" t="s">
        <v>159</v>
      </c>
      <c r="O365" t="s">
        <v>48</v>
      </c>
      <c r="P365" t="s">
        <v>159</v>
      </c>
      <c r="Q365" t="s">
        <v>907</v>
      </c>
      <c r="R365">
        <v>4</v>
      </c>
      <c r="S365" s="1">
        <v>250000</v>
      </c>
      <c r="T365" s="1">
        <f ca="1">ROUND(T_EMPLOYEES[[#This Row],[EMP_CTC1]]/12, 0)</f>
        <v>20833</v>
      </c>
      <c r="U365" s="1">
        <v>150000</v>
      </c>
      <c r="V365" s="1" t="s">
        <v>1238</v>
      </c>
      <c r="W365" s="1" t="s">
        <v>1238</v>
      </c>
      <c r="X36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Pravin  Rajamanickam (1032853)</v>
      </c>
      <c r="Y365">
        <v>120000</v>
      </c>
      <c r="Z365" s="29">
        <f t="shared" ca="1" si="6"/>
        <v>40</v>
      </c>
      <c r="AA365">
        <f ca="1">IF(T_EMPLOYEES[[#This Row],[EMPLOYEE NUMBER]]="","",ROW(T_EMPLOYEES[[#This Row],[EMPLOYEE LABEL]])-ROW(T_EMPLOYEES[[#Headers],[EMPLOYEE LABEL]]))</f>
        <v>362</v>
      </c>
      <c r="AB365">
        <f ca="1">IF(T_EMPLOYEES[[#This Row],[EMPLOYEE NUMBER]]="","",IF(COUNTIF(T_EMPLOYEES[EMPLOYEE NUMBER],T_EMPLOYEES[[#This Row],[EMPLOYEE NUMBER]])&gt;1,1,0))</f>
        <v>0</v>
      </c>
      <c r="AC365">
        <f ca="1">IF(T_EMPLOYEES[[#This Row],[EMPLOYEE NUMBER]]="","",IF(AND(T_EMPLOYEES[[#This Row],[DATE OF BIRTH]]&gt;0,T_EMPLOYEES[[#This Row],[DATE OF BIRTH]]&lt;TODAY()),0,1))</f>
        <v>0</v>
      </c>
      <c r="AD365">
        <f ca="1">IF(T_EMPLOYEES[[#This Row],[EMPLOYEE NUMBER]]="","",IF(AND(T_EMPLOYEES[[#This Row],[START DATE]]&gt;0,T_EMPLOYEES[[#This Row],[START DATE]]&lt;TODAY()+60),0,1))</f>
        <v>0</v>
      </c>
      <c r="AE365">
        <f ca="1">IF(T_EMPLOYEES[[#This Row],[EMPLOYEE NUMBER]]="","",MATCH(T_EMPLOYEES[[#This Row],[GENDER]],L_GENDER,0))</f>
        <v>1</v>
      </c>
      <c r="AF365">
        <f ca="1">IF(T_EMPLOYEES[[#This Row],[EMPLOYEE NUMBER]]="","",MATCH(T_EMPLOYEES[[#This Row],[HIRE SOURCE]],L_HIRESOURCE,0))</f>
        <v>4</v>
      </c>
      <c r="AG365">
        <f ca="1">IF(T_EMPLOYEES[[#This Row],[EMPLOYEE NUMBER]]="","",MATCH(T_EMPLOYEES[[#This Row],[ETHNICITY]],L_ETHNICITY,0))</f>
        <v>3</v>
      </c>
      <c r="AH365">
        <f ca="1">IF(T_EMPLOYEES[[#This Row],[EMPLOYEE NUMBER]]="","",MATCH(T_EMPLOYEES[[#This Row],[LOCATION]],L_LOCATION,0))</f>
        <v>2</v>
      </c>
      <c r="AI365">
        <f ca="1">IF(T_EMPLOYEES[[#This Row],[EMPLOYEE NUMBER]]="","",MATCH(T_EMPLOYEES[[#This Row],[DEPARTMENT]],L_DEPARTMENT,0))</f>
        <v>2</v>
      </c>
      <c r="AJ365">
        <f ca="1">IF(T_EMPLOYEES[[#This Row],[EMPLOYEE NUMBER]]="","",MATCH(T_EMPLOYEES[[#This Row],[JOB TYPE]],L_JOBTYPE,0))</f>
        <v>2</v>
      </c>
      <c r="AK365">
        <f ca="1">IF(T_EMPLOYEES[[#This Row],[EMPLOYEE NUMBER]]="","",MATCH(T_EMPLOYEES[[#This Row],[JOB CATEGORY]],L_JOBCATEGORY,0))</f>
        <v>38</v>
      </c>
      <c r="AL365">
        <f ca="1">IF(T_EMPLOYEES[[#This Row],[EMPLOYEE NUMBER]]="","",MATCH(T_EMPLOYEES[[#This Row],[JOB LEVEL]],L_JOBLEVEL,0))</f>
        <v>2</v>
      </c>
      <c r="AM365">
        <f ca="1">IF(T_EMPLOYEES[[#This Row],[EMPLOYEE NUMBER]]="","",MATCH(T_EMPLOYEES[[#This Row],[JOB TITLE]],L_JOBTITLE,0))</f>
        <v>38</v>
      </c>
      <c r="AN365">
        <f ca="1">IF(T_EMPLOYEES[[#This Row],[EMPLOYEE NUMBER]]="","",MATCH(T_EMPLOYEES[[#This Row],[MANAGER]],L_EMPLABELS,0))</f>
        <v>108</v>
      </c>
      <c r="AO365">
        <f ca="1">IF(T_EMPLOYEES[[#This Row],[EMPLOYEE NUMBER]]="","",IF(T_EMPLOYEES[[#This Row],[ERROR]]="",0,1))</f>
        <v>0</v>
      </c>
      <c r="AP36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6" spans="1:42">
      <c r="A366" t="s">
        <v>1239</v>
      </c>
      <c r="B366" t="s">
        <v>1240</v>
      </c>
      <c r="C366">
        <v>1031087</v>
      </c>
      <c r="D366" t="s">
        <v>1241</v>
      </c>
      <c r="E366" s="26">
        <v>35713</v>
      </c>
      <c r="F366" s="26">
        <v>44889</v>
      </c>
      <c r="H366" t="s">
        <v>40</v>
      </c>
      <c r="I366" t="s">
        <v>54</v>
      </c>
      <c r="J366" t="s">
        <v>64</v>
      </c>
      <c r="K366" t="s">
        <v>30</v>
      </c>
      <c r="L366" s="27" t="s">
        <v>114</v>
      </c>
      <c r="M366" t="s">
        <v>46</v>
      </c>
      <c r="N366" t="s">
        <v>151</v>
      </c>
      <c r="O366" t="s">
        <v>36</v>
      </c>
      <c r="P366" t="s">
        <v>151</v>
      </c>
      <c r="Q366" t="s">
        <v>468</v>
      </c>
      <c r="R366" s="27">
        <v>0</v>
      </c>
      <c r="S366" s="1">
        <v>250000</v>
      </c>
      <c r="T366" s="1">
        <f ca="1">ROUND(T_EMPLOYEES[[#This Row],[EMP_CTC1]]/12, 0)</f>
        <v>20833</v>
      </c>
      <c r="U366" s="1">
        <v>150000</v>
      </c>
      <c r="V366" s="1" t="s">
        <v>1238</v>
      </c>
      <c r="W366" s="1" t="s">
        <v>1238</v>
      </c>
      <c r="X36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Ojasvi Gulabrao Hedau (1031087)</v>
      </c>
      <c r="Y366">
        <v>120000</v>
      </c>
      <c r="Z366" s="29">
        <f t="shared" ca="1" si="6"/>
        <v>40</v>
      </c>
      <c r="AA366">
        <f ca="1">IF(T_EMPLOYEES[[#This Row],[EMPLOYEE NUMBER]]="","",ROW(T_EMPLOYEES[[#This Row],[EMPLOYEE LABEL]])-ROW(T_EMPLOYEES[[#Headers],[EMPLOYEE LABEL]]))</f>
        <v>363</v>
      </c>
      <c r="AB366">
        <f ca="1">IF(T_EMPLOYEES[[#This Row],[EMPLOYEE NUMBER]]="","",IF(COUNTIF(T_EMPLOYEES[EMPLOYEE NUMBER],T_EMPLOYEES[[#This Row],[EMPLOYEE NUMBER]])&gt;1,1,0))</f>
        <v>0</v>
      </c>
      <c r="AC366">
        <f ca="1">IF(T_EMPLOYEES[[#This Row],[EMPLOYEE NUMBER]]="","",IF(AND(T_EMPLOYEES[[#This Row],[DATE OF BIRTH]]&gt;0,T_EMPLOYEES[[#This Row],[DATE OF BIRTH]]&lt;TODAY()),0,1))</f>
        <v>0</v>
      </c>
      <c r="AD366">
        <f ca="1">IF(T_EMPLOYEES[[#This Row],[EMPLOYEE NUMBER]]="","",IF(AND(T_EMPLOYEES[[#This Row],[START DATE]]&gt;0,T_EMPLOYEES[[#This Row],[START DATE]]&lt;TODAY()+60),0,1))</f>
        <v>0</v>
      </c>
      <c r="AE366">
        <f ca="1">IF(T_EMPLOYEES[[#This Row],[EMPLOYEE NUMBER]]="","",MATCH(T_EMPLOYEES[[#This Row],[GENDER]],L_GENDER,0))</f>
        <v>2</v>
      </c>
      <c r="AF366">
        <f ca="1">IF(T_EMPLOYEES[[#This Row],[EMPLOYEE NUMBER]]="","",MATCH(T_EMPLOYEES[[#This Row],[HIRE SOURCE]],L_HIRESOURCE,0))</f>
        <v>4</v>
      </c>
      <c r="AG366">
        <f ca="1">IF(T_EMPLOYEES[[#This Row],[EMPLOYEE NUMBER]]="","",MATCH(T_EMPLOYEES[[#This Row],[ETHNICITY]],L_ETHNICITY,0))</f>
        <v>3</v>
      </c>
      <c r="AH366">
        <f ca="1">IF(T_EMPLOYEES[[#This Row],[EMPLOYEE NUMBER]]="","",MATCH(T_EMPLOYEES[[#This Row],[LOCATION]],L_LOCATION,0))</f>
        <v>1</v>
      </c>
      <c r="AI366">
        <f ca="1">IF(T_EMPLOYEES[[#This Row],[EMPLOYEE NUMBER]]="","",MATCH(T_EMPLOYEES[[#This Row],[DEPARTMENT]],L_DEPARTMENT,0))</f>
        <v>11</v>
      </c>
      <c r="AJ366">
        <f ca="1">IF(T_EMPLOYEES[[#This Row],[EMPLOYEE NUMBER]]="","",MATCH(T_EMPLOYEES[[#This Row],[JOB TYPE]],L_JOBTYPE,0))</f>
        <v>2</v>
      </c>
      <c r="AK366">
        <f ca="1">IF(T_EMPLOYEES[[#This Row],[EMPLOYEE NUMBER]]="","",MATCH(T_EMPLOYEES[[#This Row],[JOB CATEGORY]],L_JOBCATEGORY,0))</f>
        <v>30</v>
      </c>
      <c r="AL366">
        <f ca="1">IF(T_EMPLOYEES[[#This Row],[EMPLOYEE NUMBER]]="","",MATCH(T_EMPLOYEES[[#This Row],[JOB LEVEL]],L_JOBLEVEL,0))</f>
        <v>1</v>
      </c>
      <c r="AM366">
        <f ca="1">IF(T_EMPLOYEES[[#This Row],[EMPLOYEE NUMBER]]="","",MATCH(T_EMPLOYEES[[#This Row],[JOB TITLE]],L_JOBTITLE,0))</f>
        <v>30</v>
      </c>
      <c r="AN366">
        <f ca="1">IF(T_EMPLOYEES[[#This Row],[EMPLOYEE NUMBER]]="","",MATCH(T_EMPLOYEES[[#This Row],[MANAGER]],L_EMPLABELS,0))</f>
        <v>56</v>
      </c>
      <c r="AO366">
        <f ca="1">IF(T_EMPLOYEES[[#This Row],[EMPLOYEE NUMBER]]="","",IF(T_EMPLOYEES[[#This Row],[ERROR]]="",0,1))</f>
        <v>0</v>
      </c>
      <c r="AP36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7" spans="1:42">
      <c r="A367" t="s">
        <v>1242</v>
      </c>
      <c r="B367" t="s">
        <v>1243</v>
      </c>
      <c r="C367">
        <v>1026051</v>
      </c>
      <c r="D367" t="s">
        <v>1244</v>
      </c>
      <c r="E367" s="26">
        <v>35715</v>
      </c>
      <c r="F367" s="26">
        <v>44417</v>
      </c>
      <c r="H367" t="s">
        <v>27</v>
      </c>
      <c r="I367" t="s">
        <v>54</v>
      </c>
      <c r="J367" t="s">
        <v>64</v>
      </c>
      <c r="K367" t="s">
        <v>30</v>
      </c>
      <c r="L367" s="27" t="s">
        <v>45</v>
      </c>
      <c r="M367" t="s">
        <v>46</v>
      </c>
      <c r="N367" t="s">
        <v>160</v>
      </c>
      <c r="O367" t="s">
        <v>48</v>
      </c>
      <c r="P367" t="s">
        <v>160</v>
      </c>
      <c r="Q367" t="s">
        <v>321</v>
      </c>
      <c r="R367">
        <v>4</v>
      </c>
      <c r="S367" s="1">
        <v>250000</v>
      </c>
      <c r="T367" s="1">
        <f ca="1">ROUND(T_EMPLOYEES[[#This Row],[EMP_CTC1]]/12, 0)</f>
        <v>20833</v>
      </c>
      <c r="U367" s="1">
        <v>150000</v>
      </c>
      <c r="V367" s="1" t="s">
        <v>1238</v>
      </c>
      <c r="W367" s="1" t="s">
        <v>1238</v>
      </c>
      <c r="X36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Neeraj Singh Rawat (1026051)</v>
      </c>
      <c r="Y367">
        <v>120000</v>
      </c>
      <c r="Z367" s="29">
        <f t="shared" ca="1" si="6"/>
        <v>40</v>
      </c>
      <c r="AA367">
        <f ca="1">IF(T_EMPLOYEES[[#This Row],[EMPLOYEE NUMBER]]="","",ROW(T_EMPLOYEES[[#This Row],[EMPLOYEE LABEL]])-ROW(T_EMPLOYEES[[#Headers],[EMPLOYEE LABEL]]))</f>
        <v>364</v>
      </c>
      <c r="AB367">
        <f ca="1">IF(T_EMPLOYEES[[#This Row],[EMPLOYEE NUMBER]]="","",IF(COUNTIF(T_EMPLOYEES[EMPLOYEE NUMBER],T_EMPLOYEES[[#This Row],[EMPLOYEE NUMBER]])&gt;1,1,0))</f>
        <v>0</v>
      </c>
      <c r="AC367">
        <f ca="1">IF(T_EMPLOYEES[[#This Row],[EMPLOYEE NUMBER]]="","",IF(AND(T_EMPLOYEES[[#This Row],[DATE OF BIRTH]]&gt;0,T_EMPLOYEES[[#This Row],[DATE OF BIRTH]]&lt;TODAY()),0,1))</f>
        <v>0</v>
      </c>
      <c r="AD367">
        <f ca="1">IF(T_EMPLOYEES[[#This Row],[EMPLOYEE NUMBER]]="","",IF(AND(T_EMPLOYEES[[#This Row],[START DATE]]&gt;0,T_EMPLOYEES[[#This Row],[START DATE]]&lt;TODAY()+60),0,1))</f>
        <v>0</v>
      </c>
      <c r="AE367">
        <f ca="1">IF(T_EMPLOYEES[[#This Row],[EMPLOYEE NUMBER]]="","",MATCH(T_EMPLOYEES[[#This Row],[GENDER]],L_GENDER,0))</f>
        <v>1</v>
      </c>
      <c r="AF367">
        <f ca="1">IF(T_EMPLOYEES[[#This Row],[EMPLOYEE NUMBER]]="","",MATCH(T_EMPLOYEES[[#This Row],[HIRE SOURCE]],L_HIRESOURCE,0))</f>
        <v>4</v>
      </c>
      <c r="AG367">
        <f ca="1">IF(T_EMPLOYEES[[#This Row],[EMPLOYEE NUMBER]]="","",MATCH(T_EMPLOYEES[[#This Row],[ETHNICITY]],L_ETHNICITY,0))</f>
        <v>3</v>
      </c>
      <c r="AH367">
        <f ca="1">IF(T_EMPLOYEES[[#This Row],[EMPLOYEE NUMBER]]="","",MATCH(T_EMPLOYEES[[#This Row],[LOCATION]],L_LOCATION,0))</f>
        <v>1</v>
      </c>
      <c r="AI367">
        <f ca="1">IF(T_EMPLOYEES[[#This Row],[EMPLOYEE NUMBER]]="","",MATCH(T_EMPLOYEES[[#This Row],[DEPARTMENT]],L_DEPARTMENT,0))</f>
        <v>2</v>
      </c>
      <c r="AJ367">
        <f ca="1">IF(T_EMPLOYEES[[#This Row],[EMPLOYEE NUMBER]]="","",MATCH(T_EMPLOYEES[[#This Row],[JOB TYPE]],L_JOBTYPE,0))</f>
        <v>2</v>
      </c>
      <c r="AK367">
        <f ca="1">IF(T_EMPLOYEES[[#This Row],[EMPLOYEE NUMBER]]="","",MATCH(T_EMPLOYEES[[#This Row],[JOB CATEGORY]],L_JOBCATEGORY,0))</f>
        <v>39</v>
      </c>
      <c r="AL367">
        <f ca="1">IF(T_EMPLOYEES[[#This Row],[EMPLOYEE NUMBER]]="","",MATCH(T_EMPLOYEES[[#This Row],[JOB LEVEL]],L_JOBLEVEL,0))</f>
        <v>2</v>
      </c>
      <c r="AM367">
        <f ca="1">IF(T_EMPLOYEES[[#This Row],[EMPLOYEE NUMBER]]="","",MATCH(T_EMPLOYEES[[#This Row],[JOB TITLE]],L_JOBTITLE,0))</f>
        <v>39</v>
      </c>
      <c r="AN367">
        <f ca="1">IF(T_EMPLOYEES[[#This Row],[EMPLOYEE NUMBER]]="","",MATCH(T_EMPLOYEES[[#This Row],[MANAGER]],L_EMPLABELS,0))</f>
        <v>3</v>
      </c>
      <c r="AO367">
        <f ca="1">IF(T_EMPLOYEES[[#This Row],[EMPLOYEE NUMBER]]="","",IF(T_EMPLOYEES[[#This Row],[ERROR]]="",0,1))</f>
        <v>0</v>
      </c>
      <c r="AP36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8" spans="1:42">
      <c r="A368" t="s">
        <v>1245</v>
      </c>
      <c r="B368" t="s">
        <v>74</v>
      </c>
      <c r="C368">
        <v>1028378</v>
      </c>
      <c r="D368" t="s">
        <v>1246</v>
      </c>
      <c r="E368" s="26">
        <v>35726</v>
      </c>
      <c r="F368" s="26">
        <v>44610</v>
      </c>
      <c r="H368" t="s">
        <v>27</v>
      </c>
      <c r="I368" t="s">
        <v>54</v>
      </c>
      <c r="J368" t="s">
        <v>64</v>
      </c>
      <c r="K368" t="s">
        <v>30</v>
      </c>
      <c r="L368" s="27" t="s">
        <v>45</v>
      </c>
      <c r="M368" t="s">
        <v>46</v>
      </c>
      <c r="N368" t="s">
        <v>159</v>
      </c>
      <c r="O368" t="s">
        <v>48</v>
      </c>
      <c r="P368" t="s">
        <v>159</v>
      </c>
      <c r="Q368" t="s">
        <v>684</v>
      </c>
      <c r="R368" s="27">
        <v>4</v>
      </c>
      <c r="S368" s="1">
        <v>250000</v>
      </c>
      <c r="T368" s="1">
        <f ca="1">ROUND(T_EMPLOYEES[[#This Row],[EMP_CTC1]]/12, 0)</f>
        <v>20833</v>
      </c>
      <c r="U368" s="1">
        <v>150000</v>
      </c>
      <c r="V368" s="1" t="s">
        <v>1238</v>
      </c>
      <c r="W368" s="1" t="s">
        <v>1238</v>
      </c>
      <c r="X36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Kesavan P (1028378)</v>
      </c>
      <c r="Y368">
        <v>120000</v>
      </c>
      <c r="Z368" s="29">
        <f t="shared" ca="1" si="6"/>
        <v>40</v>
      </c>
      <c r="AA368">
        <f ca="1">IF(T_EMPLOYEES[[#This Row],[EMPLOYEE NUMBER]]="","",ROW(T_EMPLOYEES[[#This Row],[EMPLOYEE LABEL]])-ROW(T_EMPLOYEES[[#Headers],[EMPLOYEE LABEL]]))</f>
        <v>365</v>
      </c>
      <c r="AB368">
        <f ca="1">IF(T_EMPLOYEES[[#This Row],[EMPLOYEE NUMBER]]="","",IF(COUNTIF(T_EMPLOYEES[EMPLOYEE NUMBER],T_EMPLOYEES[[#This Row],[EMPLOYEE NUMBER]])&gt;1,1,0))</f>
        <v>0</v>
      </c>
      <c r="AC368">
        <f ca="1">IF(T_EMPLOYEES[[#This Row],[EMPLOYEE NUMBER]]="","",IF(AND(T_EMPLOYEES[[#This Row],[DATE OF BIRTH]]&gt;0,T_EMPLOYEES[[#This Row],[DATE OF BIRTH]]&lt;TODAY()),0,1))</f>
        <v>0</v>
      </c>
      <c r="AD368">
        <f ca="1">IF(T_EMPLOYEES[[#This Row],[EMPLOYEE NUMBER]]="","",IF(AND(T_EMPLOYEES[[#This Row],[START DATE]]&gt;0,T_EMPLOYEES[[#This Row],[START DATE]]&lt;TODAY()+60),0,1))</f>
        <v>0</v>
      </c>
      <c r="AE368">
        <f ca="1">IF(T_EMPLOYEES[[#This Row],[EMPLOYEE NUMBER]]="","",MATCH(T_EMPLOYEES[[#This Row],[GENDER]],L_GENDER,0))</f>
        <v>1</v>
      </c>
      <c r="AF368">
        <f ca="1">IF(T_EMPLOYEES[[#This Row],[EMPLOYEE NUMBER]]="","",MATCH(T_EMPLOYEES[[#This Row],[HIRE SOURCE]],L_HIRESOURCE,0))</f>
        <v>4</v>
      </c>
      <c r="AG368">
        <f ca="1">IF(T_EMPLOYEES[[#This Row],[EMPLOYEE NUMBER]]="","",MATCH(T_EMPLOYEES[[#This Row],[ETHNICITY]],L_ETHNICITY,0))</f>
        <v>3</v>
      </c>
      <c r="AH368">
        <f ca="1">IF(T_EMPLOYEES[[#This Row],[EMPLOYEE NUMBER]]="","",MATCH(T_EMPLOYEES[[#This Row],[LOCATION]],L_LOCATION,0))</f>
        <v>1</v>
      </c>
      <c r="AI368">
        <f ca="1">IF(T_EMPLOYEES[[#This Row],[EMPLOYEE NUMBER]]="","",MATCH(T_EMPLOYEES[[#This Row],[DEPARTMENT]],L_DEPARTMENT,0))</f>
        <v>2</v>
      </c>
      <c r="AJ368">
        <f ca="1">IF(T_EMPLOYEES[[#This Row],[EMPLOYEE NUMBER]]="","",MATCH(T_EMPLOYEES[[#This Row],[JOB TYPE]],L_JOBTYPE,0))</f>
        <v>2</v>
      </c>
      <c r="AK368">
        <f ca="1">IF(T_EMPLOYEES[[#This Row],[EMPLOYEE NUMBER]]="","",MATCH(T_EMPLOYEES[[#This Row],[JOB CATEGORY]],L_JOBCATEGORY,0))</f>
        <v>38</v>
      </c>
      <c r="AL368">
        <f ca="1">IF(T_EMPLOYEES[[#This Row],[EMPLOYEE NUMBER]]="","",MATCH(T_EMPLOYEES[[#This Row],[JOB LEVEL]],L_JOBLEVEL,0))</f>
        <v>2</v>
      </c>
      <c r="AM368">
        <f ca="1">IF(T_EMPLOYEES[[#This Row],[EMPLOYEE NUMBER]]="","",MATCH(T_EMPLOYEES[[#This Row],[JOB TITLE]],L_JOBTITLE,0))</f>
        <v>38</v>
      </c>
      <c r="AN368">
        <f ca="1">IF(T_EMPLOYEES[[#This Row],[EMPLOYEE NUMBER]]="","",MATCH(T_EMPLOYEES[[#This Row],[MANAGER]],L_EMPLABELS,0))</f>
        <v>232</v>
      </c>
      <c r="AO368">
        <f ca="1">IF(T_EMPLOYEES[[#This Row],[EMPLOYEE NUMBER]]="","",IF(T_EMPLOYEES[[#This Row],[ERROR]]="",0,1))</f>
        <v>0</v>
      </c>
      <c r="AP36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9" spans="1:42">
      <c r="A369" t="s">
        <v>1247</v>
      </c>
      <c r="B369" t="s">
        <v>1248</v>
      </c>
      <c r="C369">
        <v>1029520</v>
      </c>
      <c r="D369" t="s">
        <v>1249</v>
      </c>
      <c r="E369" s="26">
        <v>35728</v>
      </c>
      <c r="F369" s="26">
        <v>44757</v>
      </c>
      <c r="H369" t="s">
        <v>27</v>
      </c>
      <c r="I369" t="s">
        <v>54</v>
      </c>
      <c r="J369" t="s">
        <v>64</v>
      </c>
      <c r="K369" t="s">
        <v>30</v>
      </c>
      <c r="L369" s="27" t="s">
        <v>114</v>
      </c>
      <c r="M369" t="s">
        <v>46</v>
      </c>
      <c r="N369" t="s">
        <v>151</v>
      </c>
      <c r="O369" t="s">
        <v>36</v>
      </c>
      <c r="P369" t="s">
        <v>151</v>
      </c>
      <c r="Q369" t="s">
        <v>468</v>
      </c>
      <c r="R369">
        <v>0</v>
      </c>
      <c r="S369" s="1">
        <v>250000</v>
      </c>
      <c r="T369" s="1">
        <f ca="1">ROUND(T_EMPLOYEES[[#This Row],[EMP_CTC1]]/12, 0)</f>
        <v>20833</v>
      </c>
      <c r="U369" s="1">
        <v>150000</v>
      </c>
      <c r="V369" s="1" t="s">
        <v>1238</v>
      </c>
      <c r="W369" s="1" t="s">
        <v>1238</v>
      </c>
      <c r="X36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Talada Sumanth (1029520)</v>
      </c>
      <c r="Y369">
        <v>120000</v>
      </c>
      <c r="Z369" s="29">
        <f t="shared" ca="1" si="6"/>
        <v>40</v>
      </c>
      <c r="AA369">
        <f ca="1">IF(T_EMPLOYEES[[#This Row],[EMPLOYEE NUMBER]]="","",ROW(T_EMPLOYEES[[#This Row],[EMPLOYEE LABEL]])-ROW(T_EMPLOYEES[[#Headers],[EMPLOYEE LABEL]]))</f>
        <v>366</v>
      </c>
      <c r="AB369">
        <f ca="1">IF(T_EMPLOYEES[[#This Row],[EMPLOYEE NUMBER]]="","",IF(COUNTIF(T_EMPLOYEES[EMPLOYEE NUMBER],T_EMPLOYEES[[#This Row],[EMPLOYEE NUMBER]])&gt;1,1,0))</f>
        <v>0</v>
      </c>
      <c r="AC369">
        <f ca="1">IF(T_EMPLOYEES[[#This Row],[EMPLOYEE NUMBER]]="","",IF(AND(T_EMPLOYEES[[#This Row],[DATE OF BIRTH]]&gt;0,T_EMPLOYEES[[#This Row],[DATE OF BIRTH]]&lt;TODAY()),0,1))</f>
        <v>0</v>
      </c>
      <c r="AD369">
        <f ca="1">IF(T_EMPLOYEES[[#This Row],[EMPLOYEE NUMBER]]="","",IF(AND(T_EMPLOYEES[[#This Row],[START DATE]]&gt;0,T_EMPLOYEES[[#This Row],[START DATE]]&lt;TODAY()+60),0,1))</f>
        <v>0</v>
      </c>
      <c r="AE369">
        <f ca="1">IF(T_EMPLOYEES[[#This Row],[EMPLOYEE NUMBER]]="","",MATCH(T_EMPLOYEES[[#This Row],[GENDER]],L_GENDER,0))</f>
        <v>1</v>
      </c>
      <c r="AF369">
        <f ca="1">IF(T_EMPLOYEES[[#This Row],[EMPLOYEE NUMBER]]="","",MATCH(T_EMPLOYEES[[#This Row],[HIRE SOURCE]],L_HIRESOURCE,0))</f>
        <v>4</v>
      </c>
      <c r="AG369">
        <f ca="1">IF(T_EMPLOYEES[[#This Row],[EMPLOYEE NUMBER]]="","",MATCH(T_EMPLOYEES[[#This Row],[ETHNICITY]],L_ETHNICITY,0))</f>
        <v>3</v>
      </c>
      <c r="AH369">
        <f ca="1">IF(T_EMPLOYEES[[#This Row],[EMPLOYEE NUMBER]]="","",MATCH(T_EMPLOYEES[[#This Row],[LOCATION]],L_LOCATION,0))</f>
        <v>1</v>
      </c>
      <c r="AI369">
        <f ca="1">IF(T_EMPLOYEES[[#This Row],[EMPLOYEE NUMBER]]="","",MATCH(T_EMPLOYEES[[#This Row],[DEPARTMENT]],L_DEPARTMENT,0))</f>
        <v>11</v>
      </c>
      <c r="AJ369">
        <f ca="1">IF(T_EMPLOYEES[[#This Row],[EMPLOYEE NUMBER]]="","",MATCH(T_EMPLOYEES[[#This Row],[JOB TYPE]],L_JOBTYPE,0))</f>
        <v>2</v>
      </c>
      <c r="AK369">
        <f ca="1">IF(T_EMPLOYEES[[#This Row],[EMPLOYEE NUMBER]]="","",MATCH(T_EMPLOYEES[[#This Row],[JOB CATEGORY]],L_JOBCATEGORY,0))</f>
        <v>30</v>
      </c>
      <c r="AL369">
        <f ca="1">IF(T_EMPLOYEES[[#This Row],[EMPLOYEE NUMBER]]="","",MATCH(T_EMPLOYEES[[#This Row],[JOB LEVEL]],L_JOBLEVEL,0))</f>
        <v>1</v>
      </c>
      <c r="AM369">
        <f ca="1">IF(T_EMPLOYEES[[#This Row],[EMPLOYEE NUMBER]]="","",MATCH(T_EMPLOYEES[[#This Row],[JOB TITLE]],L_JOBTITLE,0))</f>
        <v>30</v>
      </c>
      <c r="AN369">
        <f ca="1">IF(T_EMPLOYEES[[#This Row],[EMPLOYEE NUMBER]]="","",MATCH(T_EMPLOYEES[[#This Row],[MANAGER]],L_EMPLABELS,0))</f>
        <v>56</v>
      </c>
      <c r="AO369">
        <f ca="1">IF(T_EMPLOYEES[[#This Row],[EMPLOYEE NUMBER]]="","",IF(T_EMPLOYEES[[#This Row],[ERROR]]="",0,1))</f>
        <v>0</v>
      </c>
      <c r="AP36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0" spans="1:42">
      <c r="A370" t="s">
        <v>1104</v>
      </c>
      <c r="B370" t="s">
        <v>1250</v>
      </c>
      <c r="C370">
        <v>1030910</v>
      </c>
      <c r="D370" t="s">
        <v>1251</v>
      </c>
      <c r="E370" s="26">
        <v>35758</v>
      </c>
      <c r="F370" s="26">
        <v>44876</v>
      </c>
      <c r="H370" t="s">
        <v>40</v>
      </c>
      <c r="I370" t="s">
        <v>54</v>
      </c>
      <c r="J370" t="s">
        <v>64</v>
      </c>
      <c r="K370" t="s">
        <v>30</v>
      </c>
      <c r="L370" s="27" t="s">
        <v>114</v>
      </c>
      <c r="M370" t="s">
        <v>46</v>
      </c>
      <c r="N370" t="s">
        <v>151</v>
      </c>
      <c r="O370" t="s">
        <v>36</v>
      </c>
      <c r="P370" t="s">
        <v>151</v>
      </c>
      <c r="Q370" t="s">
        <v>505</v>
      </c>
      <c r="R370" s="27">
        <v>0</v>
      </c>
      <c r="S370" s="1">
        <v>250000</v>
      </c>
      <c r="T370" s="1">
        <f ca="1">ROUND(T_EMPLOYEES[[#This Row],[EMP_CTC1]]/12, 0)</f>
        <v>20833</v>
      </c>
      <c r="U370" s="1">
        <v>150000</v>
      </c>
      <c r="V370" s="1" t="s">
        <v>1238</v>
      </c>
      <c r="W370" s="1" t="s">
        <v>1238</v>
      </c>
      <c r="X37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Priyanka Yadav (1030910)</v>
      </c>
      <c r="Y370">
        <v>120000</v>
      </c>
      <c r="Z370" s="29">
        <f t="shared" ca="1" si="6"/>
        <v>40</v>
      </c>
      <c r="AA370">
        <f ca="1">IF(T_EMPLOYEES[[#This Row],[EMPLOYEE NUMBER]]="","",ROW(T_EMPLOYEES[[#This Row],[EMPLOYEE LABEL]])-ROW(T_EMPLOYEES[[#Headers],[EMPLOYEE LABEL]]))</f>
        <v>367</v>
      </c>
      <c r="AB370">
        <f ca="1">IF(T_EMPLOYEES[[#This Row],[EMPLOYEE NUMBER]]="","",IF(COUNTIF(T_EMPLOYEES[EMPLOYEE NUMBER],T_EMPLOYEES[[#This Row],[EMPLOYEE NUMBER]])&gt;1,1,0))</f>
        <v>0</v>
      </c>
      <c r="AC370">
        <f ca="1">IF(T_EMPLOYEES[[#This Row],[EMPLOYEE NUMBER]]="","",IF(AND(T_EMPLOYEES[[#This Row],[DATE OF BIRTH]]&gt;0,T_EMPLOYEES[[#This Row],[DATE OF BIRTH]]&lt;TODAY()),0,1))</f>
        <v>0</v>
      </c>
      <c r="AD370">
        <f ca="1">IF(T_EMPLOYEES[[#This Row],[EMPLOYEE NUMBER]]="","",IF(AND(T_EMPLOYEES[[#This Row],[START DATE]]&gt;0,T_EMPLOYEES[[#This Row],[START DATE]]&lt;TODAY()+60),0,1))</f>
        <v>0</v>
      </c>
      <c r="AE370">
        <f ca="1">IF(T_EMPLOYEES[[#This Row],[EMPLOYEE NUMBER]]="","",MATCH(T_EMPLOYEES[[#This Row],[GENDER]],L_GENDER,0))</f>
        <v>2</v>
      </c>
      <c r="AF370">
        <f ca="1">IF(T_EMPLOYEES[[#This Row],[EMPLOYEE NUMBER]]="","",MATCH(T_EMPLOYEES[[#This Row],[HIRE SOURCE]],L_HIRESOURCE,0))</f>
        <v>4</v>
      </c>
      <c r="AG370">
        <f ca="1">IF(T_EMPLOYEES[[#This Row],[EMPLOYEE NUMBER]]="","",MATCH(T_EMPLOYEES[[#This Row],[ETHNICITY]],L_ETHNICITY,0))</f>
        <v>3</v>
      </c>
      <c r="AH370">
        <f ca="1">IF(T_EMPLOYEES[[#This Row],[EMPLOYEE NUMBER]]="","",MATCH(T_EMPLOYEES[[#This Row],[LOCATION]],L_LOCATION,0))</f>
        <v>1</v>
      </c>
      <c r="AI370">
        <f ca="1">IF(T_EMPLOYEES[[#This Row],[EMPLOYEE NUMBER]]="","",MATCH(T_EMPLOYEES[[#This Row],[DEPARTMENT]],L_DEPARTMENT,0))</f>
        <v>11</v>
      </c>
      <c r="AJ370">
        <f ca="1">IF(T_EMPLOYEES[[#This Row],[EMPLOYEE NUMBER]]="","",MATCH(T_EMPLOYEES[[#This Row],[JOB TYPE]],L_JOBTYPE,0))</f>
        <v>2</v>
      </c>
      <c r="AK370">
        <f ca="1">IF(T_EMPLOYEES[[#This Row],[EMPLOYEE NUMBER]]="","",MATCH(T_EMPLOYEES[[#This Row],[JOB CATEGORY]],L_JOBCATEGORY,0))</f>
        <v>30</v>
      </c>
      <c r="AL370">
        <f ca="1">IF(T_EMPLOYEES[[#This Row],[EMPLOYEE NUMBER]]="","",MATCH(T_EMPLOYEES[[#This Row],[JOB LEVEL]],L_JOBLEVEL,0))</f>
        <v>1</v>
      </c>
      <c r="AM370">
        <f ca="1">IF(T_EMPLOYEES[[#This Row],[EMPLOYEE NUMBER]]="","",MATCH(T_EMPLOYEES[[#This Row],[JOB TITLE]],L_JOBTITLE,0))</f>
        <v>30</v>
      </c>
      <c r="AN370">
        <f ca="1">IF(T_EMPLOYEES[[#This Row],[EMPLOYEE NUMBER]]="","",MATCH(T_EMPLOYEES[[#This Row],[MANAGER]],L_EMPLABELS,0))</f>
        <v>57</v>
      </c>
      <c r="AO370">
        <f ca="1">IF(T_EMPLOYEES[[#This Row],[EMPLOYEE NUMBER]]="","",IF(T_EMPLOYEES[[#This Row],[ERROR]]="",0,1))</f>
        <v>0</v>
      </c>
      <c r="AP37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1" spans="1:42">
      <c r="A371" t="s">
        <v>1252</v>
      </c>
      <c r="B371" t="s">
        <v>1253</v>
      </c>
      <c r="C371">
        <v>1023748</v>
      </c>
      <c r="D371" t="s">
        <v>1254</v>
      </c>
      <c r="E371" s="26">
        <v>35771</v>
      </c>
      <c r="F371" s="26">
        <v>44075</v>
      </c>
      <c r="H371" t="s">
        <v>40</v>
      </c>
      <c r="I371" t="s">
        <v>54</v>
      </c>
      <c r="J371" t="s">
        <v>64</v>
      </c>
      <c r="K371" t="s">
        <v>30</v>
      </c>
      <c r="L371" s="27" t="s">
        <v>114</v>
      </c>
      <c r="M371" t="s">
        <v>46</v>
      </c>
      <c r="N371" t="s">
        <v>160</v>
      </c>
      <c r="O371" t="s">
        <v>48</v>
      </c>
      <c r="P371" t="s">
        <v>160</v>
      </c>
      <c r="Q371" t="s">
        <v>468</v>
      </c>
      <c r="R371">
        <v>4</v>
      </c>
      <c r="S371" s="1">
        <v>250000</v>
      </c>
      <c r="T371" s="1">
        <f ca="1">ROUND(T_EMPLOYEES[[#This Row],[EMP_CTC1]]/12, 0)</f>
        <v>20833</v>
      </c>
      <c r="U371" s="1">
        <v>150000</v>
      </c>
      <c r="V371" s="1" t="s">
        <v>1238</v>
      </c>
      <c r="W371" s="1" t="s">
        <v>1238</v>
      </c>
      <c r="X37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Ananya  Nidhi (1023748)</v>
      </c>
      <c r="Y371">
        <v>120000</v>
      </c>
      <c r="Z371" s="29">
        <f t="shared" ca="1" si="6"/>
        <v>40</v>
      </c>
      <c r="AA371">
        <f ca="1">IF(T_EMPLOYEES[[#This Row],[EMPLOYEE NUMBER]]="","",ROW(T_EMPLOYEES[[#This Row],[EMPLOYEE LABEL]])-ROW(T_EMPLOYEES[[#Headers],[EMPLOYEE LABEL]]))</f>
        <v>368</v>
      </c>
      <c r="AB371">
        <f ca="1">IF(T_EMPLOYEES[[#This Row],[EMPLOYEE NUMBER]]="","",IF(COUNTIF(T_EMPLOYEES[EMPLOYEE NUMBER],T_EMPLOYEES[[#This Row],[EMPLOYEE NUMBER]])&gt;1,1,0))</f>
        <v>0</v>
      </c>
      <c r="AC371">
        <f ca="1">IF(T_EMPLOYEES[[#This Row],[EMPLOYEE NUMBER]]="","",IF(AND(T_EMPLOYEES[[#This Row],[DATE OF BIRTH]]&gt;0,T_EMPLOYEES[[#This Row],[DATE OF BIRTH]]&lt;TODAY()),0,1))</f>
        <v>0</v>
      </c>
      <c r="AD371">
        <f ca="1">IF(T_EMPLOYEES[[#This Row],[EMPLOYEE NUMBER]]="","",IF(AND(T_EMPLOYEES[[#This Row],[START DATE]]&gt;0,T_EMPLOYEES[[#This Row],[START DATE]]&lt;TODAY()+60),0,1))</f>
        <v>0</v>
      </c>
      <c r="AE371">
        <f ca="1">IF(T_EMPLOYEES[[#This Row],[EMPLOYEE NUMBER]]="","",MATCH(T_EMPLOYEES[[#This Row],[GENDER]],L_GENDER,0))</f>
        <v>2</v>
      </c>
      <c r="AF371">
        <f ca="1">IF(T_EMPLOYEES[[#This Row],[EMPLOYEE NUMBER]]="","",MATCH(T_EMPLOYEES[[#This Row],[HIRE SOURCE]],L_HIRESOURCE,0))</f>
        <v>4</v>
      </c>
      <c r="AG371">
        <f ca="1">IF(T_EMPLOYEES[[#This Row],[EMPLOYEE NUMBER]]="","",MATCH(T_EMPLOYEES[[#This Row],[ETHNICITY]],L_ETHNICITY,0))</f>
        <v>3</v>
      </c>
      <c r="AH371">
        <f ca="1">IF(T_EMPLOYEES[[#This Row],[EMPLOYEE NUMBER]]="","",MATCH(T_EMPLOYEES[[#This Row],[LOCATION]],L_LOCATION,0))</f>
        <v>1</v>
      </c>
      <c r="AI371">
        <f ca="1">IF(T_EMPLOYEES[[#This Row],[EMPLOYEE NUMBER]]="","",MATCH(T_EMPLOYEES[[#This Row],[DEPARTMENT]],L_DEPARTMENT,0))</f>
        <v>11</v>
      </c>
      <c r="AJ371">
        <f ca="1">IF(T_EMPLOYEES[[#This Row],[EMPLOYEE NUMBER]]="","",MATCH(T_EMPLOYEES[[#This Row],[JOB TYPE]],L_JOBTYPE,0))</f>
        <v>2</v>
      </c>
      <c r="AK371">
        <f ca="1">IF(T_EMPLOYEES[[#This Row],[EMPLOYEE NUMBER]]="","",MATCH(T_EMPLOYEES[[#This Row],[JOB CATEGORY]],L_JOBCATEGORY,0))</f>
        <v>39</v>
      </c>
      <c r="AL371">
        <f ca="1">IF(T_EMPLOYEES[[#This Row],[EMPLOYEE NUMBER]]="","",MATCH(T_EMPLOYEES[[#This Row],[JOB LEVEL]],L_JOBLEVEL,0))</f>
        <v>2</v>
      </c>
      <c r="AM371">
        <f ca="1">IF(T_EMPLOYEES[[#This Row],[EMPLOYEE NUMBER]]="","",MATCH(T_EMPLOYEES[[#This Row],[JOB TITLE]],L_JOBTITLE,0))</f>
        <v>39</v>
      </c>
      <c r="AN371">
        <f ca="1">IF(T_EMPLOYEES[[#This Row],[EMPLOYEE NUMBER]]="","",MATCH(T_EMPLOYEES[[#This Row],[MANAGER]],L_EMPLABELS,0))</f>
        <v>56</v>
      </c>
      <c r="AO371">
        <f ca="1">IF(T_EMPLOYEES[[#This Row],[EMPLOYEE NUMBER]]="","",IF(T_EMPLOYEES[[#This Row],[ERROR]]="",0,1))</f>
        <v>0</v>
      </c>
      <c r="AP37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2" spans="1:42">
      <c r="A372" t="s">
        <v>1255</v>
      </c>
      <c r="B372" t="s">
        <v>51</v>
      </c>
      <c r="C372">
        <v>1028228</v>
      </c>
      <c r="D372" t="s">
        <v>1256</v>
      </c>
      <c r="E372" s="26">
        <v>35775</v>
      </c>
      <c r="F372" s="26">
        <v>44594</v>
      </c>
      <c r="H372" t="s">
        <v>27</v>
      </c>
      <c r="I372" t="s">
        <v>54</v>
      </c>
      <c r="J372" t="s">
        <v>64</v>
      </c>
      <c r="K372" t="s">
        <v>30</v>
      </c>
      <c r="L372" s="27" t="s">
        <v>45</v>
      </c>
      <c r="M372" t="s">
        <v>46</v>
      </c>
      <c r="N372" t="s">
        <v>148</v>
      </c>
      <c r="O372" t="s">
        <v>48</v>
      </c>
      <c r="P372" t="s">
        <v>148</v>
      </c>
      <c r="Q372" t="s">
        <v>418</v>
      </c>
      <c r="R372" s="27">
        <v>4</v>
      </c>
      <c r="S372" s="1">
        <v>250000</v>
      </c>
      <c r="T372" s="1">
        <f ca="1">ROUND(T_EMPLOYEES[[#This Row],[EMP_CTC1]]/12, 0)</f>
        <v>20833</v>
      </c>
      <c r="U372" s="1">
        <v>150000</v>
      </c>
      <c r="V372" s="1" t="s">
        <v>1238</v>
      </c>
      <c r="W372" s="1" t="s">
        <v>1238</v>
      </c>
      <c r="X37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Lalithkishore S (1028228)</v>
      </c>
      <c r="Y372">
        <v>120000</v>
      </c>
      <c r="Z372" s="29">
        <f t="shared" ca="1" si="6"/>
        <v>40</v>
      </c>
      <c r="AA372">
        <f ca="1">IF(T_EMPLOYEES[[#This Row],[EMPLOYEE NUMBER]]="","",ROW(T_EMPLOYEES[[#This Row],[EMPLOYEE LABEL]])-ROW(T_EMPLOYEES[[#Headers],[EMPLOYEE LABEL]]))</f>
        <v>369</v>
      </c>
      <c r="AB372">
        <f ca="1">IF(T_EMPLOYEES[[#This Row],[EMPLOYEE NUMBER]]="","",IF(COUNTIF(T_EMPLOYEES[EMPLOYEE NUMBER],T_EMPLOYEES[[#This Row],[EMPLOYEE NUMBER]])&gt;1,1,0))</f>
        <v>0</v>
      </c>
      <c r="AC372">
        <f ca="1">IF(T_EMPLOYEES[[#This Row],[EMPLOYEE NUMBER]]="","",IF(AND(T_EMPLOYEES[[#This Row],[DATE OF BIRTH]]&gt;0,T_EMPLOYEES[[#This Row],[DATE OF BIRTH]]&lt;TODAY()),0,1))</f>
        <v>0</v>
      </c>
      <c r="AD372">
        <f ca="1">IF(T_EMPLOYEES[[#This Row],[EMPLOYEE NUMBER]]="","",IF(AND(T_EMPLOYEES[[#This Row],[START DATE]]&gt;0,T_EMPLOYEES[[#This Row],[START DATE]]&lt;TODAY()+60),0,1))</f>
        <v>0</v>
      </c>
      <c r="AE372">
        <f ca="1">IF(T_EMPLOYEES[[#This Row],[EMPLOYEE NUMBER]]="","",MATCH(T_EMPLOYEES[[#This Row],[GENDER]],L_GENDER,0))</f>
        <v>1</v>
      </c>
      <c r="AF372">
        <f ca="1">IF(T_EMPLOYEES[[#This Row],[EMPLOYEE NUMBER]]="","",MATCH(T_EMPLOYEES[[#This Row],[HIRE SOURCE]],L_HIRESOURCE,0))</f>
        <v>4</v>
      </c>
      <c r="AG372">
        <f ca="1">IF(T_EMPLOYEES[[#This Row],[EMPLOYEE NUMBER]]="","",MATCH(T_EMPLOYEES[[#This Row],[ETHNICITY]],L_ETHNICITY,0))</f>
        <v>3</v>
      </c>
      <c r="AH372">
        <f ca="1">IF(T_EMPLOYEES[[#This Row],[EMPLOYEE NUMBER]]="","",MATCH(T_EMPLOYEES[[#This Row],[LOCATION]],L_LOCATION,0))</f>
        <v>1</v>
      </c>
      <c r="AI372">
        <f ca="1">IF(T_EMPLOYEES[[#This Row],[EMPLOYEE NUMBER]]="","",MATCH(T_EMPLOYEES[[#This Row],[DEPARTMENT]],L_DEPARTMENT,0))</f>
        <v>2</v>
      </c>
      <c r="AJ372">
        <f ca="1">IF(T_EMPLOYEES[[#This Row],[EMPLOYEE NUMBER]]="","",MATCH(T_EMPLOYEES[[#This Row],[JOB TYPE]],L_JOBTYPE,0))</f>
        <v>2</v>
      </c>
      <c r="AK372">
        <f ca="1">IF(T_EMPLOYEES[[#This Row],[EMPLOYEE NUMBER]]="","",MATCH(T_EMPLOYEES[[#This Row],[JOB CATEGORY]],L_JOBCATEGORY,0))</f>
        <v>27</v>
      </c>
      <c r="AL372">
        <f ca="1">IF(T_EMPLOYEES[[#This Row],[EMPLOYEE NUMBER]]="","",MATCH(T_EMPLOYEES[[#This Row],[JOB LEVEL]],L_JOBLEVEL,0))</f>
        <v>2</v>
      </c>
      <c r="AM372">
        <f ca="1">IF(T_EMPLOYEES[[#This Row],[EMPLOYEE NUMBER]]="","",MATCH(T_EMPLOYEES[[#This Row],[JOB TITLE]],L_JOBTITLE,0))</f>
        <v>27</v>
      </c>
      <c r="AN372">
        <f ca="1">IF(T_EMPLOYEES[[#This Row],[EMPLOYEE NUMBER]]="","",MATCH(T_EMPLOYEES[[#This Row],[MANAGER]],L_EMPLABELS,0))</f>
        <v>120</v>
      </c>
      <c r="AO372">
        <f ca="1">IF(T_EMPLOYEES[[#This Row],[EMPLOYEE NUMBER]]="","",IF(T_EMPLOYEES[[#This Row],[ERROR]]="",0,1))</f>
        <v>0</v>
      </c>
      <c r="AP37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3" spans="1:42">
      <c r="A373" t="s">
        <v>1257</v>
      </c>
      <c r="B373" t="s">
        <v>947</v>
      </c>
      <c r="C373">
        <v>1023770</v>
      </c>
      <c r="D373" t="s">
        <v>1258</v>
      </c>
      <c r="E373" s="26">
        <v>35791</v>
      </c>
      <c r="F373" s="26">
        <v>44075</v>
      </c>
      <c r="H373" t="s">
        <v>40</v>
      </c>
      <c r="I373" t="s">
        <v>54</v>
      </c>
      <c r="J373" t="s">
        <v>64</v>
      </c>
      <c r="K373" t="s">
        <v>30</v>
      </c>
      <c r="L373" s="27" t="s">
        <v>130</v>
      </c>
      <c r="M373" t="s">
        <v>46</v>
      </c>
      <c r="N373" t="s">
        <v>160</v>
      </c>
      <c r="O373" t="s">
        <v>48</v>
      </c>
      <c r="P373" t="s">
        <v>160</v>
      </c>
      <c r="Q373" t="s">
        <v>337</v>
      </c>
      <c r="R373">
        <v>4</v>
      </c>
      <c r="S373" s="1">
        <v>250000</v>
      </c>
      <c r="T373" s="1">
        <f ca="1">ROUND(T_EMPLOYEES[[#This Row],[EMP_CTC1]]/12, 0)</f>
        <v>20833</v>
      </c>
      <c r="U373" s="1">
        <v>150000</v>
      </c>
      <c r="V373" s="1" t="s">
        <v>1238</v>
      </c>
      <c r="W373" s="1" t="s">
        <v>1238</v>
      </c>
      <c r="X37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Roshni  Mishra (1023770)</v>
      </c>
      <c r="Y373">
        <v>120000</v>
      </c>
      <c r="Z373" s="29">
        <f t="shared" ca="1" si="6"/>
        <v>40</v>
      </c>
      <c r="AA373">
        <f ca="1">IF(T_EMPLOYEES[[#This Row],[EMPLOYEE NUMBER]]="","",ROW(T_EMPLOYEES[[#This Row],[EMPLOYEE LABEL]])-ROW(T_EMPLOYEES[[#Headers],[EMPLOYEE LABEL]]))</f>
        <v>370</v>
      </c>
      <c r="AB373">
        <f ca="1">IF(T_EMPLOYEES[[#This Row],[EMPLOYEE NUMBER]]="","",IF(COUNTIF(T_EMPLOYEES[EMPLOYEE NUMBER],T_EMPLOYEES[[#This Row],[EMPLOYEE NUMBER]])&gt;1,1,0))</f>
        <v>0</v>
      </c>
      <c r="AC373">
        <f ca="1">IF(T_EMPLOYEES[[#This Row],[EMPLOYEE NUMBER]]="","",IF(AND(T_EMPLOYEES[[#This Row],[DATE OF BIRTH]]&gt;0,T_EMPLOYEES[[#This Row],[DATE OF BIRTH]]&lt;TODAY()),0,1))</f>
        <v>0</v>
      </c>
      <c r="AD373">
        <f ca="1">IF(T_EMPLOYEES[[#This Row],[EMPLOYEE NUMBER]]="","",IF(AND(T_EMPLOYEES[[#This Row],[START DATE]]&gt;0,T_EMPLOYEES[[#This Row],[START DATE]]&lt;TODAY()+60),0,1))</f>
        <v>0</v>
      </c>
      <c r="AE373">
        <f ca="1">IF(T_EMPLOYEES[[#This Row],[EMPLOYEE NUMBER]]="","",MATCH(T_EMPLOYEES[[#This Row],[GENDER]],L_GENDER,0))</f>
        <v>2</v>
      </c>
      <c r="AF373">
        <f ca="1">IF(T_EMPLOYEES[[#This Row],[EMPLOYEE NUMBER]]="","",MATCH(T_EMPLOYEES[[#This Row],[HIRE SOURCE]],L_HIRESOURCE,0))</f>
        <v>4</v>
      </c>
      <c r="AG373">
        <f ca="1">IF(T_EMPLOYEES[[#This Row],[EMPLOYEE NUMBER]]="","",MATCH(T_EMPLOYEES[[#This Row],[ETHNICITY]],L_ETHNICITY,0))</f>
        <v>3</v>
      </c>
      <c r="AH373">
        <f ca="1">IF(T_EMPLOYEES[[#This Row],[EMPLOYEE NUMBER]]="","",MATCH(T_EMPLOYEES[[#This Row],[LOCATION]],L_LOCATION,0))</f>
        <v>1</v>
      </c>
      <c r="AI373">
        <f ca="1">IF(T_EMPLOYEES[[#This Row],[EMPLOYEE NUMBER]]="","",MATCH(T_EMPLOYEES[[#This Row],[DEPARTMENT]],L_DEPARTMENT,0))</f>
        <v>16</v>
      </c>
      <c r="AJ373">
        <f ca="1">IF(T_EMPLOYEES[[#This Row],[EMPLOYEE NUMBER]]="","",MATCH(T_EMPLOYEES[[#This Row],[JOB TYPE]],L_JOBTYPE,0))</f>
        <v>2</v>
      </c>
      <c r="AK373">
        <f ca="1">IF(T_EMPLOYEES[[#This Row],[EMPLOYEE NUMBER]]="","",MATCH(T_EMPLOYEES[[#This Row],[JOB CATEGORY]],L_JOBCATEGORY,0))</f>
        <v>39</v>
      </c>
      <c r="AL373">
        <f ca="1">IF(T_EMPLOYEES[[#This Row],[EMPLOYEE NUMBER]]="","",MATCH(T_EMPLOYEES[[#This Row],[JOB LEVEL]],L_JOBLEVEL,0))</f>
        <v>2</v>
      </c>
      <c r="AM373">
        <f ca="1">IF(T_EMPLOYEES[[#This Row],[EMPLOYEE NUMBER]]="","",MATCH(T_EMPLOYEES[[#This Row],[JOB TITLE]],L_JOBTITLE,0))</f>
        <v>39</v>
      </c>
      <c r="AN373">
        <f ca="1">IF(T_EMPLOYEES[[#This Row],[EMPLOYEE NUMBER]]="","",MATCH(T_EMPLOYEES[[#This Row],[MANAGER]],L_EMPLABELS,0))</f>
        <v>48</v>
      </c>
      <c r="AO373">
        <f ca="1">IF(T_EMPLOYEES[[#This Row],[EMPLOYEE NUMBER]]="","",IF(T_EMPLOYEES[[#This Row],[ERROR]]="",0,1))</f>
        <v>0</v>
      </c>
      <c r="AP37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4" spans="1:42">
      <c r="A374" t="s">
        <v>1259</v>
      </c>
      <c r="B374" t="s">
        <v>1260</v>
      </c>
      <c r="C374">
        <v>1027415</v>
      </c>
      <c r="D374" t="s">
        <v>1261</v>
      </c>
      <c r="E374" s="26">
        <v>35799</v>
      </c>
      <c r="F374" s="26">
        <v>44531</v>
      </c>
      <c r="H374" t="s">
        <v>27</v>
      </c>
      <c r="I374" t="s">
        <v>54</v>
      </c>
      <c r="J374" t="s">
        <v>64</v>
      </c>
      <c r="K374" t="s">
        <v>43</v>
      </c>
      <c r="L374" s="27" t="s">
        <v>45</v>
      </c>
      <c r="M374" t="s">
        <v>46</v>
      </c>
      <c r="N374" t="s">
        <v>160</v>
      </c>
      <c r="O374" t="s">
        <v>48</v>
      </c>
      <c r="P374" t="s">
        <v>160</v>
      </c>
      <c r="Q374" t="s">
        <v>985</v>
      </c>
      <c r="R374" s="27">
        <v>4</v>
      </c>
      <c r="S374" s="1">
        <v>250000</v>
      </c>
      <c r="T374" s="1">
        <f ca="1">ROUND(T_EMPLOYEES[[#This Row],[EMP_CTC1]]/12, 0)</f>
        <v>20833</v>
      </c>
      <c r="U374" s="1">
        <v>150000</v>
      </c>
      <c r="V374" s="1" t="s">
        <v>1238</v>
      </c>
      <c r="W374" s="1" t="s">
        <v>1238</v>
      </c>
      <c r="X37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Sunil Kumar Kallepalli (1027415)</v>
      </c>
      <c r="Y374">
        <v>120000</v>
      </c>
      <c r="Z374" s="29">
        <f t="shared" ca="1" si="6"/>
        <v>40</v>
      </c>
      <c r="AA374">
        <f ca="1">IF(T_EMPLOYEES[[#This Row],[EMPLOYEE NUMBER]]="","",ROW(T_EMPLOYEES[[#This Row],[EMPLOYEE LABEL]])-ROW(T_EMPLOYEES[[#Headers],[EMPLOYEE LABEL]]))</f>
        <v>371</v>
      </c>
      <c r="AB374">
        <f ca="1">IF(T_EMPLOYEES[[#This Row],[EMPLOYEE NUMBER]]="","",IF(COUNTIF(T_EMPLOYEES[EMPLOYEE NUMBER],T_EMPLOYEES[[#This Row],[EMPLOYEE NUMBER]])&gt;1,1,0))</f>
        <v>0</v>
      </c>
      <c r="AC374">
        <f ca="1">IF(T_EMPLOYEES[[#This Row],[EMPLOYEE NUMBER]]="","",IF(AND(T_EMPLOYEES[[#This Row],[DATE OF BIRTH]]&gt;0,T_EMPLOYEES[[#This Row],[DATE OF BIRTH]]&lt;TODAY()),0,1))</f>
        <v>0</v>
      </c>
      <c r="AD374">
        <f ca="1">IF(T_EMPLOYEES[[#This Row],[EMPLOYEE NUMBER]]="","",IF(AND(T_EMPLOYEES[[#This Row],[START DATE]]&gt;0,T_EMPLOYEES[[#This Row],[START DATE]]&lt;TODAY()+60),0,1))</f>
        <v>0</v>
      </c>
      <c r="AE374">
        <f ca="1">IF(T_EMPLOYEES[[#This Row],[EMPLOYEE NUMBER]]="","",MATCH(T_EMPLOYEES[[#This Row],[GENDER]],L_GENDER,0))</f>
        <v>1</v>
      </c>
      <c r="AF374">
        <f ca="1">IF(T_EMPLOYEES[[#This Row],[EMPLOYEE NUMBER]]="","",MATCH(T_EMPLOYEES[[#This Row],[HIRE SOURCE]],L_HIRESOURCE,0))</f>
        <v>4</v>
      </c>
      <c r="AG374">
        <f ca="1">IF(T_EMPLOYEES[[#This Row],[EMPLOYEE NUMBER]]="","",MATCH(T_EMPLOYEES[[#This Row],[ETHNICITY]],L_ETHNICITY,0))</f>
        <v>3</v>
      </c>
      <c r="AH374">
        <f ca="1">IF(T_EMPLOYEES[[#This Row],[EMPLOYEE NUMBER]]="","",MATCH(T_EMPLOYEES[[#This Row],[LOCATION]],L_LOCATION,0))</f>
        <v>2</v>
      </c>
      <c r="AI374">
        <f ca="1">IF(T_EMPLOYEES[[#This Row],[EMPLOYEE NUMBER]]="","",MATCH(T_EMPLOYEES[[#This Row],[DEPARTMENT]],L_DEPARTMENT,0))</f>
        <v>2</v>
      </c>
      <c r="AJ374">
        <f ca="1">IF(T_EMPLOYEES[[#This Row],[EMPLOYEE NUMBER]]="","",MATCH(T_EMPLOYEES[[#This Row],[JOB TYPE]],L_JOBTYPE,0))</f>
        <v>2</v>
      </c>
      <c r="AK374">
        <f ca="1">IF(T_EMPLOYEES[[#This Row],[EMPLOYEE NUMBER]]="","",MATCH(T_EMPLOYEES[[#This Row],[JOB CATEGORY]],L_JOBCATEGORY,0))</f>
        <v>39</v>
      </c>
      <c r="AL374">
        <f ca="1">IF(T_EMPLOYEES[[#This Row],[EMPLOYEE NUMBER]]="","",MATCH(T_EMPLOYEES[[#This Row],[JOB LEVEL]],L_JOBLEVEL,0))</f>
        <v>2</v>
      </c>
      <c r="AM374">
        <f ca="1">IF(T_EMPLOYEES[[#This Row],[EMPLOYEE NUMBER]]="","",MATCH(T_EMPLOYEES[[#This Row],[JOB TITLE]],L_JOBTITLE,0))</f>
        <v>39</v>
      </c>
      <c r="AN374">
        <f ca="1">IF(T_EMPLOYEES[[#This Row],[EMPLOYEE NUMBER]]="","",MATCH(T_EMPLOYEES[[#This Row],[MANAGER]],L_EMPLABELS,0))</f>
        <v>92</v>
      </c>
      <c r="AO374">
        <f ca="1">IF(T_EMPLOYEES[[#This Row],[EMPLOYEE NUMBER]]="","",IF(T_EMPLOYEES[[#This Row],[ERROR]]="",0,1))</f>
        <v>0</v>
      </c>
      <c r="AP37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5" spans="1:42">
      <c r="A375" t="s">
        <v>1262</v>
      </c>
      <c r="B375" t="s">
        <v>1263</v>
      </c>
      <c r="C375">
        <v>1031903</v>
      </c>
      <c r="D375" t="s">
        <v>1264</v>
      </c>
      <c r="E375" s="26">
        <v>35817</v>
      </c>
      <c r="F375" s="26">
        <v>44918</v>
      </c>
      <c r="H375" t="s">
        <v>27</v>
      </c>
      <c r="I375" t="s">
        <v>54</v>
      </c>
      <c r="J375" t="s">
        <v>64</v>
      </c>
      <c r="K375" t="s">
        <v>30</v>
      </c>
      <c r="L375" s="27" t="s">
        <v>45</v>
      </c>
      <c r="M375" t="s">
        <v>46</v>
      </c>
      <c r="N375" t="s">
        <v>160</v>
      </c>
      <c r="O375" t="s">
        <v>48</v>
      </c>
      <c r="P375" t="s">
        <v>160</v>
      </c>
      <c r="Q375" t="s">
        <v>653</v>
      </c>
      <c r="R375">
        <v>4</v>
      </c>
      <c r="S375" s="1">
        <v>250000</v>
      </c>
      <c r="T375" s="1">
        <f ca="1">ROUND(T_EMPLOYEES[[#This Row],[EMP_CTC1]]/12, 0)</f>
        <v>20833</v>
      </c>
      <c r="U375" s="1">
        <v>150000</v>
      </c>
      <c r="V375" s="1" t="s">
        <v>1238</v>
      </c>
      <c r="W375" s="1" t="s">
        <v>1238</v>
      </c>
      <c r="X37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Naveen G N (1031903)</v>
      </c>
      <c r="Y375">
        <v>120000</v>
      </c>
      <c r="Z375" s="29">
        <f t="shared" ca="1" si="6"/>
        <v>40</v>
      </c>
      <c r="AA375">
        <f ca="1">IF(T_EMPLOYEES[[#This Row],[EMPLOYEE NUMBER]]="","",ROW(T_EMPLOYEES[[#This Row],[EMPLOYEE LABEL]])-ROW(T_EMPLOYEES[[#Headers],[EMPLOYEE LABEL]]))</f>
        <v>372</v>
      </c>
      <c r="AB375">
        <f ca="1">IF(T_EMPLOYEES[[#This Row],[EMPLOYEE NUMBER]]="","",IF(COUNTIF(T_EMPLOYEES[EMPLOYEE NUMBER],T_EMPLOYEES[[#This Row],[EMPLOYEE NUMBER]])&gt;1,1,0))</f>
        <v>0</v>
      </c>
      <c r="AC375">
        <f ca="1">IF(T_EMPLOYEES[[#This Row],[EMPLOYEE NUMBER]]="","",IF(AND(T_EMPLOYEES[[#This Row],[DATE OF BIRTH]]&gt;0,T_EMPLOYEES[[#This Row],[DATE OF BIRTH]]&lt;TODAY()),0,1))</f>
        <v>0</v>
      </c>
      <c r="AD375">
        <f ca="1">IF(T_EMPLOYEES[[#This Row],[EMPLOYEE NUMBER]]="","",IF(AND(T_EMPLOYEES[[#This Row],[START DATE]]&gt;0,T_EMPLOYEES[[#This Row],[START DATE]]&lt;TODAY()+60),0,1))</f>
        <v>0</v>
      </c>
      <c r="AE375">
        <f ca="1">IF(T_EMPLOYEES[[#This Row],[EMPLOYEE NUMBER]]="","",MATCH(T_EMPLOYEES[[#This Row],[GENDER]],L_GENDER,0))</f>
        <v>1</v>
      </c>
      <c r="AF375">
        <f ca="1">IF(T_EMPLOYEES[[#This Row],[EMPLOYEE NUMBER]]="","",MATCH(T_EMPLOYEES[[#This Row],[HIRE SOURCE]],L_HIRESOURCE,0))</f>
        <v>4</v>
      </c>
      <c r="AG375">
        <f ca="1">IF(T_EMPLOYEES[[#This Row],[EMPLOYEE NUMBER]]="","",MATCH(T_EMPLOYEES[[#This Row],[ETHNICITY]],L_ETHNICITY,0))</f>
        <v>3</v>
      </c>
      <c r="AH375">
        <f ca="1">IF(T_EMPLOYEES[[#This Row],[EMPLOYEE NUMBER]]="","",MATCH(T_EMPLOYEES[[#This Row],[LOCATION]],L_LOCATION,0))</f>
        <v>1</v>
      </c>
      <c r="AI375">
        <f ca="1">IF(T_EMPLOYEES[[#This Row],[EMPLOYEE NUMBER]]="","",MATCH(T_EMPLOYEES[[#This Row],[DEPARTMENT]],L_DEPARTMENT,0))</f>
        <v>2</v>
      </c>
      <c r="AJ375">
        <f ca="1">IF(T_EMPLOYEES[[#This Row],[EMPLOYEE NUMBER]]="","",MATCH(T_EMPLOYEES[[#This Row],[JOB TYPE]],L_JOBTYPE,0))</f>
        <v>2</v>
      </c>
      <c r="AK375">
        <f ca="1">IF(T_EMPLOYEES[[#This Row],[EMPLOYEE NUMBER]]="","",MATCH(T_EMPLOYEES[[#This Row],[JOB CATEGORY]],L_JOBCATEGORY,0))</f>
        <v>39</v>
      </c>
      <c r="AL375">
        <f ca="1">IF(T_EMPLOYEES[[#This Row],[EMPLOYEE NUMBER]]="","",MATCH(T_EMPLOYEES[[#This Row],[JOB LEVEL]],L_JOBLEVEL,0))</f>
        <v>2</v>
      </c>
      <c r="AM375">
        <f ca="1">IF(T_EMPLOYEES[[#This Row],[EMPLOYEE NUMBER]]="","",MATCH(T_EMPLOYEES[[#This Row],[JOB TITLE]],L_JOBTITLE,0))</f>
        <v>39</v>
      </c>
      <c r="AN375">
        <f ca="1">IF(T_EMPLOYEES[[#This Row],[EMPLOYEE NUMBER]]="","",MATCH(T_EMPLOYEES[[#This Row],[MANAGER]],L_EMPLABELS,0))</f>
        <v>7</v>
      </c>
      <c r="AO375">
        <f ca="1">IF(T_EMPLOYEES[[#This Row],[EMPLOYEE NUMBER]]="","",IF(T_EMPLOYEES[[#This Row],[ERROR]]="",0,1))</f>
        <v>0</v>
      </c>
      <c r="AP37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6" spans="1:42">
      <c r="A376" t="s">
        <v>1265</v>
      </c>
      <c r="B376" t="s">
        <v>1266</v>
      </c>
      <c r="C376">
        <v>1026952</v>
      </c>
      <c r="D376" t="s">
        <v>1267</v>
      </c>
      <c r="E376" s="26">
        <v>35825</v>
      </c>
      <c r="F376" s="26">
        <v>44494</v>
      </c>
      <c r="H376" t="s">
        <v>27</v>
      </c>
      <c r="I376" t="s">
        <v>54</v>
      </c>
      <c r="J376" t="s">
        <v>64</v>
      </c>
      <c r="K376" t="s">
        <v>43</v>
      </c>
      <c r="L376" s="27" t="s">
        <v>45</v>
      </c>
      <c r="M376" t="s">
        <v>46</v>
      </c>
      <c r="N376" t="s">
        <v>128</v>
      </c>
      <c r="O376" t="s">
        <v>60</v>
      </c>
      <c r="P376" t="s">
        <v>128</v>
      </c>
      <c r="Q376" t="s">
        <v>218</v>
      </c>
      <c r="R376" s="27">
        <v>4</v>
      </c>
      <c r="S376" s="1">
        <v>250000</v>
      </c>
      <c r="T376" s="1">
        <f ca="1">ROUND(T_EMPLOYEES[[#This Row],[EMP_CTC1]]/12, 0)</f>
        <v>20833</v>
      </c>
      <c r="U376" s="1">
        <v>150000</v>
      </c>
      <c r="V376" s="1" t="s">
        <v>1238</v>
      </c>
      <c r="W376" s="1" t="s">
        <v>1238</v>
      </c>
      <c r="X37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Menta Venkata Naga Sai Saran (1026952)</v>
      </c>
      <c r="Y376">
        <v>120000</v>
      </c>
      <c r="Z376" s="29">
        <f t="shared" ca="1" si="6"/>
        <v>40</v>
      </c>
      <c r="AA376">
        <f ca="1">IF(T_EMPLOYEES[[#This Row],[EMPLOYEE NUMBER]]="","",ROW(T_EMPLOYEES[[#This Row],[EMPLOYEE LABEL]])-ROW(T_EMPLOYEES[[#Headers],[EMPLOYEE LABEL]]))</f>
        <v>373</v>
      </c>
      <c r="AB376">
        <f ca="1">IF(T_EMPLOYEES[[#This Row],[EMPLOYEE NUMBER]]="","",IF(COUNTIF(T_EMPLOYEES[EMPLOYEE NUMBER],T_EMPLOYEES[[#This Row],[EMPLOYEE NUMBER]])&gt;1,1,0))</f>
        <v>0</v>
      </c>
      <c r="AC376">
        <f ca="1">IF(T_EMPLOYEES[[#This Row],[EMPLOYEE NUMBER]]="","",IF(AND(T_EMPLOYEES[[#This Row],[DATE OF BIRTH]]&gt;0,T_EMPLOYEES[[#This Row],[DATE OF BIRTH]]&lt;TODAY()),0,1))</f>
        <v>0</v>
      </c>
      <c r="AD376">
        <f ca="1">IF(T_EMPLOYEES[[#This Row],[EMPLOYEE NUMBER]]="","",IF(AND(T_EMPLOYEES[[#This Row],[START DATE]]&gt;0,T_EMPLOYEES[[#This Row],[START DATE]]&lt;TODAY()+60),0,1))</f>
        <v>0</v>
      </c>
      <c r="AE376">
        <f ca="1">IF(T_EMPLOYEES[[#This Row],[EMPLOYEE NUMBER]]="","",MATCH(T_EMPLOYEES[[#This Row],[GENDER]],L_GENDER,0))</f>
        <v>1</v>
      </c>
      <c r="AF376">
        <f ca="1">IF(T_EMPLOYEES[[#This Row],[EMPLOYEE NUMBER]]="","",MATCH(T_EMPLOYEES[[#This Row],[HIRE SOURCE]],L_HIRESOURCE,0))</f>
        <v>4</v>
      </c>
      <c r="AG376">
        <f ca="1">IF(T_EMPLOYEES[[#This Row],[EMPLOYEE NUMBER]]="","",MATCH(T_EMPLOYEES[[#This Row],[ETHNICITY]],L_ETHNICITY,0))</f>
        <v>3</v>
      </c>
      <c r="AH376">
        <f ca="1">IF(T_EMPLOYEES[[#This Row],[EMPLOYEE NUMBER]]="","",MATCH(T_EMPLOYEES[[#This Row],[LOCATION]],L_LOCATION,0))</f>
        <v>2</v>
      </c>
      <c r="AI376">
        <f ca="1">IF(T_EMPLOYEES[[#This Row],[EMPLOYEE NUMBER]]="","",MATCH(T_EMPLOYEES[[#This Row],[DEPARTMENT]],L_DEPARTMENT,0))</f>
        <v>2</v>
      </c>
      <c r="AJ376">
        <f ca="1">IF(T_EMPLOYEES[[#This Row],[EMPLOYEE NUMBER]]="","",MATCH(T_EMPLOYEES[[#This Row],[JOB TYPE]],L_JOBTYPE,0))</f>
        <v>2</v>
      </c>
      <c r="AK376">
        <f ca="1">IF(T_EMPLOYEES[[#This Row],[EMPLOYEE NUMBER]]="","",MATCH(T_EMPLOYEES[[#This Row],[JOB CATEGORY]],L_JOBCATEGORY,0))</f>
        <v>15</v>
      </c>
      <c r="AL376">
        <f ca="1">IF(T_EMPLOYEES[[#This Row],[EMPLOYEE NUMBER]]="","",MATCH(T_EMPLOYEES[[#This Row],[JOB LEVEL]],L_JOBLEVEL,0))</f>
        <v>3</v>
      </c>
      <c r="AM376">
        <f ca="1">IF(T_EMPLOYEES[[#This Row],[EMPLOYEE NUMBER]]="","",MATCH(T_EMPLOYEES[[#This Row],[JOB TITLE]],L_JOBTITLE,0))</f>
        <v>15</v>
      </c>
      <c r="AN376">
        <f ca="1">IF(T_EMPLOYEES[[#This Row],[EMPLOYEE NUMBER]]="","",MATCH(T_EMPLOYEES[[#This Row],[MANAGER]],L_EMPLABELS,0))</f>
        <v>43</v>
      </c>
      <c r="AO376">
        <f ca="1">IF(T_EMPLOYEES[[#This Row],[EMPLOYEE NUMBER]]="","",IF(T_EMPLOYEES[[#This Row],[ERROR]]="",0,1))</f>
        <v>0</v>
      </c>
      <c r="AP37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7" spans="1:42">
      <c r="A377" t="s">
        <v>1010</v>
      </c>
      <c r="B377" t="s">
        <v>1268</v>
      </c>
      <c r="C377">
        <v>1030387</v>
      </c>
      <c r="D377" t="s">
        <v>1269</v>
      </c>
      <c r="E377" s="26">
        <v>35828</v>
      </c>
      <c r="F377" s="26">
        <v>44825</v>
      </c>
      <c r="H377" t="s">
        <v>40</v>
      </c>
      <c r="I377" t="s">
        <v>54</v>
      </c>
      <c r="J377" t="s">
        <v>64</v>
      </c>
      <c r="K377" t="s">
        <v>30</v>
      </c>
      <c r="L377" s="27" t="s">
        <v>114</v>
      </c>
      <c r="M377" t="s">
        <v>46</v>
      </c>
      <c r="N377" t="s">
        <v>151</v>
      </c>
      <c r="O377" t="s">
        <v>36</v>
      </c>
      <c r="P377" t="s">
        <v>151</v>
      </c>
      <c r="Q377" t="s">
        <v>505</v>
      </c>
      <c r="R377">
        <v>0</v>
      </c>
      <c r="S377" s="1">
        <v>250000</v>
      </c>
      <c r="T377" s="1">
        <f ca="1">ROUND(T_EMPLOYEES[[#This Row],[EMP_CTC1]]/12, 0)</f>
        <v>20833</v>
      </c>
      <c r="U377" s="1">
        <v>150000</v>
      </c>
      <c r="V377" s="1" t="s">
        <v>1238</v>
      </c>
      <c r="W377" s="1" t="s">
        <v>1238</v>
      </c>
      <c r="X37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Swathi K P (1030387)</v>
      </c>
      <c r="Y377">
        <v>120000</v>
      </c>
      <c r="Z377" s="29">
        <f t="shared" ca="1" si="6"/>
        <v>40</v>
      </c>
      <c r="AA377">
        <f ca="1">IF(T_EMPLOYEES[[#This Row],[EMPLOYEE NUMBER]]="","",ROW(T_EMPLOYEES[[#This Row],[EMPLOYEE LABEL]])-ROW(T_EMPLOYEES[[#Headers],[EMPLOYEE LABEL]]))</f>
        <v>374</v>
      </c>
      <c r="AB377">
        <f ca="1">IF(T_EMPLOYEES[[#This Row],[EMPLOYEE NUMBER]]="","",IF(COUNTIF(T_EMPLOYEES[EMPLOYEE NUMBER],T_EMPLOYEES[[#This Row],[EMPLOYEE NUMBER]])&gt;1,1,0))</f>
        <v>0</v>
      </c>
      <c r="AC377">
        <f ca="1">IF(T_EMPLOYEES[[#This Row],[EMPLOYEE NUMBER]]="","",IF(AND(T_EMPLOYEES[[#This Row],[DATE OF BIRTH]]&gt;0,T_EMPLOYEES[[#This Row],[DATE OF BIRTH]]&lt;TODAY()),0,1))</f>
        <v>0</v>
      </c>
      <c r="AD377">
        <f ca="1">IF(T_EMPLOYEES[[#This Row],[EMPLOYEE NUMBER]]="","",IF(AND(T_EMPLOYEES[[#This Row],[START DATE]]&gt;0,T_EMPLOYEES[[#This Row],[START DATE]]&lt;TODAY()+60),0,1))</f>
        <v>0</v>
      </c>
      <c r="AE377">
        <f ca="1">IF(T_EMPLOYEES[[#This Row],[EMPLOYEE NUMBER]]="","",MATCH(T_EMPLOYEES[[#This Row],[GENDER]],L_GENDER,0))</f>
        <v>2</v>
      </c>
      <c r="AF377">
        <f ca="1">IF(T_EMPLOYEES[[#This Row],[EMPLOYEE NUMBER]]="","",MATCH(T_EMPLOYEES[[#This Row],[HIRE SOURCE]],L_HIRESOURCE,0))</f>
        <v>4</v>
      </c>
      <c r="AG377">
        <f ca="1">IF(T_EMPLOYEES[[#This Row],[EMPLOYEE NUMBER]]="","",MATCH(T_EMPLOYEES[[#This Row],[ETHNICITY]],L_ETHNICITY,0))</f>
        <v>3</v>
      </c>
      <c r="AH377">
        <f ca="1">IF(T_EMPLOYEES[[#This Row],[EMPLOYEE NUMBER]]="","",MATCH(T_EMPLOYEES[[#This Row],[LOCATION]],L_LOCATION,0))</f>
        <v>1</v>
      </c>
      <c r="AI377">
        <f ca="1">IF(T_EMPLOYEES[[#This Row],[EMPLOYEE NUMBER]]="","",MATCH(T_EMPLOYEES[[#This Row],[DEPARTMENT]],L_DEPARTMENT,0))</f>
        <v>11</v>
      </c>
      <c r="AJ377">
        <f ca="1">IF(T_EMPLOYEES[[#This Row],[EMPLOYEE NUMBER]]="","",MATCH(T_EMPLOYEES[[#This Row],[JOB TYPE]],L_JOBTYPE,0))</f>
        <v>2</v>
      </c>
      <c r="AK377">
        <f ca="1">IF(T_EMPLOYEES[[#This Row],[EMPLOYEE NUMBER]]="","",MATCH(T_EMPLOYEES[[#This Row],[JOB CATEGORY]],L_JOBCATEGORY,0))</f>
        <v>30</v>
      </c>
      <c r="AL377">
        <f ca="1">IF(T_EMPLOYEES[[#This Row],[EMPLOYEE NUMBER]]="","",MATCH(T_EMPLOYEES[[#This Row],[JOB LEVEL]],L_JOBLEVEL,0))</f>
        <v>1</v>
      </c>
      <c r="AM377">
        <f ca="1">IF(T_EMPLOYEES[[#This Row],[EMPLOYEE NUMBER]]="","",MATCH(T_EMPLOYEES[[#This Row],[JOB TITLE]],L_JOBTITLE,0))</f>
        <v>30</v>
      </c>
      <c r="AN377">
        <f ca="1">IF(T_EMPLOYEES[[#This Row],[EMPLOYEE NUMBER]]="","",MATCH(T_EMPLOYEES[[#This Row],[MANAGER]],L_EMPLABELS,0))</f>
        <v>57</v>
      </c>
      <c r="AO377">
        <f ca="1">IF(T_EMPLOYEES[[#This Row],[EMPLOYEE NUMBER]]="","",IF(T_EMPLOYEES[[#This Row],[ERROR]]="",0,1))</f>
        <v>0</v>
      </c>
      <c r="AP37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8" spans="1:42">
      <c r="A378" t="s">
        <v>1270</v>
      </c>
      <c r="B378" t="s">
        <v>1271</v>
      </c>
      <c r="C378">
        <v>1024023</v>
      </c>
      <c r="D378" t="s">
        <v>1272</v>
      </c>
      <c r="E378" s="26">
        <v>35849</v>
      </c>
      <c r="F378" s="26">
        <v>44132</v>
      </c>
      <c r="H378" t="s">
        <v>40</v>
      </c>
      <c r="I378" t="s">
        <v>54</v>
      </c>
      <c r="J378" t="s">
        <v>64</v>
      </c>
      <c r="K378" t="s">
        <v>30</v>
      </c>
      <c r="L378" s="27" t="s">
        <v>114</v>
      </c>
      <c r="M378" t="s">
        <v>46</v>
      </c>
      <c r="N378" t="s">
        <v>160</v>
      </c>
      <c r="O378" t="s">
        <v>48</v>
      </c>
      <c r="P378" t="s">
        <v>160</v>
      </c>
      <c r="Q378" t="s">
        <v>505</v>
      </c>
      <c r="R378" s="27">
        <v>4</v>
      </c>
      <c r="S378" s="1">
        <v>250000</v>
      </c>
      <c r="T378" s="1">
        <f ca="1">ROUND(T_EMPLOYEES[[#This Row],[EMP_CTC1]]/12, 0)</f>
        <v>20833</v>
      </c>
      <c r="U378" s="1">
        <v>150000</v>
      </c>
      <c r="V378" s="1" t="s">
        <v>1238</v>
      </c>
      <c r="W378" s="1" t="s">
        <v>1238</v>
      </c>
      <c r="X37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Sharon  J (1024023)</v>
      </c>
      <c r="Y378">
        <v>120000</v>
      </c>
      <c r="Z378" s="29">
        <f t="shared" ca="1" si="6"/>
        <v>40</v>
      </c>
      <c r="AA378">
        <f ca="1">IF(T_EMPLOYEES[[#This Row],[EMPLOYEE NUMBER]]="","",ROW(T_EMPLOYEES[[#This Row],[EMPLOYEE LABEL]])-ROW(T_EMPLOYEES[[#Headers],[EMPLOYEE LABEL]]))</f>
        <v>375</v>
      </c>
      <c r="AB378">
        <f ca="1">IF(T_EMPLOYEES[[#This Row],[EMPLOYEE NUMBER]]="","",IF(COUNTIF(T_EMPLOYEES[EMPLOYEE NUMBER],T_EMPLOYEES[[#This Row],[EMPLOYEE NUMBER]])&gt;1,1,0))</f>
        <v>0</v>
      </c>
      <c r="AC378">
        <f ca="1">IF(T_EMPLOYEES[[#This Row],[EMPLOYEE NUMBER]]="","",IF(AND(T_EMPLOYEES[[#This Row],[DATE OF BIRTH]]&gt;0,T_EMPLOYEES[[#This Row],[DATE OF BIRTH]]&lt;TODAY()),0,1))</f>
        <v>0</v>
      </c>
      <c r="AD378">
        <f ca="1">IF(T_EMPLOYEES[[#This Row],[EMPLOYEE NUMBER]]="","",IF(AND(T_EMPLOYEES[[#This Row],[START DATE]]&gt;0,T_EMPLOYEES[[#This Row],[START DATE]]&lt;TODAY()+60),0,1))</f>
        <v>0</v>
      </c>
      <c r="AE378">
        <f ca="1">IF(T_EMPLOYEES[[#This Row],[EMPLOYEE NUMBER]]="","",MATCH(T_EMPLOYEES[[#This Row],[GENDER]],L_GENDER,0))</f>
        <v>2</v>
      </c>
      <c r="AF378">
        <f ca="1">IF(T_EMPLOYEES[[#This Row],[EMPLOYEE NUMBER]]="","",MATCH(T_EMPLOYEES[[#This Row],[HIRE SOURCE]],L_HIRESOURCE,0))</f>
        <v>4</v>
      </c>
      <c r="AG378">
        <f ca="1">IF(T_EMPLOYEES[[#This Row],[EMPLOYEE NUMBER]]="","",MATCH(T_EMPLOYEES[[#This Row],[ETHNICITY]],L_ETHNICITY,0))</f>
        <v>3</v>
      </c>
      <c r="AH378">
        <f ca="1">IF(T_EMPLOYEES[[#This Row],[EMPLOYEE NUMBER]]="","",MATCH(T_EMPLOYEES[[#This Row],[LOCATION]],L_LOCATION,0))</f>
        <v>1</v>
      </c>
      <c r="AI378">
        <f ca="1">IF(T_EMPLOYEES[[#This Row],[EMPLOYEE NUMBER]]="","",MATCH(T_EMPLOYEES[[#This Row],[DEPARTMENT]],L_DEPARTMENT,0))</f>
        <v>11</v>
      </c>
      <c r="AJ378">
        <f ca="1">IF(T_EMPLOYEES[[#This Row],[EMPLOYEE NUMBER]]="","",MATCH(T_EMPLOYEES[[#This Row],[JOB TYPE]],L_JOBTYPE,0))</f>
        <v>2</v>
      </c>
      <c r="AK378">
        <f ca="1">IF(T_EMPLOYEES[[#This Row],[EMPLOYEE NUMBER]]="","",MATCH(T_EMPLOYEES[[#This Row],[JOB CATEGORY]],L_JOBCATEGORY,0))</f>
        <v>39</v>
      </c>
      <c r="AL378">
        <f ca="1">IF(T_EMPLOYEES[[#This Row],[EMPLOYEE NUMBER]]="","",MATCH(T_EMPLOYEES[[#This Row],[JOB LEVEL]],L_JOBLEVEL,0))</f>
        <v>2</v>
      </c>
      <c r="AM378">
        <f ca="1">IF(T_EMPLOYEES[[#This Row],[EMPLOYEE NUMBER]]="","",MATCH(T_EMPLOYEES[[#This Row],[JOB TITLE]],L_JOBTITLE,0))</f>
        <v>39</v>
      </c>
      <c r="AN378">
        <f ca="1">IF(T_EMPLOYEES[[#This Row],[EMPLOYEE NUMBER]]="","",MATCH(T_EMPLOYEES[[#This Row],[MANAGER]],L_EMPLABELS,0))</f>
        <v>57</v>
      </c>
      <c r="AO378">
        <f ca="1">IF(T_EMPLOYEES[[#This Row],[EMPLOYEE NUMBER]]="","",IF(T_EMPLOYEES[[#This Row],[ERROR]]="",0,1))</f>
        <v>0</v>
      </c>
      <c r="AP37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9" spans="1:42">
      <c r="A379" t="s">
        <v>1273</v>
      </c>
      <c r="B379" t="s">
        <v>1274</v>
      </c>
      <c r="C379">
        <v>1024946</v>
      </c>
      <c r="D379" t="s">
        <v>1275</v>
      </c>
      <c r="E379" s="26">
        <v>35858</v>
      </c>
      <c r="F379" s="26">
        <v>44287</v>
      </c>
      <c r="H379" t="s">
        <v>40</v>
      </c>
      <c r="I379" t="s">
        <v>54</v>
      </c>
      <c r="J379" t="s">
        <v>64</v>
      </c>
      <c r="K379" t="s">
        <v>30</v>
      </c>
      <c r="L379" s="27" t="s">
        <v>110</v>
      </c>
      <c r="M379" t="s">
        <v>46</v>
      </c>
      <c r="N379" t="s">
        <v>148</v>
      </c>
      <c r="O379" t="s">
        <v>48</v>
      </c>
      <c r="P379" t="s">
        <v>148</v>
      </c>
      <c r="Q379" t="s">
        <v>344</v>
      </c>
      <c r="R379">
        <v>4</v>
      </c>
      <c r="S379" s="1">
        <v>250000</v>
      </c>
      <c r="T379" s="1">
        <f ca="1">ROUND(T_EMPLOYEES[[#This Row],[EMP_CTC1]]/12, 0)</f>
        <v>20833</v>
      </c>
      <c r="U379" s="1">
        <v>150000</v>
      </c>
      <c r="V379" s="1" t="s">
        <v>1238</v>
      </c>
      <c r="W379" s="1" t="s">
        <v>1238</v>
      </c>
      <c r="X37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Aishwarya  Ds (1024946)</v>
      </c>
      <c r="Y379">
        <v>120000</v>
      </c>
      <c r="Z379" s="29">
        <f t="shared" ca="1" si="6"/>
        <v>40</v>
      </c>
      <c r="AA379">
        <f ca="1">IF(T_EMPLOYEES[[#This Row],[EMPLOYEE NUMBER]]="","",ROW(T_EMPLOYEES[[#This Row],[EMPLOYEE LABEL]])-ROW(T_EMPLOYEES[[#Headers],[EMPLOYEE LABEL]]))</f>
        <v>376</v>
      </c>
      <c r="AB379">
        <f ca="1">IF(T_EMPLOYEES[[#This Row],[EMPLOYEE NUMBER]]="","",IF(COUNTIF(T_EMPLOYEES[EMPLOYEE NUMBER],T_EMPLOYEES[[#This Row],[EMPLOYEE NUMBER]])&gt;1,1,0))</f>
        <v>0</v>
      </c>
      <c r="AC379">
        <f ca="1">IF(T_EMPLOYEES[[#This Row],[EMPLOYEE NUMBER]]="","",IF(AND(T_EMPLOYEES[[#This Row],[DATE OF BIRTH]]&gt;0,T_EMPLOYEES[[#This Row],[DATE OF BIRTH]]&lt;TODAY()),0,1))</f>
        <v>0</v>
      </c>
      <c r="AD379">
        <f ca="1">IF(T_EMPLOYEES[[#This Row],[EMPLOYEE NUMBER]]="","",IF(AND(T_EMPLOYEES[[#This Row],[START DATE]]&gt;0,T_EMPLOYEES[[#This Row],[START DATE]]&lt;TODAY()+60),0,1))</f>
        <v>0</v>
      </c>
      <c r="AE379">
        <f ca="1">IF(T_EMPLOYEES[[#This Row],[EMPLOYEE NUMBER]]="","",MATCH(T_EMPLOYEES[[#This Row],[GENDER]],L_GENDER,0))</f>
        <v>2</v>
      </c>
      <c r="AF379">
        <f ca="1">IF(T_EMPLOYEES[[#This Row],[EMPLOYEE NUMBER]]="","",MATCH(T_EMPLOYEES[[#This Row],[HIRE SOURCE]],L_HIRESOURCE,0))</f>
        <v>4</v>
      </c>
      <c r="AG379">
        <f ca="1">IF(T_EMPLOYEES[[#This Row],[EMPLOYEE NUMBER]]="","",MATCH(T_EMPLOYEES[[#This Row],[ETHNICITY]],L_ETHNICITY,0))</f>
        <v>3</v>
      </c>
      <c r="AH379">
        <f ca="1">IF(T_EMPLOYEES[[#This Row],[EMPLOYEE NUMBER]]="","",MATCH(T_EMPLOYEES[[#This Row],[LOCATION]],L_LOCATION,0))</f>
        <v>1</v>
      </c>
      <c r="AI379">
        <f ca="1">IF(T_EMPLOYEES[[#This Row],[EMPLOYEE NUMBER]]="","",MATCH(T_EMPLOYEES[[#This Row],[DEPARTMENT]],L_DEPARTMENT,0))</f>
        <v>10</v>
      </c>
      <c r="AJ379">
        <f ca="1">IF(T_EMPLOYEES[[#This Row],[EMPLOYEE NUMBER]]="","",MATCH(T_EMPLOYEES[[#This Row],[JOB TYPE]],L_JOBTYPE,0))</f>
        <v>2</v>
      </c>
      <c r="AK379">
        <f ca="1">IF(T_EMPLOYEES[[#This Row],[EMPLOYEE NUMBER]]="","",MATCH(T_EMPLOYEES[[#This Row],[JOB CATEGORY]],L_JOBCATEGORY,0))</f>
        <v>27</v>
      </c>
      <c r="AL379">
        <f ca="1">IF(T_EMPLOYEES[[#This Row],[EMPLOYEE NUMBER]]="","",MATCH(T_EMPLOYEES[[#This Row],[JOB LEVEL]],L_JOBLEVEL,0))</f>
        <v>2</v>
      </c>
      <c r="AM379">
        <f ca="1">IF(T_EMPLOYEES[[#This Row],[EMPLOYEE NUMBER]]="","",MATCH(T_EMPLOYEES[[#This Row],[JOB TITLE]],L_JOBTITLE,0))</f>
        <v>27</v>
      </c>
      <c r="AN379">
        <f ca="1">IF(T_EMPLOYEES[[#This Row],[EMPLOYEE NUMBER]]="","",MATCH(T_EMPLOYEES[[#This Row],[MANAGER]],L_EMPLABELS,0))</f>
        <v>12</v>
      </c>
      <c r="AO379">
        <f ca="1">IF(T_EMPLOYEES[[#This Row],[EMPLOYEE NUMBER]]="","",IF(T_EMPLOYEES[[#This Row],[ERROR]]="",0,1))</f>
        <v>0</v>
      </c>
      <c r="AP37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0" spans="1:42">
      <c r="A380" t="s">
        <v>1276</v>
      </c>
      <c r="B380" t="s">
        <v>1277</v>
      </c>
      <c r="C380">
        <v>1021855</v>
      </c>
      <c r="D380" t="s">
        <v>1278</v>
      </c>
      <c r="E380" s="26">
        <v>35859</v>
      </c>
      <c r="F380" s="26">
        <v>43577</v>
      </c>
      <c r="H380" t="s">
        <v>40</v>
      </c>
      <c r="I380" t="s">
        <v>54</v>
      </c>
      <c r="J380" t="s">
        <v>64</v>
      </c>
      <c r="K380" t="s">
        <v>30</v>
      </c>
      <c r="L380" s="27" t="s">
        <v>114</v>
      </c>
      <c r="M380" t="s">
        <v>46</v>
      </c>
      <c r="N380" t="s">
        <v>128</v>
      </c>
      <c r="O380" t="s">
        <v>60</v>
      </c>
      <c r="P380" t="s">
        <v>128</v>
      </c>
      <c r="Q380" t="s">
        <v>505</v>
      </c>
      <c r="R380" s="27">
        <v>4</v>
      </c>
      <c r="S380" s="1">
        <v>250000</v>
      </c>
      <c r="T380" s="1">
        <f ca="1">ROUND(T_EMPLOYEES[[#This Row],[EMP_CTC1]]/12, 0)</f>
        <v>20833</v>
      </c>
      <c r="U380" s="1">
        <v>150000</v>
      </c>
      <c r="V380" s="1" t="s">
        <v>1238</v>
      </c>
      <c r="W380" s="1" t="s">
        <v>1238</v>
      </c>
      <c r="X38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Gayathri  Mariyappan (1021855)</v>
      </c>
      <c r="Y380">
        <v>120000</v>
      </c>
      <c r="Z380" s="29">
        <f t="shared" ca="1" si="6"/>
        <v>40</v>
      </c>
      <c r="AA380">
        <f ca="1">IF(T_EMPLOYEES[[#This Row],[EMPLOYEE NUMBER]]="","",ROW(T_EMPLOYEES[[#This Row],[EMPLOYEE LABEL]])-ROW(T_EMPLOYEES[[#Headers],[EMPLOYEE LABEL]]))</f>
        <v>377</v>
      </c>
      <c r="AB380">
        <f ca="1">IF(T_EMPLOYEES[[#This Row],[EMPLOYEE NUMBER]]="","",IF(COUNTIF(T_EMPLOYEES[EMPLOYEE NUMBER],T_EMPLOYEES[[#This Row],[EMPLOYEE NUMBER]])&gt;1,1,0))</f>
        <v>0</v>
      </c>
      <c r="AC380">
        <f ca="1">IF(T_EMPLOYEES[[#This Row],[EMPLOYEE NUMBER]]="","",IF(AND(T_EMPLOYEES[[#This Row],[DATE OF BIRTH]]&gt;0,T_EMPLOYEES[[#This Row],[DATE OF BIRTH]]&lt;TODAY()),0,1))</f>
        <v>0</v>
      </c>
      <c r="AD380">
        <f ca="1">IF(T_EMPLOYEES[[#This Row],[EMPLOYEE NUMBER]]="","",IF(AND(T_EMPLOYEES[[#This Row],[START DATE]]&gt;0,T_EMPLOYEES[[#This Row],[START DATE]]&lt;TODAY()+60),0,1))</f>
        <v>0</v>
      </c>
      <c r="AE380">
        <f ca="1">IF(T_EMPLOYEES[[#This Row],[EMPLOYEE NUMBER]]="","",MATCH(T_EMPLOYEES[[#This Row],[GENDER]],L_GENDER,0))</f>
        <v>2</v>
      </c>
      <c r="AF380">
        <f ca="1">IF(T_EMPLOYEES[[#This Row],[EMPLOYEE NUMBER]]="","",MATCH(T_EMPLOYEES[[#This Row],[HIRE SOURCE]],L_HIRESOURCE,0))</f>
        <v>4</v>
      </c>
      <c r="AG380">
        <f ca="1">IF(T_EMPLOYEES[[#This Row],[EMPLOYEE NUMBER]]="","",MATCH(T_EMPLOYEES[[#This Row],[ETHNICITY]],L_ETHNICITY,0))</f>
        <v>3</v>
      </c>
      <c r="AH380">
        <f ca="1">IF(T_EMPLOYEES[[#This Row],[EMPLOYEE NUMBER]]="","",MATCH(T_EMPLOYEES[[#This Row],[LOCATION]],L_LOCATION,0))</f>
        <v>1</v>
      </c>
      <c r="AI380">
        <f ca="1">IF(T_EMPLOYEES[[#This Row],[EMPLOYEE NUMBER]]="","",MATCH(T_EMPLOYEES[[#This Row],[DEPARTMENT]],L_DEPARTMENT,0))</f>
        <v>11</v>
      </c>
      <c r="AJ380">
        <f ca="1">IF(T_EMPLOYEES[[#This Row],[EMPLOYEE NUMBER]]="","",MATCH(T_EMPLOYEES[[#This Row],[JOB TYPE]],L_JOBTYPE,0))</f>
        <v>2</v>
      </c>
      <c r="AK380">
        <f ca="1">IF(T_EMPLOYEES[[#This Row],[EMPLOYEE NUMBER]]="","",MATCH(T_EMPLOYEES[[#This Row],[JOB CATEGORY]],L_JOBCATEGORY,0))</f>
        <v>15</v>
      </c>
      <c r="AL380">
        <f ca="1">IF(T_EMPLOYEES[[#This Row],[EMPLOYEE NUMBER]]="","",MATCH(T_EMPLOYEES[[#This Row],[JOB LEVEL]],L_JOBLEVEL,0))</f>
        <v>3</v>
      </c>
      <c r="AM380">
        <f ca="1">IF(T_EMPLOYEES[[#This Row],[EMPLOYEE NUMBER]]="","",MATCH(T_EMPLOYEES[[#This Row],[JOB TITLE]],L_JOBTITLE,0))</f>
        <v>15</v>
      </c>
      <c r="AN380">
        <f ca="1">IF(T_EMPLOYEES[[#This Row],[EMPLOYEE NUMBER]]="","",MATCH(T_EMPLOYEES[[#This Row],[MANAGER]],L_EMPLABELS,0))</f>
        <v>57</v>
      </c>
      <c r="AO380">
        <f ca="1">IF(T_EMPLOYEES[[#This Row],[EMPLOYEE NUMBER]]="","",IF(T_EMPLOYEES[[#This Row],[ERROR]]="",0,1))</f>
        <v>0</v>
      </c>
      <c r="AP38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1" spans="1:42">
      <c r="A381" t="s">
        <v>1208</v>
      </c>
      <c r="B381" t="s">
        <v>1279</v>
      </c>
      <c r="C381">
        <v>1031063</v>
      </c>
      <c r="D381" t="s">
        <v>1280</v>
      </c>
      <c r="E381" s="26">
        <v>35859</v>
      </c>
      <c r="F381" s="26">
        <v>44889</v>
      </c>
      <c r="H381" t="s">
        <v>27</v>
      </c>
      <c r="I381" t="s">
        <v>54</v>
      </c>
      <c r="J381" t="s">
        <v>64</v>
      </c>
      <c r="K381" t="s">
        <v>30</v>
      </c>
      <c r="L381" s="27" t="s">
        <v>114</v>
      </c>
      <c r="M381" t="s">
        <v>46</v>
      </c>
      <c r="N381" t="s">
        <v>151</v>
      </c>
      <c r="O381" t="s">
        <v>36</v>
      </c>
      <c r="P381" t="s">
        <v>151</v>
      </c>
      <c r="Q381" t="s">
        <v>206</v>
      </c>
      <c r="R381">
        <v>0</v>
      </c>
      <c r="S381" s="1">
        <v>250000</v>
      </c>
      <c r="T381" s="1">
        <f ca="1">ROUND(T_EMPLOYEES[[#This Row],[EMP_CTC1]]/12, 0)</f>
        <v>20833</v>
      </c>
      <c r="U381" s="1">
        <v>150000</v>
      </c>
      <c r="V381" s="1" t="s">
        <v>1238</v>
      </c>
      <c r="W381" s="1" t="s">
        <v>1238</v>
      </c>
      <c r="X38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Rushikesh Balu Chaudhar (1031063)</v>
      </c>
      <c r="Y381">
        <v>120000</v>
      </c>
      <c r="Z381" s="29">
        <f t="shared" ca="1" si="6"/>
        <v>40</v>
      </c>
      <c r="AA381">
        <f ca="1">IF(T_EMPLOYEES[[#This Row],[EMPLOYEE NUMBER]]="","",ROW(T_EMPLOYEES[[#This Row],[EMPLOYEE LABEL]])-ROW(T_EMPLOYEES[[#Headers],[EMPLOYEE LABEL]]))</f>
        <v>378</v>
      </c>
      <c r="AB381">
        <f ca="1">IF(T_EMPLOYEES[[#This Row],[EMPLOYEE NUMBER]]="","",IF(COUNTIF(T_EMPLOYEES[EMPLOYEE NUMBER],T_EMPLOYEES[[#This Row],[EMPLOYEE NUMBER]])&gt;1,1,0))</f>
        <v>0</v>
      </c>
      <c r="AC381">
        <f ca="1">IF(T_EMPLOYEES[[#This Row],[EMPLOYEE NUMBER]]="","",IF(AND(T_EMPLOYEES[[#This Row],[DATE OF BIRTH]]&gt;0,T_EMPLOYEES[[#This Row],[DATE OF BIRTH]]&lt;TODAY()),0,1))</f>
        <v>0</v>
      </c>
      <c r="AD381">
        <f ca="1">IF(T_EMPLOYEES[[#This Row],[EMPLOYEE NUMBER]]="","",IF(AND(T_EMPLOYEES[[#This Row],[START DATE]]&gt;0,T_EMPLOYEES[[#This Row],[START DATE]]&lt;TODAY()+60),0,1))</f>
        <v>0</v>
      </c>
      <c r="AE381">
        <f ca="1">IF(T_EMPLOYEES[[#This Row],[EMPLOYEE NUMBER]]="","",MATCH(T_EMPLOYEES[[#This Row],[GENDER]],L_GENDER,0))</f>
        <v>1</v>
      </c>
      <c r="AF381">
        <f ca="1">IF(T_EMPLOYEES[[#This Row],[EMPLOYEE NUMBER]]="","",MATCH(T_EMPLOYEES[[#This Row],[HIRE SOURCE]],L_HIRESOURCE,0))</f>
        <v>4</v>
      </c>
      <c r="AG381">
        <f ca="1">IF(T_EMPLOYEES[[#This Row],[EMPLOYEE NUMBER]]="","",MATCH(T_EMPLOYEES[[#This Row],[ETHNICITY]],L_ETHNICITY,0))</f>
        <v>3</v>
      </c>
      <c r="AH381">
        <f ca="1">IF(T_EMPLOYEES[[#This Row],[EMPLOYEE NUMBER]]="","",MATCH(T_EMPLOYEES[[#This Row],[LOCATION]],L_LOCATION,0))</f>
        <v>1</v>
      </c>
      <c r="AI381">
        <f ca="1">IF(T_EMPLOYEES[[#This Row],[EMPLOYEE NUMBER]]="","",MATCH(T_EMPLOYEES[[#This Row],[DEPARTMENT]],L_DEPARTMENT,0))</f>
        <v>11</v>
      </c>
      <c r="AJ381">
        <f ca="1">IF(T_EMPLOYEES[[#This Row],[EMPLOYEE NUMBER]]="","",MATCH(T_EMPLOYEES[[#This Row],[JOB TYPE]],L_JOBTYPE,0))</f>
        <v>2</v>
      </c>
      <c r="AK381">
        <f ca="1">IF(T_EMPLOYEES[[#This Row],[EMPLOYEE NUMBER]]="","",MATCH(T_EMPLOYEES[[#This Row],[JOB CATEGORY]],L_JOBCATEGORY,0))</f>
        <v>30</v>
      </c>
      <c r="AL381">
        <f ca="1">IF(T_EMPLOYEES[[#This Row],[EMPLOYEE NUMBER]]="","",MATCH(T_EMPLOYEES[[#This Row],[JOB LEVEL]],L_JOBLEVEL,0))</f>
        <v>1</v>
      </c>
      <c r="AM381">
        <f ca="1">IF(T_EMPLOYEES[[#This Row],[EMPLOYEE NUMBER]]="","",MATCH(T_EMPLOYEES[[#This Row],[JOB TITLE]],L_JOBTITLE,0))</f>
        <v>30</v>
      </c>
      <c r="AN381">
        <f ca="1">IF(T_EMPLOYEES[[#This Row],[EMPLOYEE NUMBER]]="","",MATCH(T_EMPLOYEES[[#This Row],[MANAGER]],L_EMPLABELS,0))</f>
        <v>6</v>
      </c>
      <c r="AO381">
        <f ca="1">IF(T_EMPLOYEES[[#This Row],[EMPLOYEE NUMBER]]="","",IF(T_EMPLOYEES[[#This Row],[ERROR]]="",0,1))</f>
        <v>0</v>
      </c>
      <c r="AP38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2" spans="1:42">
      <c r="A382" t="s">
        <v>1281</v>
      </c>
      <c r="B382" t="s">
        <v>1282</v>
      </c>
      <c r="C382">
        <v>1029912</v>
      </c>
      <c r="D382" t="s">
        <v>1283</v>
      </c>
      <c r="E382" s="26">
        <v>35901</v>
      </c>
      <c r="F382" s="26">
        <v>44791</v>
      </c>
      <c r="H382" t="s">
        <v>27</v>
      </c>
      <c r="I382" t="s">
        <v>54</v>
      </c>
      <c r="J382" t="s">
        <v>64</v>
      </c>
      <c r="K382" t="s">
        <v>43</v>
      </c>
      <c r="L382" s="27" t="s">
        <v>45</v>
      </c>
      <c r="M382" t="s">
        <v>46</v>
      </c>
      <c r="N382" t="s">
        <v>151</v>
      </c>
      <c r="O382" t="s">
        <v>36</v>
      </c>
      <c r="P382" t="s">
        <v>151</v>
      </c>
      <c r="Q382" t="s">
        <v>1231</v>
      </c>
      <c r="R382" s="27">
        <v>0</v>
      </c>
      <c r="S382" s="1">
        <v>250000</v>
      </c>
      <c r="T382" s="1">
        <f ca="1">ROUND(T_EMPLOYEES[[#This Row],[EMP_CTC1]]/12, 0)</f>
        <v>20833</v>
      </c>
      <c r="U382" s="1">
        <v>150000</v>
      </c>
      <c r="V382" s="1" t="s">
        <v>1238</v>
      </c>
      <c r="W382" s="1" t="s">
        <v>1238</v>
      </c>
      <c r="X38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Lingampally Ramesh (1029912)</v>
      </c>
      <c r="Y382">
        <v>120000</v>
      </c>
      <c r="Z382" s="29">
        <f t="shared" ca="1" si="6"/>
        <v>40</v>
      </c>
      <c r="AA382">
        <f ca="1">IF(T_EMPLOYEES[[#This Row],[EMPLOYEE NUMBER]]="","",ROW(T_EMPLOYEES[[#This Row],[EMPLOYEE LABEL]])-ROW(T_EMPLOYEES[[#Headers],[EMPLOYEE LABEL]]))</f>
        <v>379</v>
      </c>
      <c r="AB382">
        <f ca="1">IF(T_EMPLOYEES[[#This Row],[EMPLOYEE NUMBER]]="","",IF(COUNTIF(T_EMPLOYEES[EMPLOYEE NUMBER],T_EMPLOYEES[[#This Row],[EMPLOYEE NUMBER]])&gt;1,1,0))</f>
        <v>0</v>
      </c>
      <c r="AC382">
        <f ca="1">IF(T_EMPLOYEES[[#This Row],[EMPLOYEE NUMBER]]="","",IF(AND(T_EMPLOYEES[[#This Row],[DATE OF BIRTH]]&gt;0,T_EMPLOYEES[[#This Row],[DATE OF BIRTH]]&lt;TODAY()),0,1))</f>
        <v>0</v>
      </c>
      <c r="AD382">
        <f ca="1">IF(T_EMPLOYEES[[#This Row],[EMPLOYEE NUMBER]]="","",IF(AND(T_EMPLOYEES[[#This Row],[START DATE]]&gt;0,T_EMPLOYEES[[#This Row],[START DATE]]&lt;TODAY()+60),0,1))</f>
        <v>0</v>
      </c>
      <c r="AE382">
        <f ca="1">IF(T_EMPLOYEES[[#This Row],[EMPLOYEE NUMBER]]="","",MATCH(T_EMPLOYEES[[#This Row],[GENDER]],L_GENDER,0))</f>
        <v>1</v>
      </c>
      <c r="AF382">
        <f ca="1">IF(T_EMPLOYEES[[#This Row],[EMPLOYEE NUMBER]]="","",MATCH(T_EMPLOYEES[[#This Row],[HIRE SOURCE]],L_HIRESOURCE,0))</f>
        <v>4</v>
      </c>
      <c r="AG382">
        <f ca="1">IF(T_EMPLOYEES[[#This Row],[EMPLOYEE NUMBER]]="","",MATCH(T_EMPLOYEES[[#This Row],[ETHNICITY]],L_ETHNICITY,0))</f>
        <v>3</v>
      </c>
      <c r="AH382">
        <f ca="1">IF(T_EMPLOYEES[[#This Row],[EMPLOYEE NUMBER]]="","",MATCH(T_EMPLOYEES[[#This Row],[LOCATION]],L_LOCATION,0))</f>
        <v>2</v>
      </c>
      <c r="AI382">
        <f ca="1">IF(T_EMPLOYEES[[#This Row],[EMPLOYEE NUMBER]]="","",MATCH(T_EMPLOYEES[[#This Row],[DEPARTMENT]],L_DEPARTMENT,0))</f>
        <v>2</v>
      </c>
      <c r="AJ382">
        <f ca="1">IF(T_EMPLOYEES[[#This Row],[EMPLOYEE NUMBER]]="","",MATCH(T_EMPLOYEES[[#This Row],[JOB TYPE]],L_JOBTYPE,0))</f>
        <v>2</v>
      </c>
      <c r="AK382">
        <f ca="1">IF(T_EMPLOYEES[[#This Row],[EMPLOYEE NUMBER]]="","",MATCH(T_EMPLOYEES[[#This Row],[JOB CATEGORY]],L_JOBCATEGORY,0))</f>
        <v>30</v>
      </c>
      <c r="AL382">
        <f ca="1">IF(T_EMPLOYEES[[#This Row],[EMPLOYEE NUMBER]]="","",MATCH(T_EMPLOYEES[[#This Row],[JOB LEVEL]],L_JOBLEVEL,0))</f>
        <v>1</v>
      </c>
      <c r="AM382">
        <f ca="1">IF(T_EMPLOYEES[[#This Row],[EMPLOYEE NUMBER]]="","",MATCH(T_EMPLOYEES[[#This Row],[JOB TITLE]],L_JOBTITLE,0))</f>
        <v>30</v>
      </c>
      <c r="AN382">
        <f ca="1">IF(T_EMPLOYEES[[#This Row],[EMPLOYEE NUMBER]]="","",MATCH(T_EMPLOYEES[[#This Row],[MANAGER]],L_EMPLABELS,0))</f>
        <v>270</v>
      </c>
      <c r="AO382">
        <f ca="1">IF(T_EMPLOYEES[[#This Row],[EMPLOYEE NUMBER]]="","",IF(T_EMPLOYEES[[#This Row],[ERROR]]="",0,1))</f>
        <v>0</v>
      </c>
      <c r="AP38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3" spans="1:42">
      <c r="A383" t="s">
        <v>1284</v>
      </c>
      <c r="B383" t="s">
        <v>551</v>
      </c>
      <c r="C383">
        <v>1024957</v>
      </c>
      <c r="D383" t="s">
        <v>1285</v>
      </c>
      <c r="E383" s="26">
        <v>35902</v>
      </c>
      <c r="F383" s="26">
        <v>44287</v>
      </c>
      <c r="H383" t="s">
        <v>40</v>
      </c>
      <c r="I383" t="s">
        <v>54</v>
      </c>
      <c r="J383" t="s">
        <v>64</v>
      </c>
      <c r="K383" t="s">
        <v>43</v>
      </c>
      <c r="L383" s="27" t="s">
        <v>45</v>
      </c>
      <c r="M383" t="s">
        <v>46</v>
      </c>
      <c r="N383" t="s">
        <v>148</v>
      </c>
      <c r="O383" t="s">
        <v>48</v>
      </c>
      <c r="P383" t="s">
        <v>148</v>
      </c>
      <c r="Q383" t="s">
        <v>222</v>
      </c>
      <c r="R383">
        <v>4</v>
      </c>
      <c r="S383" s="1">
        <v>250000</v>
      </c>
      <c r="T383" s="1">
        <f ca="1">ROUND(T_EMPLOYEES[[#This Row],[EMP_CTC1]]/12, 0)</f>
        <v>20833</v>
      </c>
      <c r="U383" s="1">
        <v>150000</v>
      </c>
      <c r="V383" s="1" t="s">
        <v>1238</v>
      </c>
      <c r="W383" s="1" t="s">
        <v>1238</v>
      </c>
      <c r="X38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Shreedevi  K (1024957)</v>
      </c>
      <c r="Y383">
        <v>120000</v>
      </c>
      <c r="Z383" s="29">
        <f t="shared" ca="1" si="6"/>
        <v>40</v>
      </c>
      <c r="AA383">
        <f ca="1">IF(T_EMPLOYEES[[#This Row],[EMPLOYEE NUMBER]]="","",ROW(T_EMPLOYEES[[#This Row],[EMPLOYEE LABEL]])-ROW(T_EMPLOYEES[[#Headers],[EMPLOYEE LABEL]]))</f>
        <v>380</v>
      </c>
      <c r="AB383">
        <f ca="1">IF(T_EMPLOYEES[[#This Row],[EMPLOYEE NUMBER]]="","",IF(COUNTIF(T_EMPLOYEES[EMPLOYEE NUMBER],T_EMPLOYEES[[#This Row],[EMPLOYEE NUMBER]])&gt;1,1,0))</f>
        <v>0</v>
      </c>
      <c r="AC383">
        <f ca="1">IF(T_EMPLOYEES[[#This Row],[EMPLOYEE NUMBER]]="","",IF(AND(T_EMPLOYEES[[#This Row],[DATE OF BIRTH]]&gt;0,T_EMPLOYEES[[#This Row],[DATE OF BIRTH]]&lt;TODAY()),0,1))</f>
        <v>0</v>
      </c>
      <c r="AD383">
        <f ca="1">IF(T_EMPLOYEES[[#This Row],[EMPLOYEE NUMBER]]="","",IF(AND(T_EMPLOYEES[[#This Row],[START DATE]]&gt;0,T_EMPLOYEES[[#This Row],[START DATE]]&lt;TODAY()+60),0,1))</f>
        <v>0</v>
      </c>
      <c r="AE383">
        <f ca="1">IF(T_EMPLOYEES[[#This Row],[EMPLOYEE NUMBER]]="","",MATCH(T_EMPLOYEES[[#This Row],[GENDER]],L_GENDER,0))</f>
        <v>2</v>
      </c>
      <c r="AF383">
        <f ca="1">IF(T_EMPLOYEES[[#This Row],[EMPLOYEE NUMBER]]="","",MATCH(T_EMPLOYEES[[#This Row],[HIRE SOURCE]],L_HIRESOURCE,0))</f>
        <v>4</v>
      </c>
      <c r="AG383">
        <f ca="1">IF(T_EMPLOYEES[[#This Row],[EMPLOYEE NUMBER]]="","",MATCH(T_EMPLOYEES[[#This Row],[ETHNICITY]],L_ETHNICITY,0))</f>
        <v>3</v>
      </c>
      <c r="AH383">
        <f ca="1">IF(T_EMPLOYEES[[#This Row],[EMPLOYEE NUMBER]]="","",MATCH(T_EMPLOYEES[[#This Row],[LOCATION]],L_LOCATION,0))</f>
        <v>2</v>
      </c>
      <c r="AI383">
        <f ca="1">IF(T_EMPLOYEES[[#This Row],[EMPLOYEE NUMBER]]="","",MATCH(T_EMPLOYEES[[#This Row],[DEPARTMENT]],L_DEPARTMENT,0))</f>
        <v>2</v>
      </c>
      <c r="AJ383">
        <f ca="1">IF(T_EMPLOYEES[[#This Row],[EMPLOYEE NUMBER]]="","",MATCH(T_EMPLOYEES[[#This Row],[JOB TYPE]],L_JOBTYPE,0))</f>
        <v>2</v>
      </c>
      <c r="AK383">
        <f ca="1">IF(T_EMPLOYEES[[#This Row],[EMPLOYEE NUMBER]]="","",MATCH(T_EMPLOYEES[[#This Row],[JOB CATEGORY]],L_JOBCATEGORY,0))</f>
        <v>27</v>
      </c>
      <c r="AL383">
        <f ca="1">IF(T_EMPLOYEES[[#This Row],[EMPLOYEE NUMBER]]="","",MATCH(T_EMPLOYEES[[#This Row],[JOB LEVEL]],L_JOBLEVEL,0))</f>
        <v>2</v>
      </c>
      <c r="AM383">
        <f ca="1">IF(T_EMPLOYEES[[#This Row],[EMPLOYEE NUMBER]]="","",MATCH(T_EMPLOYEES[[#This Row],[JOB TITLE]],L_JOBTITLE,0))</f>
        <v>27</v>
      </c>
      <c r="AN383">
        <f ca="1">IF(T_EMPLOYEES[[#This Row],[EMPLOYEE NUMBER]]="","",MATCH(T_EMPLOYEES[[#This Row],[MANAGER]],L_EMPLABELS,0))</f>
        <v>69</v>
      </c>
      <c r="AO383">
        <f ca="1">IF(T_EMPLOYEES[[#This Row],[EMPLOYEE NUMBER]]="","",IF(T_EMPLOYEES[[#This Row],[ERROR]]="",0,1))</f>
        <v>0</v>
      </c>
      <c r="AP38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4" spans="1:42">
      <c r="A384" t="s">
        <v>1286</v>
      </c>
      <c r="B384" t="s">
        <v>1287</v>
      </c>
      <c r="C384">
        <v>1026542</v>
      </c>
      <c r="D384" t="s">
        <v>1288</v>
      </c>
      <c r="E384" s="26">
        <v>35914</v>
      </c>
      <c r="F384" s="26">
        <v>44463</v>
      </c>
      <c r="H384" t="s">
        <v>27</v>
      </c>
      <c r="I384" t="s">
        <v>54</v>
      </c>
      <c r="J384" t="s">
        <v>64</v>
      </c>
      <c r="K384" t="s">
        <v>30</v>
      </c>
      <c r="L384" s="27" t="s">
        <v>45</v>
      </c>
      <c r="M384" t="s">
        <v>46</v>
      </c>
      <c r="N384" t="s">
        <v>148</v>
      </c>
      <c r="O384" t="s">
        <v>48</v>
      </c>
      <c r="P384" t="s">
        <v>148</v>
      </c>
      <c r="Q384" t="s">
        <v>222</v>
      </c>
      <c r="R384" s="27">
        <v>4</v>
      </c>
      <c r="S384" s="1">
        <v>250000</v>
      </c>
      <c r="T384" s="1">
        <f ca="1">ROUND(T_EMPLOYEES[[#This Row],[EMP_CTC1]]/12, 0)</f>
        <v>20833</v>
      </c>
      <c r="U384" s="1">
        <v>150000</v>
      </c>
      <c r="V384" s="1" t="s">
        <v>1238</v>
      </c>
      <c r="W384" s="1" t="s">
        <v>1238</v>
      </c>
      <c r="X38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Gore Hussain Valli (1026542)</v>
      </c>
      <c r="Y384">
        <v>120000</v>
      </c>
      <c r="Z384" s="29">
        <f t="shared" ca="1" si="6"/>
        <v>40</v>
      </c>
      <c r="AA384">
        <f ca="1">IF(T_EMPLOYEES[[#This Row],[EMPLOYEE NUMBER]]="","",ROW(T_EMPLOYEES[[#This Row],[EMPLOYEE LABEL]])-ROW(T_EMPLOYEES[[#Headers],[EMPLOYEE LABEL]]))</f>
        <v>381</v>
      </c>
      <c r="AB384">
        <f ca="1">IF(T_EMPLOYEES[[#This Row],[EMPLOYEE NUMBER]]="","",IF(COUNTIF(T_EMPLOYEES[EMPLOYEE NUMBER],T_EMPLOYEES[[#This Row],[EMPLOYEE NUMBER]])&gt;1,1,0))</f>
        <v>0</v>
      </c>
      <c r="AC384">
        <f ca="1">IF(T_EMPLOYEES[[#This Row],[EMPLOYEE NUMBER]]="","",IF(AND(T_EMPLOYEES[[#This Row],[DATE OF BIRTH]]&gt;0,T_EMPLOYEES[[#This Row],[DATE OF BIRTH]]&lt;TODAY()),0,1))</f>
        <v>0</v>
      </c>
      <c r="AD384">
        <f ca="1">IF(T_EMPLOYEES[[#This Row],[EMPLOYEE NUMBER]]="","",IF(AND(T_EMPLOYEES[[#This Row],[START DATE]]&gt;0,T_EMPLOYEES[[#This Row],[START DATE]]&lt;TODAY()+60),0,1))</f>
        <v>0</v>
      </c>
      <c r="AE384">
        <f ca="1">IF(T_EMPLOYEES[[#This Row],[EMPLOYEE NUMBER]]="","",MATCH(T_EMPLOYEES[[#This Row],[GENDER]],L_GENDER,0))</f>
        <v>1</v>
      </c>
      <c r="AF384">
        <f ca="1">IF(T_EMPLOYEES[[#This Row],[EMPLOYEE NUMBER]]="","",MATCH(T_EMPLOYEES[[#This Row],[HIRE SOURCE]],L_HIRESOURCE,0))</f>
        <v>4</v>
      </c>
      <c r="AG384">
        <f ca="1">IF(T_EMPLOYEES[[#This Row],[EMPLOYEE NUMBER]]="","",MATCH(T_EMPLOYEES[[#This Row],[ETHNICITY]],L_ETHNICITY,0))</f>
        <v>3</v>
      </c>
      <c r="AH384">
        <f ca="1">IF(T_EMPLOYEES[[#This Row],[EMPLOYEE NUMBER]]="","",MATCH(T_EMPLOYEES[[#This Row],[LOCATION]],L_LOCATION,0))</f>
        <v>1</v>
      </c>
      <c r="AI384">
        <f ca="1">IF(T_EMPLOYEES[[#This Row],[EMPLOYEE NUMBER]]="","",MATCH(T_EMPLOYEES[[#This Row],[DEPARTMENT]],L_DEPARTMENT,0))</f>
        <v>2</v>
      </c>
      <c r="AJ384">
        <f ca="1">IF(T_EMPLOYEES[[#This Row],[EMPLOYEE NUMBER]]="","",MATCH(T_EMPLOYEES[[#This Row],[JOB TYPE]],L_JOBTYPE,0))</f>
        <v>2</v>
      </c>
      <c r="AK384">
        <f ca="1">IF(T_EMPLOYEES[[#This Row],[EMPLOYEE NUMBER]]="","",MATCH(T_EMPLOYEES[[#This Row],[JOB CATEGORY]],L_JOBCATEGORY,0))</f>
        <v>27</v>
      </c>
      <c r="AL384">
        <f ca="1">IF(T_EMPLOYEES[[#This Row],[EMPLOYEE NUMBER]]="","",MATCH(T_EMPLOYEES[[#This Row],[JOB LEVEL]],L_JOBLEVEL,0))</f>
        <v>2</v>
      </c>
      <c r="AM384">
        <f ca="1">IF(T_EMPLOYEES[[#This Row],[EMPLOYEE NUMBER]]="","",MATCH(T_EMPLOYEES[[#This Row],[JOB TITLE]],L_JOBTITLE,0))</f>
        <v>27</v>
      </c>
      <c r="AN384">
        <f ca="1">IF(T_EMPLOYEES[[#This Row],[EMPLOYEE NUMBER]]="","",MATCH(T_EMPLOYEES[[#This Row],[MANAGER]],L_EMPLABELS,0))</f>
        <v>69</v>
      </c>
      <c r="AO384">
        <f ca="1">IF(T_EMPLOYEES[[#This Row],[EMPLOYEE NUMBER]]="","",IF(T_EMPLOYEES[[#This Row],[ERROR]]="",0,1))</f>
        <v>0</v>
      </c>
      <c r="AP38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5" spans="1:42">
      <c r="A385" t="s">
        <v>550</v>
      </c>
      <c r="B385" t="s">
        <v>39</v>
      </c>
      <c r="C385">
        <v>1027163</v>
      </c>
      <c r="D385" t="s">
        <v>1289</v>
      </c>
      <c r="E385" s="26">
        <v>35918</v>
      </c>
      <c r="F385" s="26">
        <v>44512</v>
      </c>
      <c r="H385" t="s">
        <v>27</v>
      </c>
      <c r="I385" t="s">
        <v>54</v>
      </c>
      <c r="J385" t="s">
        <v>64</v>
      </c>
      <c r="K385" t="s">
        <v>43</v>
      </c>
      <c r="L385" s="27" t="s">
        <v>45</v>
      </c>
      <c r="M385" t="s">
        <v>46</v>
      </c>
      <c r="N385" t="s">
        <v>148</v>
      </c>
      <c r="O385" t="s">
        <v>48</v>
      </c>
      <c r="P385" t="s">
        <v>148</v>
      </c>
      <c r="Q385" t="s">
        <v>1185</v>
      </c>
      <c r="R385">
        <v>4</v>
      </c>
      <c r="S385" s="1">
        <v>250000</v>
      </c>
      <c r="T385" s="1">
        <f ca="1">ROUND(T_EMPLOYEES[[#This Row],[EMP_CTC1]]/12, 0)</f>
        <v>20833</v>
      </c>
      <c r="U385" s="1">
        <v>150000</v>
      </c>
      <c r="V385" s="1" t="s">
        <v>1238</v>
      </c>
      <c r="W385" s="1" t="s">
        <v>1238</v>
      </c>
      <c r="X38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Abhishek V (1027163)</v>
      </c>
      <c r="Y385">
        <v>120000</v>
      </c>
      <c r="Z385" s="29">
        <f t="shared" ca="1" si="6"/>
        <v>40</v>
      </c>
      <c r="AA385">
        <f ca="1">IF(T_EMPLOYEES[[#This Row],[EMPLOYEE NUMBER]]="","",ROW(T_EMPLOYEES[[#This Row],[EMPLOYEE LABEL]])-ROW(T_EMPLOYEES[[#Headers],[EMPLOYEE LABEL]]))</f>
        <v>382</v>
      </c>
      <c r="AB385">
        <f ca="1">IF(T_EMPLOYEES[[#This Row],[EMPLOYEE NUMBER]]="","",IF(COUNTIF(T_EMPLOYEES[EMPLOYEE NUMBER],T_EMPLOYEES[[#This Row],[EMPLOYEE NUMBER]])&gt;1,1,0))</f>
        <v>0</v>
      </c>
      <c r="AC385">
        <f ca="1">IF(T_EMPLOYEES[[#This Row],[EMPLOYEE NUMBER]]="","",IF(AND(T_EMPLOYEES[[#This Row],[DATE OF BIRTH]]&gt;0,T_EMPLOYEES[[#This Row],[DATE OF BIRTH]]&lt;TODAY()),0,1))</f>
        <v>0</v>
      </c>
      <c r="AD385">
        <f ca="1">IF(T_EMPLOYEES[[#This Row],[EMPLOYEE NUMBER]]="","",IF(AND(T_EMPLOYEES[[#This Row],[START DATE]]&gt;0,T_EMPLOYEES[[#This Row],[START DATE]]&lt;TODAY()+60),0,1))</f>
        <v>0</v>
      </c>
      <c r="AE385">
        <f ca="1">IF(T_EMPLOYEES[[#This Row],[EMPLOYEE NUMBER]]="","",MATCH(T_EMPLOYEES[[#This Row],[GENDER]],L_GENDER,0))</f>
        <v>1</v>
      </c>
      <c r="AF385">
        <f ca="1">IF(T_EMPLOYEES[[#This Row],[EMPLOYEE NUMBER]]="","",MATCH(T_EMPLOYEES[[#This Row],[HIRE SOURCE]],L_HIRESOURCE,0))</f>
        <v>4</v>
      </c>
      <c r="AG385">
        <f ca="1">IF(T_EMPLOYEES[[#This Row],[EMPLOYEE NUMBER]]="","",MATCH(T_EMPLOYEES[[#This Row],[ETHNICITY]],L_ETHNICITY,0))</f>
        <v>3</v>
      </c>
      <c r="AH385">
        <f ca="1">IF(T_EMPLOYEES[[#This Row],[EMPLOYEE NUMBER]]="","",MATCH(T_EMPLOYEES[[#This Row],[LOCATION]],L_LOCATION,0))</f>
        <v>2</v>
      </c>
      <c r="AI385">
        <f ca="1">IF(T_EMPLOYEES[[#This Row],[EMPLOYEE NUMBER]]="","",MATCH(T_EMPLOYEES[[#This Row],[DEPARTMENT]],L_DEPARTMENT,0))</f>
        <v>2</v>
      </c>
      <c r="AJ385">
        <f ca="1">IF(T_EMPLOYEES[[#This Row],[EMPLOYEE NUMBER]]="","",MATCH(T_EMPLOYEES[[#This Row],[JOB TYPE]],L_JOBTYPE,0))</f>
        <v>2</v>
      </c>
      <c r="AK385">
        <f ca="1">IF(T_EMPLOYEES[[#This Row],[EMPLOYEE NUMBER]]="","",MATCH(T_EMPLOYEES[[#This Row],[JOB CATEGORY]],L_JOBCATEGORY,0))</f>
        <v>27</v>
      </c>
      <c r="AL385">
        <f ca="1">IF(T_EMPLOYEES[[#This Row],[EMPLOYEE NUMBER]]="","",MATCH(T_EMPLOYEES[[#This Row],[JOB LEVEL]],L_JOBLEVEL,0))</f>
        <v>2</v>
      </c>
      <c r="AM385">
        <f ca="1">IF(T_EMPLOYEES[[#This Row],[EMPLOYEE NUMBER]]="","",MATCH(T_EMPLOYEES[[#This Row],[JOB TITLE]],L_JOBTITLE,0))</f>
        <v>27</v>
      </c>
      <c r="AN385">
        <f ca="1">IF(T_EMPLOYEES[[#This Row],[EMPLOYEE NUMBER]]="","",MATCH(T_EMPLOYEES[[#This Row],[MANAGER]],L_EMPLABELS,0))</f>
        <v>216</v>
      </c>
      <c r="AO385">
        <f ca="1">IF(T_EMPLOYEES[[#This Row],[EMPLOYEE NUMBER]]="","",IF(T_EMPLOYEES[[#This Row],[ERROR]]="",0,1))</f>
        <v>0</v>
      </c>
      <c r="AP38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6" spans="1:42">
      <c r="A386" t="s">
        <v>1040</v>
      </c>
      <c r="B386" t="s">
        <v>51</v>
      </c>
      <c r="C386">
        <v>1033710</v>
      </c>
      <c r="D386" t="s">
        <v>1290</v>
      </c>
      <c r="E386" s="26">
        <v>35919</v>
      </c>
      <c r="F386" s="26">
        <v>45210</v>
      </c>
      <c r="H386" t="s">
        <v>27</v>
      </c>
      <c r="I386" t="s">
        <v>54</v>
      </c>
      <c r="J386" t="s">
        <v>64</v>
      </c>
      <c r="K386" t="s">
        <v>43</v>
      </c>
      <c r="L386" s="27" t="s">
        <v>45</v>
      </c>
      <c r="M386" t="s">
        <v>46</v>
      </c>
      <c r="N386" t="s">
        <v>160</v>
      </c>
      <c r="O386" t="s">
        <v>48</v>
      </c>
      <c r="P386" t="s">
        <v>160</v>
      </c>
      <c r="Q386" t="s">
        <v>288</v>
      </c>
      <c r="R386" s="27">
        <v>4</v>
      </c>
      <c r="S386" s="1">
        <v>250000</v>
      </c>
      <c r="T386" s="1">
        <f ca="1">ROUND(T_EMPLOYEES[[#This Row],[EMP_CTC1]]/12, 0)</f>
        <v>20833</v>
      </c>
      <c r="U386" s="1">
        <v>150000</v>
      </c>
      <c r="V386" s="1" t="s">
        <v>1238</v>
      </c>
      <c r="W386" s="1" t="s">
        <v>1238</v>
      </c>
      <c r="X38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Nikhil S (1033710)</v>
      </c>
      <c r="Y386">
        <v>120000</v>
      </c>
      <c r="Z386" s="29">
        <f t="shared" ca="1" si="6"/>
        <v>40</v>
      </c>
      <c r="AA386">
        <f ca="1">IF(T_EMPLOYEES[[#This Row],[EMPLOYEE NUMBER]]="","",ROW(T_EMPLOYEES[[#This Row],[EMPLOYEE LABEL]])-ROW(T_EMPLOYEES[[#Headers],[EMPLOYEE LABEL]]))</f>
        <v>383</v>
      </c>
      <c r="AB386">
        <f ca="1">IF(T_EMPLOYEES[[#This Row],[EMPLOYEE NUMBER]]="","",IF(COUNTIF(T_EMPLOYEES[EMPLOYEE NUMBER],T_EMPLOYEES[[#This Row],[EMPLOYEE NUMBER]])&gt;1,1,0))</f>
        <v>0</v>
      </c>
      <c r="AC386">
        <f ca="1">IF(T_EMPLOYEES[[#This Row],[EMPLOYEE NUMBER]]="","",IF(AND(T_EMPLOYEES[[#This Row],[DATE OF BIRTH]]&gt;0,T_EMPLOYEES[[#This Row],[DATE OF BIRTH]]&lt;TODAY()),0,1))</f>
        <v>0</v>
      </c>
      <c r="AD386">
        <f ca="1">IF(T_EMPLOYEES[[#This Row],[EMPLOYEE NUMBER]]="","",IF(AND(T_EMPLOYEES[[#This Row],[START DATE]]&gt;0,T_EMPLOYEES[[#This Row],[START DATE]]&lt;TODAY()+60),0,1))</f>
        <v>0</v>
      </c>
      <c r="AE386">
        <f ca="1">IF(T_EMPLOYEES[[#This Row],[EMPLOYEE NUMBER]]="","",MATCH(T_EMPLOYEES[[#This Row],[GENDER]],L_GENDER,0))</f>
        <v>1</v>
      </c>
      <c r="AF386">
        <f ca="1">IF(T_EMPLOYEES[[#This Row],[EMPLOYEE NUMBER]]="","",MATCH(T_EMPLOYEES[[#This Row],[HIRE SOURCE]],L_HIRESOURCE,0))</f>
        <v>4</v>
      </c>
      <c r="AG386">
        <f ca="1">IF(T_EMPLOYEES[[#This Row],[EMPLOYEE NUMBER]]="","",MATCH(T_EMPLOYEES[[#This Row],[ETHNICITY]],L_ETHNICITY,0))</f>
        <v>3</v>
      </c>
      <c r="AH386">
        <f ca="1">IF(T_EMPLOYEES[[#This Row],[EMPLOYEE NUMBER]]="","",MATCH(T_EMPLOYEES[[#This Row],[LOCATION]],L_LOCATION,0))</f>
        <v>2</v>
      </c>
      <c r="AI386">
        <f ca="1">IF(T_EMPLOYEES[[#This Row],[EMPLOYEE NUMBER]]="","",MATCH(T_EMPLOYEES[[#This Row],[DEPARTMENT]],L_DEPARTMENT,0))</f>
        <v>2</v>
      </c>
      <c r="AJ386">
        <f ca="1">IF(T_EMPLOYEES[[#This Row],[EMPLOYEE NUMBER]]="","",MATCH(T_EMPLOYEES[[#This Row],[JOB TYPE]],L_JOBTYPE,0))</f>
        <v>2</v>
      </c>
      <c r="AK386">
        <f ca="1">IF(T_EMPLOYEES[[#This Row],[EMPLOYEE NUMBER]]="","",MATCH(T_EMPLOYEES[[#This Row],[JOB CATEGORY]],L_JOBCATEGORY,0))</f>
        <v>39</v>
      </c>
      <c r="AL386">
        <f ca="1">IF(T_EMPLOYEES[[#This Row],[EMPLOYEE NUMBER]]="","",MATCH(T_EMPLOYEES[[#This Row],[JOB LEVEL]],L_JOBLEVEL,0))</f>
        <v>2</v>
      </c>
      <c r="AM386">
        <f ca="1">IF(T_EMPLOYEES[[#This Row],[EMPLOYEE NUMBER]]="","",MATCH(T_EMPLOYEES[[#This Row],[JOB TITLE]],L_JOBTITLE,0))</f>
        <v>39</v>
      </c>
      <c r="AN386">
        <f ca="1">IF(T_EMPLOYEES[[#This Row],[EMPLOYEE NUMBER]]="","",MATCH(T_EMPLOYEES[[#This Row],[MANAGER]],L_EMPLABELS,0))</f>
        <v>52</v>
      </c>
      <c r="AO386">
        <f ca="1">IF(T_EMPLOYEES[[#This Row],[EMPLOYEE NUMBER]]="","",IF(T_EMPLOYEES[[#This Row],[ERROR]]="",0,1))</f>
        <v>0</v>
      </c>
      <c r="AP38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7" spans="1:42">
      <c r="A387" t="s">
        <v>1291</v>
      </c>
      <c r="B387" t="s">
        <v>1292</v>
      </c>
      <c r="C387">
        <v>1031040</v>
      </c>
      <c r="D387" t="s">
        <v>1293</v>
      </c>
      <c r="E387" s="26">
        <v>35931</v>
      </c>
      <c r="F387" s="26">
        <v>44889</v>
      </c>
      <c r="H387" t="s">
        <v>27</v>
      </c>
      <c r="I387" t="s">
        <v>54</v>
      </c>
      <c r="J387" t="s">
        <v>64</v>
      </c>
      <c r="K387" t="s">
        <v>30</v>
      </c>
      <c r="L387" s="27" t="s">
        <v>114</v>
      </c>
      <c r="M387" t="s">
        <v>46</v>
      </c>
      <c r="N387" t="s">
        <v>151</v>
      </c>
      <c r="O387" t="s">
        <v>36</v>
      </c>
      <c r="P387" t="s">
        <v>151</v>
      </c>
      <c r="Q387" t="s">
        <v>468</v>
      </c>
      <c r="R387">
        <v>0</v>
      </c>
      <c r="S387" s="1">
        <v>250000</v>
      </c>
      <c r="T387" s="1">
        <f ca="1">ROUND(T_EMPLOYEES[[#This Row],[EMP_CTC1]]/12, 0)</f>
        <v>20833</v>
      </c>
      <c r="U387" s="1">
        <v>150000</v>
      </c>
      <c r="V387" s="1" t="s">
        <v>1238</v>
      </c>
      <c r="W387" s="1" t="s">
        <v>1238</v>
      </c>
      <c r="X38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Saurabh Rajendra Kadam (1031040)</v>
      </c>
      <c r="Y387">
        <v>120000</v>
      </c>
      <c r="Z387" s="29">
        <f t="shared" ca="1" si="6"/>
        <v>40</v>
      </c>
      <c r="AA387">
        <f ca="1">IF(T_EMPLOYEES[[#This Row],[EMPLOYEE NUMBER]]="","",ROW(T_EMPLOYEES[[#This Row],[EMPLOYEE LABEL]])-ROW(T_EMPLOYEES[[#Headers],[EMPLOYEE LABEL]]))</f>
        <v>384</v>
      </c>
      <c r="AB387">
        <f ca="1">IF(T_EMPLOYEES[[#This Row],[EMPLOYEE NUMBER]]="","",IF(COUNTIF(T_EMPLOYEES[EMPLOYEE NUMBER],T_EMPLOYEES[[#This Row],[EMPLOYEE NUMBER]])&gt;1,1,0))</f>
        <v>0</v>
      </c>
      <c r="AC387">
        <f ca="1">IF(T_EMPLOYEES[[#This Row],[EMPLOYEE NUMBER]]="","",IF(AND(T_EMPLOYEES[[#This Row],[DATE OF BIRTH]]&gt;0,T_EMPLOYEES[[#This Row],[DATE OF BIRTH]]&lt;TODAY()),0,1))</f>
        <v>0</v>
      </c>
      <c r="AD387">
        <f ca="1">IF(T_EMPLOYEES[[#This Row],[EMPLOYEE NUMBER]]="","",IF(AND(T_EMPLOYEES[[#This Row],[START DATE]]&gt;0,T_EMPLOYEES[[#This Row],[START DATE]]&lt;TODAY()+60),0,1))</f>
        <v>0</v>
      </c>
      <c r="AE387">
        <f ca="1">IF(T_EMPLOYEES[[#This Row],[EMPLOYEE NUMBER]]="","",MATCH(T_EMPLOYEES[[#This Row],[GENDER]],L_GENDER,0))</f>
        <v>1</v>
      </c>
      <c r="AF387">
        <f ca="1">IF(T_EMPLOYEES[[#This Row],[EMPLOYEE NUMBER]]="","",MATCH(T_EMPLOYEES[[#This Row],[HIRE SOURCE]],L_HIRESOURCE,0))</f>
        <v>4</v>
      </c>
      <c r="AG387">
        <f ca="1">IF(T_EMPLOYEES[[#This Row],[EMPLOYEE NUMBER]]="","",MATCH(T_EMPLOYEES[[#This Row],[ETHNICITY]],L_ETHNICITY,0))</f>
        <v>3</v>
      </c>
      <c r="AH387">
        <f ca="1">IF(T_EMPLOYEES[[#This Row],[EMPLOYEE NUMBER]]="","",MATCH(T_EMPLOYEES[[#This Row],[LOCATION]],L_LOCATION,0))</f>
        <v>1</v>
      </c>
      <c r="AI387">
        <f ca="1">IF(T_EMPLOYEES[[#This Row],[EMPLOYEE NUMBER]]="","",MATCH(T_EMPLOYEES[[#This Row],[DEPARTMENT]],L_DEPARTMENT,0))</f>
        <v>11</v>
      </c>
      <c r="AJ387">
        <f ca="1">IF(T_EMPLOYEES[[#This Row],[EMPLOYEE NUMBER]]="","",MATCH(T_EMPLOYEES[[#This Row],[JOB TYPE]],L_JOBTYPE,0))</f>
        <v>2</v>
      </c>
      <c r="AK387">
        <f ca="1">IF(T_EMPLOYEES[[#This Row],[EMPLOYEE NUMBER]]="","",MATCH(T_EMPLOYEES[[#This Row],[JOB CATEGORY]],L_JOBCATEGORY,0))</f>
        <v>30</v>
      </c>
      <c r="AL387">
        <f ca="1">IF(T_EMPLOYEES[[#This Row],[EMPLOYEE NUMBER]]="","",MATCH(T_EMPLOYEES[[#This Row],[JOB LEVEL]],L_JOBLEVEL,0))</f>
        <v>1</v>
      </c>
      <c r="AM387">
        <f ca="1">IF(T_EMPLOYEES[[#This Row],[EMPLOYEE NUMBER]]="","",MATCH(T_EMPLOYEES[[#This Row],[JOB TITLE]],L_JOBTITLE,0))</f>
        <v>30</v>
      </c>
      <c r="AN387">
        <f ca="1">IF(T_EMPLOYEES[[#This Row],[EMPLOYEE NUMBER]]="","",MATCH(T_EMPLOYEES[[#This Row],[MANAGER]],L_EMPLABELS,0))</f>
        <v>56</v>
      </c>
      <c r="AO387">
        <f ca="1">IF(T_EMPLOYEES[[#This Row],[EMPLOYEE NUMBER]]="","",IF(T_EMPLOYEES[[#This Row],[ERROR]]="",0,1))</f>
        <v>0</v>
      </c>
      <c r="AP38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8" spans="1:42">
      <c r="A388" t="s">
        <v>1294</v>
      </c>
      <c r="B388" t="s">
        <v>1295</v>
      </c>
      <c r="C388">
        <v>1024580</v>
      </c>
      <c r="D388" t="s">
        <v>1296</v>
      </c>
      <c r="E388" s="26">
        <v>35939</v>
      </c>
      <c r="F388" s="26">
        <v>44246</v>
      </c>
      <c r="H388" t="s">
        <v>27</v>
      </c>
      <c r="I388" t="s">
        <v>54</v>
      </c>
      <c r="J388" t="s">
        <v>64</v>
      </c>
      <c r="K388" t="s">
        <v>43</v>
      </c>
      <c r="L388" s="27" t="s">
        <v>45</v>
      </c>
      <c r="M388" t="s">
        <v>46</v>
      </c>
      <c r="N388" t="s">
        <v>148</v>
      </c>
      <c r="O388" t="s">
        <v>48</v>
      </c>
      <c r="P388" t="s">
        <v>148</v>
      </c>
      <c r="Q388" t="s">
        <v>778</v>
      </c>
      <c r="R388" s="27">
        <v>4</v>
      </c>
      <c r="S388" s="1">
        <v>250000</v>
      </c>
      <c r="T388" s="1">
        <f ca="1">ROUND(T_EMPLOYEES[[#This Row],[EMP_CTC1]]/12, 0)</f>
        <v>20833</v>
      </c>
      <c r="U388" s="1">
        <v>150000</v>
      </c>
      <c r="V388" s="1" t="s">
        <v>1238</v>
      </c>
      <c r="W388" s="1" t="s">
        <v>1238</v>
      </c>
      <c r="X38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Mukkella  Sai Lokesh (1024580)</v>
      </c>
      <c r="Y388">
        <v>120000</v>
      </c>
      <c r="Z388" s="29">
        <f t="shared" ca="1" si="6"/>
        <v>40</v>
      </c>
      <c r="AA388">
        <f ca="1">IF(T_EMPLOYEES[[#This Row],[EMPLOYEE NUMBER]]="","",ROW(T_EMPLOYEES[[#This Row],[EMPLOYEE LABEL]])-ROW(T_EMPLOYEES[[#Headers],[EMPLOYEE LABEL]]))</f>
        <v>385</v>
      </c>
      <c r="AB388">
        <f ca="1">IF(T_EMPLOYEES[[#This Row],[EMPLOYEE NUMBER]]="","",IF(COUNTIF(T_EMPLOYEES[EMPLOYEE NUMBER],T_EMPLOYEES[[#This Row],[EMPLOYEE NUMBER]])&gt;1,1,0))</f>
        <v>0</v>
      </c>
      <c r="AC388">
        <f ca="1">IF(T_EMPLOYEES[[#This Row],[EMPLOYEE NUMBER]]="","",IF(AND(T_EMPLOYEES[[#This Row],[DATE OF BIRTH]]&gt;0,T_EMPLOYEES[[#This Row],[DATE OF BIRTH]]&lt;TODAY()),0,1))</f>
        <v>0</v>
      </c>
      <c r="AD388">
        <f ca="1">IF(T_EMPLOYEES[[#This Row],[EMPLOYEE NUMBER]]="","",IF(AND(T_EMPLOYEES[[#This Row],[START DATE]]&gt;0,T_EMPLOYEES[[#This Row],[START DATE]]&lt;TODAY()+60),0,1))</f>
        <v>0</v>
      </c>
      <c r="AE388">
        <f ca="1">IF(T_EMPLOYEES[[#This Row],[EMPLOYEE NUMBER]]="","",MATCH(T_EMPLOYEES[[#This Row],[GENDER]],L_GENDER,0))</f>
        <v>1</v>
      </c>
      <c r="AF388">
        <f ca="1">IF(T_EMPLOYEES[[#This Row],[EMPLOYEE NUMBER]]="","",MATCH(T_EMPLOYEES[[#This Row],[HIRE SOURCE]],L_HIRESOURCE,0))</f>
        <v>4</v>
      </c>
      <c r="AG388">
        <f ca="1">IF(T_EMPLOYEES[[#This Row],[EMPLOYEE NUMBER]]="","",MATCH(T_EMPLOYEES[[#This Row],[ETHNICITY]],L_ETHNICITY,0))</f>
        <v>3</v>
      </c>
      <c r="AH388">
        <f ca="1">IF(T_EMPLOYEES[[#This Row],[EMPLOYEE NUMBER]]="","",MATCH(T_EMPLOYEES[[#This Row],[LOCATION]],L_LOCATION,0))</f>
        <v>2</v>
      </c>
      <c r="AI388">
        <f ca="1">IF(T_EMPLOYEES[[#This Row],[EMPLOYEE NUMBER]]="","",MATCH(T_EMPLOYEES[[#This Row],[DEPARTMENT]],L_DEPARTMENT,0))</f>
        <v>2</v>
      </c>
      <c r="AJ388">
        <f ca="1">IF(T_EMPLOYEES[[#This Row],[EMPLOYEE NUMBER]]="","",MATCH(T_EMPLOYEES[[#This Row],[JOB TYPE]],L_JOBTYPE,0))</f>
        <v>2</v>
      </c>
      <c r="AK388">
        <f ca="1">IF(T_EMPLOYEES[[#This Row],[EMPLOYEE NUMBER]]="","",MATCH(T_EMPLOYEES[[#This Row],[JOB CATEGORY]],L_JOBCATEGORY,0))</f>
        <v>27</v>
      </c>
      <c r="AL388">
        <f ca="1">IF(T_EMPLOYEES[[#This Row],[EMPLOYEE NUMBER]]="","",MATCH(T_EMPLOYEES[[#This Row],[JOB LEVEL]],L_JOBLEVEL,0))</f>
        <v>2</v>
      </c>
      <c r="AM388">
        <f ca="1">IF(T_EMPLOYEES[[#This Row],[EMPLOYEE NUMBER]]="","",MATCH(T_EMPLOYEES[[#This Row],[JOB TITLE]],L_JOBTITLE,0))</f>
        <v>27</v>
      </c>
      <c r="AN388">
        <f ca="1">IF(T_EMPLOYEES[[#This Row],[EMPLOYEE NUMBER]]="","",MATCH(T_EMPLOYEES[[#This Row],[MANAGER]],L_EMPLABELS,0))</f>
        <v>198</v>
      </c>
      <c r="AO388">
        <f ca="1">IF(T_EMPLOYEES[[#This Row],[EMPLOYEE NUMBER]]="","",IF(T_EMPLOYEES[[#This Row],[ERROR]]="",0,1))</f>
        <v>0</v>
      </c>
      <c r="AP38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9" spans="1:42">
      <c r="A389" t="s">
        <v>1297</v>
      </c>
      <c r="B389" t="s">
        <v>1298</v>
      </c>
      <c r="C389">
        <v>1024022</v>
      </c>
      <c r="D389" t="s">
        <v>1299</v>
      </c>
      <c r="E389" s="26">
        <v>35940</v>
      </c>
      <c r="F389" s="26">
        <v>44132</v>
      </c>
      <c r="H389" t="s">
        <v>40</v>
      </c>
      <c r="I389" t="s">
        <v>54</v>
      </c>
      <c r="J389" t="s">
        <v>64</v>
      </c>
      <c r="K389" t="s">
        <v>30</v>
      </c>
      <c r="L389" s="27" t="s">
        <v>114</v>
      </c>
      <c r="M389" t="s">
        <v>46</v>
      </c>
      <c r="N389" t="s">
        <v>160</v>
      </c>
      <c r="O389" t="s">
        <v>48</v>
      </c>
      <c r="P389" t="s">
        <v>160</v>
      </c>
      <c r="Q389" t="s">
        <v>468</v>
      </c>
      <c r="R389">
        <v>4</v>
      </c>
      <c r="S389" s="1">
        <v>250000</v>
      </c>
      <c r="T389" s="1">
        <f ca="1">ROUND(T_EMPLOYEES[[#This Row],[EMP_CTC1]]/12, 0)</f>
        <v>20833</v>
      </c>
      <c r="U389" s="1">
        <v>150000</v>
      </c>
      <c r="V389" s="1" t="s">
        <v>1238</v>
      </c>
      <c r="W389" s="1" t="s">
        <v>1238</v>
      </c>
      <c r="X38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Santhiya  Krishnamoorthy (1024022)</v>
      </c>
      <c r="Y389">
        <v>120000</v>
      </c>
      <c r="Z389" s="29">
        <f t="shared" ca="1" si="6"/>
        <v>40</v>
      </c>
      <c r="AA389">
        <f ca="1">IF(T_EMPLOYEES[[#This Row],[EMPLOYEE NUMBER]]="","",ROW(T_EMPLOYEES[[#This Row],[EMPLOYEE LABEL]])-ROW(T_EMPLOYEES[[#Headers],[EMPLOYEE LABEL]]))</f>
        <v>386</v>
      </c>
      <c r="AB389">
        <f ca="1">IF(T_EMPLOYEES[[#This Row],[EMPLOYEE NUMBER]]="","",IF(COUNTIF(T_EMPLOYEES[EMPLOYEE NUMBER],T_EMPLOYEES[[#This Row],[EMPLOYEE NUMBER]])&gt;1,1,0))</f>
        <v>0</v>
      </c>
      <c r="AC389">
        <f ca="1">IF(T_EMPLOYEES[[#This Row],[EMPLOYEE NUMBER]]="","",IF(AND(T_EMPLOYEES[[#This Row],[DATE OF BIRTH]]&gt;0,T_EMPLOYEES[[#This Row],[DATE OF BIRTH]]&lt;TODAY()),0,1))</f>
        <v>0</v>
      </c>
      <c r="AD389">
        <f ca="1">IF(T_EMPLOYEES[[#This Row],[EMPLOYEE NUMBER]]="","",IF(AND(T_EMPLOYEES[[#This Row],[START DATE]]&gt;0,T_EMPLOYEES[[#This Row],[START DATE]]&lt;TODAY()+60),0,1))</f>
        <v>0</v>
      </c>
      <c r="AE389">
        <f ca="1">IF(T_EMPLOYEES[[#This Row],[EMPLOYEE NUMBER]]="","",MATCH(T_EMPLOYEES[[#This Row],[GENDER]],L_GENDER,0))</f>
        <v>2</v>
      </c>
      <c r="AF389">
        <f ca="1">IF(T_EMPLOYEES[[#This Row],[EMPLOYEE NUMBER]]="","",MATCH(T_EMPLOYEES[[#This Row],[HIRE SOURCE]],L_HIRESOURCE,0))</f>
        <v>4</v>
      </c>
      <c r="AG389">
        <f ca="1">IF(T_EMPLOYEES[[#This Row],[EMPLOYEE NUMBER]]="","",MATCH(T_EMPLOYEES[[#This Row],[ETHNICITY]],L_ETHNICITY,0))</f>
        <v>3</v>
      </c>
      <c r="AH389">
        <f ca="1">IF(T_EMPLOYEES[[#This Row],[EMPLOYEE NUMBER]]="","",MATCH(T_EMPLOYEES[[#This Row],[LOCATION]],L_LOCATION,0))</f>
        <v>1</v>
      </c>
      <c r="AI389">
        <f ca="1">IF(T_EMPLOYEES[[#This Row],[EMPLOYEE NUMBER]]="","",MATCH(T_EMPLOYEES[[#This Row],[DEPARTMENT]],L_DEPARTMENT,0))</f>
        <v>11</v>
      </c>
      <c r="AJ389">
        <f ca="1">IF(T_EMPLOYEES[[#This Row],[EMPLOYEE NUMBER]]="","",MATCH(T_EMPLOYEES[[#This Row],[JOB TYPE]],L_JOBTYPE,0))</f>
        <v>2</v>
      </c>
      <c r="AK389">
        <f ca="1">IF(T_EMPLOYEES[[#This Row],[EMPLOYEE NUMBER]]="","",MATCH(T_EMPLOYEES[[#This Row],[JOB CATEGORY]],L_JOBCATEGORY,0))</f>
        <v>39</v>
      </c>
      <c r="AL389">
        <f ca="1">IF(T_EMPLOYEES[[#This Row],[EMPLOYEE NUMBER]]="","",MATCH(T_EMPLOYEES[[#This Row],[JOB LEVEL]],L_JOBLEVEL,0))</f>
        <v>2</v>
      </c>
      <c r="AM389">
        <f ca="1">IF(T_EMPLOYEES[[#This Row],[EMPLOYEE NUMBER]]="","",MATCH(T_EMPLOYEES[[#This Row],[JOB TITLE]],L_JOBTITLE,0))</f>
        <v>39</v>
      </c>
      <c r="AN389">
        <f ca="1">IF(T_EMPLOYEES[[#This Row],[EMPLOYEE NUMBER]]="","",MATCH(T_EMPLOYEES[[#This Row],[MANAGER]],L_EMPLABELS,0))</f>
        <v>56</v>
      </c>
      <c r="AO389">
        <f ca="1">IF(T_EMPLOYEES[[#This Row],[EMPLOYEE NUMBER]]="","",IF(T_EMPLOYEES[[#This Row],[ERROR]]="",0,1))</f>
        <v>0</v>
      </c>
      <c r="AP38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0" spans="1:42">
      <c r="A390" t="s">
        <v>1300</v>
      </c>
      <c r="B390" t="s">
        <v>1301</v>
      </c>
      <c r="C390">
        <v>1022859</v>
      </c>
      <c r="D390" t="s">
        <v>1302</v>
      </c>
      <c r="E390" s="26">
        <v>35945</v>
      </c>
      <c r="F390" s="26">
        <v>43790</v>
      </c>
      <c r="H390" t="s">
        <v>40</v>
      </c>
      <c r="I390" t="s">
        <v>54</v>
      </c>
      <c r="J390" t="s">
        <v>64</v>
      </c>
      <c r="K390" t="s">
        <v>30</v>
      </c>
      <c r="L390" s="27" t="s">
        <v>110</v>
      </c>
      <c r="M390" t="s">
        <v>46</v>
      </c>
      <c r="N390" t="s">
        <v>89</v>
      </c>
      <c r="O390" t="s">
        <v>60</v>
      </c>
      <c r="P390" t="s">
        <v>89</v>
      </c>
      <c r="Q390" t="s">
        <v>344</v>
      </c>
      <c r="R390" s="27">
        <v>4</v>
      </c>
      <c r="S390" s="1">
        <v>250000</v>
      </c>
      <c r="T390" s="1">
        <f ca="1">ROUND(T_EMPLOYEES[[#This Row],[EMP_CTC1]]/12, 0)</f>
        <v>20833</v>
      </c>
      <c r="U390" s="1">
        <v>150000</v>
      </c>
      <c r="V390" s="1" t="s">
        <v>1238</v>
      </c>
      <c r="W390" s="1" t="s">
        <v>1238</v>
      </c>
      <c r="X39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Suchismita  Mohanty (1022859)</v>
      </c>
      <c r="Y390">
        <v>120000</v>
      </c>
      <c r="Z390" s="29">
        <f t="shared" ref="Z390:Z453" ca="1" si="7">(S390 - U390)/S390 * 100</f>
        <v>40</v>
      </c>
      <c r="AA390">
        <f ca="1">IF(T_EMPLOYEES[[#This Row],[EMPLOYEE NUMBER]]="","",ROW(T_EMPLOYEES[[#This Row],[EMPLOYEE LABEL]])-ROW(T_EMPLOYEES[[#Headers],[EMPLOYEE LABEL]]))</f>
        <v>387</v>
      </c>
      <c r="AB390">
        <f ca="1">IF(T_EMPLOYEES[[#This Row],[EMPLOYEE NUMBER]]="","",IF(COUNTIF(T_EMPLOYEES[EMPLOYEE NUMBER],T_EMPLOYEES[[#This Row],[EMPLOYEE NUMBER]])&gt;1,1,0))</f>
        <v>0</v>
      </c>
      <c r="AC390">
        <f ca="1">IF(T_EMPLOYEES[[#This Row],[EMPLOYEE NUMBER]]="","",IF(AND(T_EMPLOYEES[[#This Row],[DATE OF BIRTH]]&gt;0,T_EMPLOYEES[[#This Row],[DATE OF BIRTH]]&lt;TODAY()),0,1))</f>
        <v>0</v>
      </c>
      <c r="AD390">
        <f ca="1">IF(T_EMPLOYEES[[#This Row],[EMPLOYEE NUMBER]]="","",IF(AND(T_EMPLOYEES[[#This Row],[START DATE]]&gt;0,T_EMPLOYEES[[#This Row],[START DATE]]&lt;TODAY()+60),0,1))</f>
        <v>0</v>
      </c>
      <c r="AE390">
        <f ca="1">IF(T_EMPLOYEES[[#This Row],[EMPLOYEE NUMBER]]="","",MATCH(T_EMPLOYEES[[#This Row],[GENDER]],L_GENDER,0))</f>
        <v>2</v>
      </c>
      <c r="AF390">
        <f ca="1">IF(T_EMPLOYEES[[#This Row],[EMPLOYEE NUMBER]]="","",MATCH(T_EMPLOYEES[[#This Row],[HIRE SOURCE]],L_HIRESOURCE,0))</f>
        <v>4</v>
      </c>
      <c r="AG390">
        <f ca="1">IF(T_EMPLOYEES[[#This Row],[EMPLOYEE NUMBER]]="","",MATCH(T_EMPLOYEES[[#This Row],[ETHNICITY]],L_ETHNICITY,0))</f>
        <v>3</v>
      </c>
      <c r="AH390">
        <f ca="1">IF(T_EMPLOYEES[[#This Row],[EMPLOYEE NUMBER]]="","",MATCH(T_EMPLOYEES[[#This Row],[LOCATION]],L_LOCATION,0))</f>
        <v>1</v>
      </c>
      <c r="AI390">
        <f ca="1">IF(T_EMPLOYEES[[#This Row],[EMPLOYEE NUMBER]]="","",MATCH(T_EMPLOYEES[[#This Row],[DEPARTMENT]],L_DEPARTMENT,0))</f>
        <v>10</v>
      </c>
      <c r="AJ390">
        <f ca="1">IF(T_EMPLOYEES[[#This Row],[EMPLOYEE NUMBER]]="","",MATCH(T_EMPLOYEES[[#This Row],[JOB TYPE]],L_JOBTYPE,0))</f>
        <v>2</v>
      </c>
      <c r="AK390">
        <f ca="1">IF(T_EMPLOYEES[[#This Row],[EMPLOYEE NUMBER]]="","",MATCH(T_EMPLOYEES[[#This Row],[JOB CATEGORY]],L_JOBCATEGORY,0))</f>
        <v>6</v>
      </c>
      <c r="AL390">
        <f ca="1">IF(T_EMPLOYEES[[#This Row],[EMPLOYEE NUMBER]]="","",MATCH(T_EMPLOYEES[[#This Row],[JOB LEVEL]],L_JOBLEVEL,0))</f>
        <v>3</v>
      </c>
      <c r="AM390">
        <f ca="1">IF(T_EMPLOYEES[[#This Row],[EMPLOYEE NUMBER]]="","",MATCH(T_EMPLOYEES[[#This Row],[JOB TITLE]],L_JOBTITLE,0))</f>
        <v>6</v>
      </c>
      <c r="AN390">
        <f ca="1">IF(T_EMPLOYEES[[#This Row],[EMPLOYEE NUMBER]]="","",MATCH(T_EMPLOYEES[[#This Row],[MANAGER]],L_EMPLABELS,0))</f>
        <v>12</v>
      </c>
      <c r="AO390">
        <f ca="1">IF(T_EMPLOYEES[[#This Row],[EMPLOYEE NUMBER]]="","",IF(T_EMPLOYEES[[#This Row],[ERROR]]="",0,1))</f>
        <v>0</v>
      </c>
      <c r="AP39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1" spans="1:42">
      <c r="A391" t="s">
        <v>1303</v>
      </c>
      <c r="B391" t="s">
        <v>1304</v>
      </c>
      <c r="C391">
        <v>1032906</v>
      </c>
      <c r="D391" t="s">
        <v>1305</v>
      </c>
      <c r="E391" s="26">
        <v>35955</v>
      </c>
      <c r="F391" s="26">
        <v>45084</v>
      </c>
      <c r="H391" t="s">
        <v>27</v>
      </c>
      <c r="I391" t="s">
        <v>54</v>
      </c>
      <c r="J391" t="s">
        <v>64</v>
      </c>
      <c r="K391" t="s">
        <v>43</v>
      </c>
      <c r="L391" s="27" t="s">
        <v>45</v>
      </c>
      <c r="M391" t="s">
        <v>46</v>
      </c>
      <c r="N391" t="s">
        <v>159</v>
      </c>
      <c r="O391" t="s">
        <v>48</v>
      </c>
      <c r="P391" t="s">
        <v>159</v>
      </c>
      <c r="Q391" t="s">
        <v>907</v>
      </c>
      <c r="R391">
        <v>4</v>
      </c>
      <c r="S391" s="1">
        <v>250000</v>
      </c>
      <c r="T391" s="1">
        <f ca="1">ROUND(T_EMPLOYEES[[#This Row],[EMP_CTC1]]/12, 0)</f>
        <v>20833</v>
      </c>
      <c r="U391" s="1">
        <v>150000</v>
      </c>
      <c r="V391" s="1" t="s">
        <v>1238</v>
      </c>
      <c r="W391" s="1" t="s">
        <v>1238</v>
      </c>
      <c r="X39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Raveendra Kumar Patnala (1032906)</v>
      </c>
      <c r="Y391">
        <v>120000</v>
      </c>
      <c r="Z391" s="29">
        <f t="shared" ca="1" si="7"/>
        <v>40</v>
      </c>
      <c r="AA391">
        <f ca="1">IF(T_EMPLOYEES[[#This Row],[EMPLOYEE NUMBER]]="","",ROW(T_EMPLOYEES[[#This Row],[EMPLOYEE LABEL]])-ROW(T_EMPLOYEES[[#Headers],[EMPLOYEE LABEL]]))</f>
        <v>388</v>
      </c>
      <c r="AB391">
        <f ca="1">IF(T_EMPLOYEES[[#This Row],[EMPLOYEE NUMBER]]="","",IF(COUNTIF(T_EMPLOYEES[EMPLOYEE NUMBER],T_EMPLOYEES[[#This Row],[EMPLOYEE NUMBER]])&gt;1,1,0))</f>
        <v>0</v>
      </c>
      <c r="AC391">
        <f ca="1">IF(T_EMPLOYEES[[#This Row],[EMPLOYEE NUMBER]]="","",IF(AND(T_EMPLOYEES[[#This Row],[DATE OF BIRTH]]&gt;0,T_EMPLOYEES[[#This Row],[DATE OF BIRTH]]&lt;TODAY()),0,1))</f>
        <v>0</v>
      </c>
      <c r="AD391">
        <f ca="1">IF(T_EMPLOYEES[[#This Row],[EMPLOYEE NUMBER]]="","",IF(AND(T_EMPLOYEES[[#This Row],[START DATE]]&gt;0,T_EMPLOYEES[[#This Row],[START DATE]]&lt;TODAY()+60),0,1))</f>
        <v>0</v>
      </c>
      <c r="AE391">
        <f ca="1">IF(T_EMPLOYEES[[#This Row],[EMPLOYEE NUMBER]]="","",MATCH(T_EMPLOYEES[[#This Row],[GENDER]],L_GENDER,0))</f>
        <v>1</v>
      </c>
      <c r="AF391">
        <f ca="1">IF(T_EMPLOYEES[[#This Row],[EMPLOYEE NUMBER]]="","",MATCH(T_EMPLOYEES[[#This Row],[HIRE SOURCE]],L_HIRESOURCE,0))</f>
        <v>4</v>
      </c>
      <c r="AG391">
        <f ca="1">IF(T_EMPLOYEES[[#This Row],[EMPLOYEE NUMBER]]="","",MATCH(T_EMPLOYEES[[#This Row],[ETHNICITY]],L_ETHNICITY,0))</f>
        <v>3</v>
      </c>
      <c r="AH391">
        <f ca="1">IF(T_EMPLOYEES[[#This Row],[EMPLOYEE NUMBER]]="","",MATCH(T_EMPLOYEES[[#This Row],[LOCATION]],L_LOCATION,0))</f>
        <v>2</v>
      </c>
      <c r="AI391">
        <f ca="1">IF(T_EMPLOYEES[[#This Row],[EMPLOYEE NUMBER]]="","",MATCH(T_EMPLOYEES[[#This Row],[DEPARTMENT]],L_DEPARTMENT,0))</f>
        <v>2</v>
      </c>
      <c r="AJ391">
        <f ca="1">IF(T_EMPLOYEES[[#This Row],[EMPLOYEE NUMBER]]="","",MATCH(T_EMPLOYEES[[#This Row],[JOB TYPE]],L_JOBTYPE,0))</f>
        <v>2</v>
      </c>
      <c r="AK391">
        <f ca="1">IF(T_EMPLOYEES[[#This Row],[EMPLOYEE NUMBER]]="","",MATCH(T_EMPLOYEES[[#This Row],[JOB CATEGORY]],L_JOBCATEGORY,0))</f>
        <v>38</v>
      </c>
      <c r="AL391">
        <f ca="1">IF(T_EMPLOYEES[[#This Row],[EMPLOYEE NUMBER]]="","",MATCH(T_EMPLOYEES[[#This Row],[JOB LEVEL]],L_JOBLEVEL,0))</f>
        <v>2</v>
      </c>
      <c r="AM391">
        <f ca="1">IF(T_EMPLOYEES[[#This Row],[EMPLOYEE NUMBER]]="","",MATCH(T_EMPLOYEES[[#This Row],[JOB TITLE]],L_JOBTITLE,0))</f>
        <v>38</v>
      </c>
      <c r="AN391">
        <f ca="1">IF(T_EMPLOYEES[[#This Row],[EMPLOYEE NUMBER]]="","",MATCH(T_EMPLOYEES[[#This Row],[MANAGER]],L_EMPLABELS,0))</f>
        <v>108</v>
      </c>
      <c r="AO391">
        <f ca="1">IF(T_EMPLOYEES[[#This Row],[EMPLOYEE NUMBER]]="","",IF(T_EMPLOYEES[[#This Row],[ERROR]]="",0,1))</f>
        <v>0</v>
      </c>
      <c r="AP39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2" spans="1:42">
      <c r="A392" t="s">
        <v>1306</v>
      </c>
      <c r="B392" t="s">
        <v>1307</v>
      </c>
      <c r="C392">
        <v>1028407</v>
      </c>
      <c r="D392" t="s">
        <v>1308</v>
      </c>
      <c r="E392" s="26">
        <v>35971</v>
      </c>
      <c r="F392" s="26">
        <v>44615</v>
      </c>
      <c r="H392" t="s">
        <v>40</v>
      </c>
      <c r="I392" t="s">
        <v>54</v>
      </c>
      <c r="J392" t="s">
        <v>64</v>
      </c>
      <c r="K392" t="s">
        <v>30</v>
      </c>
      <c r="L392" s="27" t="s">
        <v>114</v>
      </c>
      <c r="M392" t="s">
        <v>46</v>
      </c>
      <c r="N392" t="s">
        <v>160</v>
      </c>
      <c r="O392" t="s">
        <v>48</v>
      </c>
      <c r="P392" t="s">
        <v>160</v>
      </c>
      <c r="Q392" t="s">
        <v>206</v>
      </c>
      <c r="R392" s="27">
        <v>4</v>
      </c>
      <c r="S392" s="1">
        <v>250000</v>
      </c>
      <c r="T392" s="1">
        <f ca="1">ROUND(T_EMPLOYEES[[#This Row],[EMP_CTC1]]/12, 0)</f>
        <v>20833</v>
      </c>
      <c r="U392" s="1">
        <v>150000</v>
      </c>
      <c r="V392" s="1" t="s">
        <v>1238</v>
      </c>
      <c r="W392" s="1" t="s">
        <v>1238</v>
      </c>
      <c r="X39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Madala Sai Keerthana (1028407)</v>
      </c>
      <c r="Y392">
        <v>120000</v>
      </c>
      <c r="Z392" s="29">
        <f t="shared" ca="1" si="7"/>
        <v>40</v>
      </c>
      <c r="AA392">
        <f ca="1">IF(T_EMPLOYEES[[#This Row],[EMPLOYEE NUMBER]]="","",ROW(T_EMPLOYEES[[#This Row],[EMPLOYEE LABEL]])-ROW(T_EMPLOYEES[[#Headers],[EMPLOYEE LABEL]]))</f>
        <v>389</v>
      </c>
      <c r="AB392">
        <f ca="1">IF(T_EMPLOYEES[[#This Row],[EMPLOYEE NUMBER]]="","",IF(COUNTIF(T_EMPLOYEES[EMPLOYEE NUMBER],T_EMPLOYEES[[#This Row],[EMPLOYEE NUMBER]])&gt;1,1,0))</f>
        <v>0</v>
      </c>
      <c r="AC392">
        <f ca="1">IF(T_EMPLOYEES[[#This Row],[EMPLOYEE NUMBER]]="","",IF(AND(T_EMPLOYEES[[#This Row],[DATE OF BIRTH]]&gt;0,T_EMPLOYEES[[#This Row],[DATE OF BIRTH]]&lt;TODAY()),0,1))</f>
        <v>0</v>
      </c>
      <c r="AD392">
        <f ca="1">IF(T_EMPLOYEES[[#This Row],[EMPLOYEE NUMBER]]="","",IF(AND(T_EMPLOYEES[[#This Row],[START DATE]]&gt;0,T_EMPLOYEES[[#This Row],[START DATE]]&lt;TODAY()+60),0,1))</f>
        <v>0</v>
      </c>
      <c r="AE392">
        <f ca="1">IF(T_EMPLOYEES[[#This Row],[EMPLOYEE NUMBER]]="","",MATCH(T_EMPLOYEES[[#This Row],[GENDER]],L_GENDER,0))</f>
        <v>2</v>
      </c>
      <c r="AF392">
        <f ca="1">IF(T_EMPLOYEES[[#This Row],[EMPLOYEE NUMBER]]="","",MATCH(T_EMPLOYEES[[#This Row],[HIRE SOURCE]],L_HIRESOURCE,0))</f>
        <v>4</v>
      </c>
      <c r="AG392">
        <f ca="1">IF(T_EMPLOYEES[[#This Row],[EMPLOYEE NUMBER]]="","",MATCH(T_EMPLOYEES[[#This Row],[ETHNICITY]],L_ETHNICITY,0))</f>
        <v>3</v>
      </c>
      <c r="AH392">
        <f ca="1">IF(T_EMPLOYEES[[#This Row],[EMPLOYEE NUMBER]]="","",MATCH(T_EMPLOYEES[[#This Row],[LOCATION]],L_LOCATION,0))</f>
        <v>1</v>
      </c>
      <c r="AI392">
        <f ca="1">IF(T_EMPLOYEES[[#This Row],[EMPLOYEE NUMBER]]="","",MATCH(T_EMPLOYEES[[#This Row],[DEPARTMENT]],L_DEPARTMENT,0))</f>
        <v>11</v>
      </c>
      <c r="AJ392">
        <f ca="1">IF(T_EMPLOYEES[[#This Row],[EMPLOYEE NUMBER]]="","",MATCH(T_EMPLOYEES[[#This Row],[JOB TYPE]],L_JOBTYPE,0))</f>
        <v>2</v>
      </c>
      <c r="AK392">
        <f ca="1">IF(T_EMPLOYEES[[#This Row],[EMPLOYEE NUMBER]]="","",MATCH(T_EMPLOYEES[[#This Row],[JOB CATEGORY]],L_JOBCATEGORY,0))</f>
        <v>39</v>
      </c>
      <c r="AL392">
        <f ca="1">IF(T_EMPLOYEES[[#This Row],[EMPLOYEE NUMBER]]="","",MATCH(T_EMPLOYEES[[#This Row],[JOB LEVEL]],L_JOBLEVEL,0))</f>
        <v>2</v>
      </c>
      <c r="AM392">
        <f ca="1">IF(T_EMPLOYEES[[#This Row],[EMPLOYEE NUMBER]]="","",MATCH(T_EMPLOYEES[[#This Row],[JOB TITLE]],L_JOBTITLE,0))</f>
        <v>39</v>
      </c>
      <c r="AN392">
        <f ca="1">IF(T_EMPLOYEES[[#This Row],[EMPLOYEE NUMBER]]="","",MATCH(T_EMPLOYEES[[#This Row],[MANAGER]],L_EMPLABELS,0))</f>
        <v>6</v>
      </c>
      <c r="AO392">
        <f ca="1">IF(T_EMPLOYEES[[#This Row],[EMPLOYEE NUMBER]]="","",IF(T_EMPLOYEES[[#This Row],[ERROR]]="",0,1))</f>
        <v>0</v>
      </c>
      <c r="AP39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3" spans="1:42">
      <c r="A393" t="s">
        <v>1309</v>
      </c>
      <c r="B393" t="s">
        <v>1310</v>
      </c>
      <c r="C393">
        <v>1029191</v>
      </c>
      <c r="D393" t="s">
        <v>1311</v>
      </c>
      <c r="E393" s="26">
        <v>35971</v>
      </c>
      <c r="F393" s="26">
        <v>44714</v>
      </c>
      <c r="H393" t="s">
        <v>27</v>
      </c>
      <c r="I393" t="s">
        <v>54</v>
      </c>
      <c r="J393" t="s">
        <v>64</v>
      </c>
      <c r="K393" t="s">
        <v>30</v>
      </c>
      <c r="L393" s="27" t="s">
        <v>45</v>
      </c>
      <c r="M393" t="s">
        <v>46</v>
      </c>
      <c r="N393" t="s">
        <v>160</v>
      </c>
      <c r="O393" t="s">
        <v>48</v>
      </c>
      <c r="P393" t="s">
        <v>160</v>
      </c>
      <c r="Q393" t="s">
        <v>1312</v>
      </c>
      <c r="R393">
        <v>4</v>
      </c>
      <c r="S393" s="1">
        <v>250000</v>
      </c>
      <c r="T393" s="1">
        <f ca="1">ROUND(T_EMPLOYEES[[#This Row],[EMP_CTC1]]/12, 0)</f>
        <v>20833</v>
      </c>
      <c r="U393" s="1">
        <v>150000</v>
      </c>
      <c r="V393" s="1" t="s">
        <v>1238</v>
      </c>
      <c r="W393" s="1" t="s">
        <v>1238</v>
      </c>
      <c r="X39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Yatham Srinath Reddy (1029191)</v>
      </c>
      <c r="Y393">
        <v>120000</v>
      </c>
      <c r="Z393" s="29">
        <f t="shared" ca="1" si="7"/>
        <v>40</v>
      </c>
      <c r="AA393">
        <f ca="1">IF(T_EMPLOYEES[[#This Row],[EMPLOYEE NUMBER]]="","",ROW(T_EMPLOYEES[[#This Row],[EMPLOYEE LABEL]])-ROW(T_EMPLOYEES[[#Headers],[EMPLOYEE LABEL]]))</f>
        <v>390</v>
      </c>
      <c r="AB393">
        <f ca="1">IF(T_EMPLOYEES[[#This Row],[EMPLOYEE NUMBER]]="","",IF(COUNTIF(T_EMPLOYEES[EMPLOYEE NUMBER],T_EMPLOYEES[[#This Row],[EMPLOYEE NUMBER]])&gt;1,1,0))</f>
        <v>0</v>
      </c>
      <c r="AC393">
        <f ca="1">IF(T_EMPLOYEES[[#This Row],[EMPLOYEE NUMBER]]="","",IF(AND(T_EMPLOYEES[[#This Row],[DATE OF BIRTH]]&gt;0,T_EMPLOYEES[[#This Row],[DATE OF BIRTH]]&lt;TODAY()),0,1))</f>
        <v>0</v>
      </c>
      <c r="AD393">
        <f ca="1">IF(T_EMPLOYEES[[#This Row],[EMPLOYEE NUMBER]]="","",IF(AND(T_EMPLOYEES[[#This Row],[START DATE]]&gt;0,T_EMPLOYEES[[#This Row],[START DATE]]&lt;TODAY()+60),0,1))</f>
        <v>0</v>
      </c>
      <c r="AE393">
        <f ca="1">IF(T_EMPLOYEES[[#This Row],[EMPLOYEE NUMBER]]="","",MATCH(T_EMPLOYEES[[#This Row],[GENDER]],L_GENDER,0))</f>
        <v>1</v>
      </c>
      <c r="AF393">
        <f ca="1">IF(T_EMPLOYEES[[#This Row],[EMPLOYEE NUMBER]]="","",MATCH(T_EMPLOYEES[[#This Row],[HIRE SOURCE]],L_HIRESOURCE,0))</f>
        <v>4</v>
      </c>
      <c r="AG393">
        <f ca="1">IF(T_EMPLOYEES[[#This Row],[EMPLOYEE NUMBER]]="","",MATCH(T_EMPLOYEES[[#This Row],[ETHNICITY]],L_ETHNICITY,0))</f>
        <v>3</v>
      </c>
      <c r="AH393">
        <f ca="1">IF(T_EMPLOYEES[[#This Row],[EMPLOYEE NUMBER]]="","",MATCH(T_EMPLOYEES[[#This Row],[LOCATION]],L_LOCATION,0))</f>
        <v>1</v>
      </c>
      <c r="AI393">
        <f ca="1">IF(T_EMPLOYEES[[#This Row],[EMPLOYEE NUMBER]]="","",MATCH(T_EMPLOYEES[[#This Row],[DEPARTMENT]],L_DEPARTMENT,0))</f>
        <v>2</v>
      </c>
      <c r="AJ393">
        <f ca="1">IF(T_EMPLOYEES[[#This Row],[EMPLOYEE NUMBER]]="","",MATCH(T_EMPLOYEES[[#This Row],[JOB TYPE]],L_JOBTYPE,0))</f>
        <v>2</v>
      </c>
      <c r="AK393">
        <f ca="1">IF(T_EMPLOYEES[[#This Row],[EMPLOYEE NUMBER]]="","",MATCH(T_EMPLOYEES[[#This Row],[JOB CATEGORY]],L_JOBCATEGORY,0))</f>
        <v>39</v>
      </c>
      <c r="AL393">
        <f ca="1">IF(T_EMPLOYEES[[#This Row],[EMPLOYEE NUMBER]]="","",MATCH(T_EMPLOYEES[[#This Row],[JOB LEVEL]],L_JOBLEVEL,0))</f>
        <v>2</v>
      </c>
      <c r="AM393">
        <f ca="1">IF(T_EMPLOYEES[[#This Row],[EMPLOYEE NUMBER]]="","",MATCH(T_EMPLOYEES[[#This Row],[JOB TITLE]],L_JOBTITLE,0))</f>
        <v>39</v>
      </c>
      <c r="AN393">
        <f ca="1">IF(T_EMPLOYEES[[#This Row],[EMPLOYEE NUMBER]]="","",MATCH(T_EMPLOYEES[[#This Row],[MANAGER]],L_EMPLABELS,0))</f>
        <v>144</v>
      </c>
      <c r="AO393">
        <f ca="1">IF(T_EMPLOYEES[[#This Row],[EMPLOYEE NUMBER]]="","",IF(T_EMPLOYEES[[#This Row],[ERROR]]="",0,1))</f>
        <v>0</v>
      </c>
      <c r="AP39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4" spans="1:42">
      <c r="A394" t="s">
        <v>1313</v>
      </c>
      <c r="B394" t="s">
        <v>1314</v>
      </c>
      <c r="C394">
        <v>1024892</v>
      </c>
      <c r="D394" t="s">
        <v>1315</v>
      </c>
      <c r="E394" s="26">
        <v>35975</v>
      </c>
      <c r="F394" s="26">
        <v>44284</v>
      </c>
      <c r="H394" t="s">
        <v>40</v>
      </c>
      <c r="I394" t="s">
        <v>54</v>
      </c>
      <c r="J394" t="s">
        <v>64</v>
      </c>
      <c r="K394" t="s">
        <v>30</v>
      </c>
      <c r="L394" s="27" t="s">
        <v>45</v>
      </c>
      <c r="M394" t="s">
        <v>46</v>
      </c>
      <c r="N394" t="s">
        <v>158</v>
      </c>
      <c r="O394" t="s">
        <v>48</v>
      </c>
      <c r="P394" t="s">
        <v>158</v>
      </c>
      <c r="Q394" t="s">
        <v>970</v>
      </c>
      <c r="R394" s="27">
        <v>4</v>
      </c>
      <c r="S394" s="1">
        <v>250000</v>
      </c>
      <c r="T394" s="1">
        <f ca="1">ROUND(T_EMPLOYEES[[#This Row],[EMP_CTC1]]/12, 0)</f>
        <v>20833</v>
      </c>
      <c r="U394" s="1">
        <v>150000</v>
      </c>
      <c r="V394" s="1" t="s">
        <v>1238</v>
      </c>
      <c r="W394" s="1" t="s">
        <v>1238</v>
      </c>
      <c r="X39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Srishti  Gupta (1024892)</v>
      </c>
      <c r="Y394">
        <v>120000</v>
      </c>
      <c r="Z394" s="29">
        <f t="shared" ca="1" si="7"/>
        <v>40</v>
      </c>
      <c r="AA394">
        <f ca="1">IF(T_EMPLOYEES[[#This Row],[EMPLOYEE NUMBER]]="","",ROW(T_EMPLOYEES[[#This Row],[EMPLOYEE LABEL]])-ROW(T_EMPLOYEES[[#Headers],[EMPLOYEE LABEL]]))</f>
        <v>391</v>
      </c>
      <c r="AB394">
        <f ca="1">IF(T_EMPLOYEES[[#This Row],[EMPLOYEE NUMBER]]="","",IF(COUNTIF(T_EMPLOYEES[EMPLOYEE NUMBER],T_EMPLOYEES[[#This Row],[EMPLOYEE NUMBER]])&gt;1,1,0))</f>
        <v>0</v>
      </c>
      <c r="AC394">
        <f ca="1">IF(T_EMPLOYEES[[#This Row],[EMPLOYEE NUMBER]]="","",IF(AND(T_EMPLOYEES[[#This Row],[DATE OF BIRTH]]&gt;0,T_EMPLOYEES[[#This Row],[DATE OF BIRTH]]&lt;TODAY()),0,1))</f>
        <v>0</v>
      </c>
      <c r="AD394">
        <f ca="1">IF(T_EMPLOYEES[[#This Row],[EMPLOYEE NUMBER]]="","",IF(AND(T_EMPLOYEES[[#This Row],[START DATE]]&gt;0,T_EMPLOYEES[[#This Row],[START DATE]]&lt;TODAY()+60),0,1))</f>
        <v>0</v>
      </c>
      <c r="AE394">
        <f ca="1">IF(T_EMPLOYEES[[#This Row],[EMPLOYEE NUMBER]]="","",MATCH(T_EMPLOYEES[[#This Row],[GENDER]],L_GENDER,0))</f>
        <v>2</v>
      </c>
      <c r="AF394">
        <f ca="1">IF(T_EMPLOYEES[[#This Row],[EMPLOYEE NUMBER]]="","",MATCH(T_EMPLOYEES[[#This Row],[HIRE SOURCE]],L_HIRESOURCE,0))</f>
        <v>4</v>
      </c>
      <c r="AG394">
        <f ca="1">IF(T_EMPLOYEES[[#This Row],[EMPLOYEE NUMBER]]="","",MATCH(T_EMPLOYEES[[#This Row],[ETHNICITY]],L_ETHNICITY,0))</f>
        <v>3</v>
      </c>
      <c r="AH394">
        <f ca="1">IF(T_EMPLOYEES[[#This Row],[EMPLOYEE NUMBER]]="","",MATCH(T_EMPLOYEES[[#This Row],[LOCATION]],L_LOCATION,0))</f>
        <v>1</v>
      </c>
      <c r="AI394">
        <f ca="1">IF(T_EMPLOYEES[[#This Row],[EMPLOYEE NUMBER]]="","",MATCH(T_EMPLOYEES[[#This Row],[DEPARTMENT]],L_DEPARTMENT,0))</f>
        <v>2</v>
      </c>
      <c r="AJ394">
        <f ca="1">IF(T_EMPLOYEES[[#This Row],[EMPLOYEE NUMBER]]="","",MATCH(T_EMPLOYEES[[#This Row],[JOB TYPE]],L_JOBTYPE,0))</f>
        <v>2</v>
      </c>
      <c r="AK394">
        <f ca="1">IF(T_EMPLOYEES[[#This Row],[EMPLOYEE NUMBER]]="","",MATCH(T_EMPLOYEES[[#This Row],[JOB CATEGORY]],L_JOBCATEGORY,0))</f>
        <v>37</v>
      </c>
      <c r="AL394">
        <f ca="1">IF(T_EMPLOYEES[[#This Row],[EMPLOYEE NUMBER]]="","",MATCH(T_EMPLOYEES[[#This Row],[JOB LEVEL]],L_JOBLEVEL,0))</f>
        <v>2</v>
      </c>
      <c r="AM394">
        <f ca="1">IF(T_EMPLOYEES[[#This Row],[EMPLOYEE NUMBER]]="","",MATCH(T_EMPLOYEES[[#This Row],[JOB TITLE]],L_JOBTITLE,0))</f>
        <v>37</v>
      </c>
      <c r="AN394">
        <f ca="1">IF(T_EMPLOYEES[[#This Row],[EMPLOYEE NUMBER]]="","",MATCH(T_EMPLOYEES[[#This Row],[MANAGER]],L_EMPLABELS,0))</f>
        <v>124</v>
      </c>
      <c r="AO394">
        <f ca="1">IF(T_EMPLOYEES[[#This Row],[EMPLOYEE NUMBER]]="","",IF(T_EMPLOYEES[[#This Row],[ERROR]]="",0,1))</f>
        <v>0</v>
      </c>
      <c r="AP39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5" spans="1:42">
      <c r="A395" t="s">
        <v>1316</v>
      </c>
      <c r="B395" t="s">
        <v>1317</v>
      </c>
      <c r="C395">
        <v>1031069</v>
      </c>
      <c r="D395" t="s">
        <v>1318</v>
      </c>
      <c r="E395" s="26">
        <v>35980</v>
      </c>
      <c r="F395" s="26">
        <v>44889</v>
      </c>
      <c r="H395" t="s">
        <v>27</v>
      </c>
      <c r="I395" t="s">
        <v>54</v>
      </c>
      <c r="J395" t="s">
        <v>64</v>
      </c>
      <c r="K395" t="s">
        <v>43</v>
      </c>
      <c r="L395" t="s">
        <v>130</v>
      </c>
      <c r="M395" t="s">
        <v>46</v>
      </c>
      <c r="N395" t="s">
        <v>151</v>
      </c>
      <c r="O395" t="s">
        <v>36</v>
      </c>
      <c r="P395" t="s">
        <v>151</v>
      </c>
      <c r="Q395" t="s">
        <v>337</v>
      </c>
      <c r="R395">
        <v>0</v>
      </c>
      <c r="S395" s="1">
        <v>250000</v>
      </c>
      <c r="T395" s="1">
        <f ca="1">ROUND(T_EMPLOYEES[[#This Row],[EMP_CTC1]]/12, 0)</f>
        <v>20833</v>
      </c>
      <c r="U395" s="1">
        <v>150000</v>
      </c>
      <c r="V395" s="1" t="s">
        <v>1238</v>
      </c>
      <c r="W395" s="1" t="s">
        <v>1238</v>
      </c>
      <c r="X39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Siddhesh suresh patil (1031069)</v>
      </c>
      <c r="Y395">
        <v>120000</v>
      </c>
      <c r="Z395" s="29">
        <f t="shared" ca="1" si="7"/>
        <v>40</v>
      </c>
      <c r="AA395">
        <f ca="1">IF(T_EMPLOYEES[[#This Row],[EMPLOYEE NUMBER]]="","",ROW(T_EMPLOYEES[[#This Row],[EMPLOYEE LABEL]])-ROW(T_EMPLOYEES[[#Headers],[EMPLOYEE LABEL]]))</f>
        <v>392</v>
      </c>
      <c r="AB395">
        <f ca="1">IF(T_EMPLOYEES[[#This Row],[EMPLOYEE NUMBER]]="","",IF(COUNTIF(T_EMPLOYEES[EMPLOYEE NUMBER],T_EMPLOYEES[[#This Row],[EMPLOYEE NUMBER]])&gt;1,1,0))</f>
        <v>0</v>
      </c>
      <c r="AC395">
        <f ca="1">IF(T_EMPLOYEES[[#This Row],[EMPLOYEE NUMBER]]="","",IF(AND(T_EMPLOYEES[[#This Row],[DATE OF BIRTH]]&gt;0,T_EMPLOYEES[[#This Row],[DATE OF BIRTH]]&lt;TODAY()),0,1))</f>
        <v>0</v>
      </c>
      <c r="AD395">
        <f ca="1">IF(T_EMPLOYEES[[#This Row],[EMPLOYEE NUMBER]]="","",IF(AND(T_EMPLOYEES[[#This Row],[START DATE]]&gt;0,T_EMPLOYEES[[#This Row],[START DATE]]&lt;TODAY()+60),0,1))</f>
        <v>0</v>
      </c>
      <c r="AE395">
        <f ca="1">IF(T_EMPLOYEES[[#This Row],[EMPLOYEE NUMBER]]="","",MATCH(T_EMPLOYEES[[#This Row],[GENDER]],L_GENDER,0))</f>
        <v>1</v>
      </c>
      <c r="AF395">
        <f ca="1">IF(T_EMPLOYEES[[#This Row],[EMPLOYEE NUMBER]]="","",MATCH(T_EMPLOYEES[[#This Row],[HIRE SOURCE]],L_HIRESOURCE,0))</f>
        <v>4</v>
      </c>
      <c r="AG395">
        <f ca="1">IF(T_EMPLOYEES[[#This Row],[EMPLOYEE NUMBER]]="","",MATCH(T_EMPLOYEES[[#This Row],[ETHNICITY]],L_ETHNICITY,0))</f>
        <v>3</v>
      </c>
      <c r="AH395">
        <f ca="1">IF(T_EMPLOYEES[[#This Row],[EMPLOYEE NUMBER]]="","",MATCH(T_EMPLOYEES[[#This Row],[LOCATION]],L_LOCATION,0))</f>
        <v>2</v>
      </c>
      <c r="AI395">
        <f ca="1">IF(T_EMPLOYEES[[#This Row],[EMPLOYEE NUMBER]]="","",MATCH(T_EMPLOYEES[[#This Row],[DEPARTMENT]],L_DEPARTMENT,0))</f>
        <v>16</v>
      </c>
      <c r="AJ395">
        <f ca="1">IF(T_EMPLOYEES[[#This Row],[EMPLOYEE NUMBER]]="","",MATCH(T_EMPLOYEES[[#This Row],[JOB TYPE]],L_JOBTYPE,0))</f>
        <v>2</v>
      </c>
      <c r="AK395">
        <f ca="1">IF(T_EMPLOYEES[[#This Row],[EMPLOYEE NUMBER]]="","",MATCH(T_EMPLOYEES[[#This Row],[JOB CATEGORY]],L_JOBCATEGORY,0))</f>
        <v>30</v>
      </c>
      <c r="AL395">
        <f ca="1">IF(T_EMPLOYEES[[#This Row],[EMPLOYEE NUMBER]]="","",MATCH(T_EMPLOYEES[[#This Row],[JOB LEVEL]],L_JOBLEVEL,0))</f>
        <v>1</v>
      </c>
      <c r="AM395">
        <f ca="1">IF(T_EMPLOYEES[[#This Row],[EMPLOYEE NUMBER]]="","",MATCH(T_EMPLOYEES[[#This Row],[JOB TITLE]],L_JOBTITLE,0))</f>
        <v>30</v>
      </c>
      <c r="AN395">
        <f ca="1">IF(T_EMPLOYEES[[#This Row],[EMPLOYEE NUMBER]]="","",MATCH(T_EMPLOYEES[[#This Row],[MANAGER]],L_EMPLABELS,0))</f>
        <v>48</v>
      </c>
      <c r="AO395">
        <f ca="1">IF(T_EMPLOYEES[[#This Row],[EMPLOYEE NUMBER]]="","",IF(T_EMPLOYEES[[#This Row],[ERROR]]="",0,1))</f>
        <v>0</v>
      </c>
      <c r="AP39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6" spans="1:42">
      <c r="A396" t="s">
        <v>1319</v>
      </c>
      <c r="B396" t="s">
        <v>1320</v>
      </c>
      <c r="C396">
        <v>1023755</v>
      </c>
      <c r="D396" t="s">
        <v>1321</v>
      </c>
      <c r="E396" s="26">
        <v>35982</v>
      </c>
      <c r="F396" s="26">
        <v>44075</v>
      </c>
      <c r="H396" t="s">
        <v>27</v>
      </c>
      <c r="I396" t="s">
        <v>54</v>
      </c>
      <c r="J396" t="s">
        <v>64</v>
      </c>
      <c r="K396" t="s">
        <v>30</v>
      </c>
      <c r="L396" s="27" t="s">
        <v>114</v>
      </c>
      <c r="M396" t="s">
        <v>46</v>
      </c>
      <c r="N396" t="s">
        <v>160</v>
      </c>
      <c r="O396" t="s">
        <v>48</v>
      </c>
      <c r="P396" t="s">
        <v>160</v>
      </c>
      <c r="Q396" t="s">
        <v>505</v>
      </c>
      <c r="R396" s="27">
        <v>4</v>
      </c>
      <c r="S396" s="1">
        <v>250000</v>
      </c>
      <c r="T396" s="1">
        <f ca="1">ROUND(T_EMPLOYEES[[#This Row],[EMP_CTC1]]/12, 0)</f>
        <v>20833</v>
      </c>
      <c r="U396" s="1">
        <v>150000</v>
      </c>
      <c r="V396" s="1" t="s">
        <v>1238</v>
      </c>
      <c r="W396" s="1" t="s">
        <v>1238</v>
      </c>
      <c r="X39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Abhijit  Mohapatra (1023755)</v>
      </c>
      <c r="Y396">
        <v>120000</v>
      </c>
      <c r="Z396" s="29">
        <f t="shared" ca="1" si="7"/>
        <v>40</v>
      </c>
      <c r="AA396">
        <f ca="1">IF(T_EMPLOYEES[[#This Row],[EMPLOYEE NUMBER]]="","",ROW(T_EMPLOYEES[[#This Row],[EMPLOYEE LABEL]])-ROW(T_EMPLOYEES[[#Headers],[EMPLOYEE LABEL]]))</f>
        <v>393</v>
      </c>
      <c r="AB396">
        <f ca="1">IF(T_EMPLOYEES[[#This Row],[EMPLOYEE NUMBER]]="","",IF(COUNTIF(T_EMPLOYEES[EMPLOYEE NUMBER],T_EMPLOYEES[[#This Row],[EMPLOYEE NUMBER]])&gt;1,1,0))</f>
        <v>0</v>
      </c>
      <c r="AC396">
        <f ca="1">IF(T_EMPLOYEES[[#This Row],[EMPLOYEE NUMBER]]="","",IF(AND(T_EMPLOYEES[[#This Row],[DATE OF BIRTH]]&gt;0,T_EMPLOYEES[[#This Row],[DATE OF BIRTH]]&lt;TODAY()),0,1))</f>
        <v>0</v>
      </c>
      <c r="AD396">
        <f ca="1">IF(T_EMPLOYEES[[#This Row],[EMPLOYEE NUMBER]]="","",IF(AND(T_EMPLOYEES[[#This Row],[START DATE]]&gt;0,T_EMPLOYEES[[#This Row],[START DATE]]&lt;TODAY()+60),0,1))</f>
        <v>0</v>
      </c>
      <c r="AE396">
        <f ca="1">IF(T_EMPLOYEES[[#This Row],[EMPLOYEE NUMBER]]="","",MATCH(T_EMPLOYEES[[#This Row],[GENDER]],L_GENDER,0))</f>
        <v>1</v>
      </c>
      <c r="AF396">
        <f ca="1">IF(T_EMPLOYEES[[#This Row],[EMPLOYEE NUMBER]]="","",MATCH(T_EMPLOYEES[[#This Row],[HIRE SOURCE]],L_HIRESOURCE,0))</f>
        <v>4</v>
      </c>
      <c r="AG396">
        <f ca="1">IF(T_EMPLOYEES[[#This Row],[EMPLOYEE NUMBER]]="","",MATCH(T_EMPLOYEES[[#This Row],[ETHNICITY]],L_ETHNICITY,0))</f>
        <v>3</v>
      </c>
      <c r="AH396">
        <f ca="1">IF(T_EMPLOYEES[[#This Row],[EMPLOYEE NUMBER]]="","",MATCH(T_EMPLOYEES[[#This Row],[LOCATION]],L_LOCATION,0))</f>
        <v>1</v>
      </c>
      <c r="AI396">
        <f ca="1">IF(T_EMPLOYEES[[#This Row],[EMPLOYEE NUMBER]]="","",MATCH(T_EMPLOYEES[[#This Row],[DEPARTMENT]],L_DEPARTMENT,0))</f>
        <v>11</v>
      </c>
      <c r="AJ396">
        <f ca="1">IF(T_EMPLOYEES[[#This Row],[EMPLOYEE NUMBER]]="","",MATCH(T_EMPLOYEES[[#This Row],[JOB TYPE]],L_JOBTYPE,0))</f>
        <v>2</v>
      </c>
      <c r="AK396">
        <f ca="1">IF(T_EMPLOYEES[[#This Row],[EMPLOYEE NUMBER]]="","",MATCH(T_EMPLOYEES[[#This Row],[JOB CATEGORY]],L_JOBCATEGORY,0))</f>
        <v>39</v>
      </c>
      <c r="AL396">
        <f ca="1">IF(T_EMPLOYEES[[#This Row],[EMPLOYEE NUMBER]]="","",MATCH(T_EMPLOYEES[[#This Row],[JOB LEVEL]],L_JOBLEVEL,0))</f>
        <v>2</v>
      </c>
      <c r="AM396">
        <f ca="1">IF(T_EMPLOYEES[[#This Row],[EMPLOYEE NUMBER]]="","",MATCH(T_EMPLOYEES[[#This Row],[JOB TITLE]],L_JOBTITLE,0))</f>
        <v>39</v>
      </c>
      <c r="AN396">
        <f ca="1">IF(T_EMPLOYEES[[#This Row],[EMPLOYEE NUMBER]]="","",MATCH(T_EMPLOYEES[[#This Row],[MANAGER]],L_EMPLABELS,0))</f>
        <v>57</v>
      </c>
      <c r="AO396">
        <f ca="1">IF(T_EMPLOYEES[[#This Row],[EMPLOYEE NUMBER]]="","",IF(T_EMPLOYEES[[#This Row],[ERROR]]="",0,1))</f>
        <v>0</v>
      </c>
      <c r="AP39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7" spans="1:42">
      <c r="A397" t="s">
        <v>971</v>
      </c>
      <c r="B397" t="s">
        <v>1322</v>
      </c>
      <c r="C397">
        <v>1027110</v>
      </c>
      <c r="D397" t="s">
        <v>1323</v>
      </c>
      <c r="E397" s="26">
        <v>35986</v>
      </c>
      <c r="F397" s="26">
        <v>44508</v>
      </c>
      <c r="H397" t="s">
        <v>27</v>
      </c>
      <c r="I397" t="s">
        <v>54</v>
      </c>
      <c r="J397" t="s">
        <v>64</v>
      </c>
      <c r="K397" t="s">
        <v>30</v>
      </c>
      <c r="L397" s="27" t="s">
        <v>45</v>
      </c>
      <c r="M397" t="s">
        <v>46</v>
      </c>
      <c r="N397" t="s">
        <v>148</v>
      </c>
      <c r="O397" t="s">
        <v>48</v>
      </c>
      <c r="P397" t="s">
        <v>148</v>
      </c>
      <c r="Q397" t="s">
        <v>1185</v>
      </c>
      <c r="R397">
        <v>4</v>
      </c>
      <c r="S397" s="1">
        <v>250000</v>
      </c>
      <c r="T397" s="1">
        <f ca="1">ROUND(T_EMPLOYEES[[#This Row],[EMP_CTC1]]/12, 0)</f>
        <v>20833</v>
      </c>
      <c r="U397" s="1">
        <v>150000</v>
      </c>
      <c r="V397" s="1" t="s">
        <v>1238</v>
      </c>
      <c r="W397" s="1" t="s">
        <v>1238</v>
      </c>
      <c r="X39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Sagar Ravi Indi (1027110)</v>
      </c>
      <c r="Y397">
        <v>120000</v>
      </c>
      <c r="Z397" s="29">
        <f t="shared" ca="1" si="7"/>
        <v>40</v>
      </c>
      <c r="AA397">
        <f ca="1">IF(T_EMPLOYEES[[#This Row],[EMPLOYEE NUMBER]]="","",ROW(T_EMPLOYEES[[#This Row],[EMPLOYEE LABEL]])-ROW(T_EMPLOYEES[[#Headers],[EMPLOYEE LABEL]]))</f>
        <v>394</v>
      </c>
      <c r="AB397">
        <f ca="1">IF(T_EMPLOYEES[[#This Row],[EMPLOYEE NUMBER]]="","",IF(COUNTIF(T_EMPLOYEES[EMPLOYEE NUMBER],T_EMPLOYEES[[#This Row],[EMPLOYEE NUMBER]])&gt;1,1,0))</f>
        <v>0</v>
      </c>
      <c r="AC397">
        <f ca="1">IF(T_EMPLOYEES[[#This Row],[EMPLOYEE NUMBER]]="","",IF(AND(T_EMPLOYEES[[#This Row],[DATE OF BIRTH]]&gt;0,T_EMPLOYEES[[#This Row],[DATE OF BIRTH]]&lt;TODAY()),0,1))</f>
        <v>0</v>
      </c>
      <c r="AD397">
        <f ca="1">IF(T_EMPLOYEES[[#This Row],[EMPLOYEE NUMBER]]="","",IF(AND(T_EMPLOYEES[[#This Row],[START DATE]]&gt;0,T_EMPLOYEES[[#This Row],[START DATE]]&lt;TODAY()+60),0,1))</f>
        <v>0</v>
      </c>
      <c r="AE397">
        <f ca="1">IF(T_EMPLOYEES[[#This Row],[EMPLOYEE NUMBER]]="","",MATCH(T_EMPLOYEES[[#This Row],[GENDER]],L_GENDER,0))</f>
        <v>1</v>
      </c>
      <c r="AF397">
        <f ca="1">IF(T_EMPLOYEES[[#This Row],[EMPLOYEE NUMBER]]="","",MATCH(T_EMPLOYEES[[#This Row],[HIRE SOURCE]],L_HIRESOURCE,0))</f>
        <v>4</v>
      </c>
      <c r="AG397">
        <f ca="1">IF(T_EMPLOYEES[[#This Row],[EMPLOYEE NUMBER]]="","",MATCH(T_EMPLOYEES[[#This Row],[ETHNICITY]],L_ETHNICITY,0))</f>
        <v>3</v>
      </c>
      <c r="AH397">
        <f ca="1">IF(T_EMPLOYEES[[#This Row],[EMPLOYEE NUMBER]]="","",MATCH(T_EMPLOYEES[[#This Row],[LOCATION]],L_LOCATION,0))</f>
        <v>1</v>
      </c>
      <c r="AI397">
        <f ca="1">IF(T_EMPLOYEES[[#This Row],[EMPLOYEE NUMBER]]="","",MATCH(T_EMPLOYEES[[#This Row],[DEPARTMENT]],L_DEPARTMENT,0))</f>
        <v>2</v>
      </c>
      <c r="AJ397">
        <f ca="1">IF(T_EMPLOYEES[[#This Row],[EMPLOYEE NUMBER]]="","",MATCH(T_EMPLOYEES[[#This Row],[JOB TYPE]],L_JOBTYPE,0))</f>
        <v>2</v>
      </c>
      <c r="AK397">
        <f ca="1">IF(T_EMPLOYEES[[#This Row],[EMPLOYEE NUMBER]]="","",MATCH(T_EMPLOYEES[[#This Row],[JOB CATEGORY]],L_JOBCATEGORY,0))</f>
        <v>27</v>
      </c>
      <c r="AL397">
        <f ca="1">IF(T_EMPLOYEES[[#This Row],[EMPLOYEE NUMBER]]="","",MATCH(T_EMPLOYEES[[#This Row],[JOB LEVEL]],L_JOBLEVEL,0))</f>
        <v>2</v>
      </c>
      <c r="AM397">
        <f ca="1">IF(T_EMPLOYEES[[#This Row],[EMPLOYEE NUMBER]]="","",MATCH(T_EMPLOYEES[[#This Row],[JOB TITLE]],L_JOBTITLE,0))</f>
        <v>27</v>
      </c>
      <c r="AN397">
        <f ca="1">IF(T_EMPLOYEES[[#This Row],[EMPLOYEE NUMBER]]="","",MATCH(T_EMPLOYEES[[#This Row],[MANAGER]],L_EMPLABELS,0))</f>
        <v>216</v>
      </c>
      <c r="AO397">
        <f ca="1">IF(T_EMPLOYEES[[#This Row],[EMPLOYEE NUMBER]]="","",IF(T_EMPLOYEES[[#This Row],[ERROR]]="",0,1))</f>
        <v>0</v>
      </c>
      <c r="AP39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8" spans="1:42">
      <c r="A398" t="s">
        <v>1324</v>
      </c>
      <c r="B398" t="s">
        <v>257</v>
      </c>
      <c r="C398">
        <v>1024939</v>
      </c>
      <c r="D398" t="s">
        <v>1325</v>
      </c>
      <c r="E398" s="26">
        <v>35998</v>
      </c>
      <c r="F398" s="26">
        <v>44287</v>
      </c>
      <c r="H398" t="s">
        <v>40</v>
      </c>
      <c r="I398" t="s">
        <v>54</v>
      </c>
      <c r="J398" t="s">
        <v>64</v>
      </c>
      <c r="K398" t="s">
        <v>43</v>
      </c>
      <c r="L398" s="27" t="s">
        <v>110</v>
      </c>
      <c r="M398" t="s">
        <v>46</v>
      </c>
      <c r="N398" t="s">
        <v>148</v>
      </c>
      <c r="O398" t="s">
        <v>48</v>
      </c>
      <c r="P398" t="s">
        <v>148</v>
      </c>
      <c r="Q398" t="s">
        <v>861</v>
      </c>
      <c r="R398" s="27">
        <v>4</v>
      </c>
      <c r="S398" s="1">
        <v>250000</v>
      </c>
      <c r="T398" s="1">
        <f ca="1">ROUND(T_EMPLOYEES[[#This Row],[EMP_CTC1]]/12, 0)</f>
        <v>20833</v>
      </c>
      <c r="U398" s="1">
        <v>150000</v>
      </c>
      <c r="V398" s="1" t="s">
        <v>1238</v>
      </c>
      <c r="W398" s="1" t="s">
        <v>1238</v>
      </c>
      <c r="X39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Deepika  N (1024939)</v>
      </c>
      <c r="Y398">
        <v>120000</v>
      </c>
      <c r="Z398" s="29">
        <f t="shared" ca="1" si="7"/>
        <v>40</v>
      </c>
      <c r="AA398">
        <f ca="1">IF(T_EMPLOYEES[[#This Row],[EMPLOYEE NUMBER]]="","",ROW(T_EMPLOYEES[[#This Row],[EMPLOYEE LABEL]])-ROW(T_EMPLOYEES[[#Headers],[EMPLOYEE LABEL]]))</f>
        <v>395</v>
      </c>
      <c r="AB398">
        <f ca="1">IF(T_EMPLOYEES[[#This Row],[EMPLOYEE NUMBER]]="","",IF(COUNTIF(T_EMPLOYEES[EMPLOYEE NUMBER],T_EMPLOYEES[[#This Row],[EMPLOYEE NUMBER]])&gt;1,1,0))</f>
        <v>0</v>
      </c>
      <c r="AC398">
        <f ca="1">IF(T_EMPLOYEES[[#This Row],[EMPLOYEE NUMBER]]="","",IF(AND(T_EMPLOYEES[[#This Row],[DATE OF BIRTH]]&gt;0,T_EMPLOYEES[[#This Row],[DATE OF BIRTH]]&lt;TODAY()),0,1))</f>
        <v>0</v>
      </c>
      <c r="AD398">
        <f ca="1">IF(T_EMPLOYEES[[#This Row],[EMPLOYEE NUMBER]]="","",IF(AND(T_EMPLOYEES[[#This Row],[START DATE]]&gt;0,T_EMPLOYEES[[#This Row],[START DATE]]&lt;TODAY()+60),0,1))</f>
        <v>0</v>
      </c>
      <c r="AE398">
        <f ca="1">IF(T_EMPLOYEES[[#This Row],[EMPLOYEE NUMBER]]="","",MATCH(T_EMPLOYEES[[#This Row],[GENDER]],L_GENDER,0))</f>
        <v>2</v>
      </c>
      <c r="AF398">
        <f ca="1">IF(T_EMPLOYEES[[#This Row],[EMPLOYEE NUMBER]]="","",MATCH(T_EMPLOYEES[[#This Row],[HIRE SOURCE]],L_HIRESOURCE,0))</f>
        <v>4</v>
      </c>
      <c r="AG398">
        <f ca="1">IF(T_EMPLOYEES[[#This Row],[EMPLOYEE NUMBER]]="","",MATCH(T_EMPLOYEES[[#This Row],[ETHNICITY]],L_ETHNICITY,0))</f>
        <v>3</v>
      </c>
      <c r="AH398">
        <f ca="1">IF(T_EMPLOYEES[[#This Row],[EMPLOYEE NUMBER]]="","",MATCH(T_EMPLOYEES[[#This Row],[LOCATION]],L_LOCATION,0))</f>
        <v>2</v>
      </c>
      <c r="AI398">
        <f ca="1">IF(T_EMPLOYEES[[#This Row],[EMPLOYEE NUMBER]]="","",MATCH(T_EMPLOYEES[[#This Row],[DEPARTMENT]],L_DEPARTMENT,0))</f>
        <v>10</v>
      </c>
      <c r="AJ398">
        <f ca="1">IF(T_EMPLOYEES[[#This Row],[EMPLOYEE NUMBER]]="","",MATCH(T_EMPLOYEES[[#This Row],[JOB TYPE]],L_JOBTYPE,0))</f>
        <v>2</v>
      </c>
      <c r="AK398">
        <f ca="1">IF(T_EMPLOYEES[[#This Row],[EMPLOYEE NUMBER]]="","",MATCH(T_EMPLOYEES[[#This Row],[JOB CATEGORY]],L_JOBCATEGORY,0))</f>
        <v>27</v>
      </c>
      <c r="AL398">
        <f ca="1">IF(T_EMPLOYEES[[#This Row],[EMPLOYEE NUMBER]]="","",MATCH(T_EMPLOYEES[[#This Row],[JOB LEVEL]],L_JOBLEVEL,0))</f>
        <v>2</v>
      </c>
      <c r="AM398">
        <f ca="1">IF(T_EMPLOYEES[[#This Row],[EMPLOYEE NUMBER]]="","",MATCH(T_EMPLOYEES[[#This Row],[JOB TITLE]],L_JOBTITLE,0))</f>
        <v>27</v>
      </c>
      <c r="AN398">
        <f ca="1">IF(T_EMPLOYEES[[#This Row],[EMPLOYEE NUMBER]]="","",MATCH(T_EMPLOYEES[[#This Row],[MANAGER]],L_EMPLABELS,0))</f>
        <v>130</v>
      </c>
      <c r="AO398">
        <f ca="1">IF(T_EMPLOYEES[[#This Row],[EMPLOYEE NUMBER]]="","",IF(T_EMPLOYEES[[#This Row],[ERROR]]="",0,1))</f>
        <v>0</v>
      </c>
      <c r="AP39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9" spans="1:42">
      <c r="A399" t="s">
        <v>1018</v>
      </c>
      <c r="B399" t="s">
        <v>551</v>
      </c>
      <c r="C399">
        <v>1023719</v>
      </c>
      <c r="D399" t="s">
        <v>1326</v>
      </c>
      <c r="E399" s="26">
        <v>36027</v>
      </c>
      <c r="F399" s="26">
        <v>44075</v>
      </c>
      <c r="H399" t="s">
        <v>40</v>
      </c>
      <c r="I399" t="s">
        <v>54</v>
      </c>
      <c r="J399" t="s">
        <v>64</v>
      </c>
      <c r="K399" t="s">
        <v>30</v>
      </c>
      <c r="L399" s="27" t="s">
        <v>114</v>
      </c>
      <c r="M399" t="s">
        <v>46</v>
      </c>
      <c r="N399" t="s">
        <v>160</v>
      </c>
      <c r="O399" t="s">
        <v>48</v>
      </c>
      <c r="P399" t="s">
        <v>160</v>
      </c>
      <c r="Q399" t="s">
        <v>468</v>
      </c>
      <c r="R399">
        <v>4</v>
      </c>
      <c r="S399" s="1">
        <v>250000</v>
      </c>
      <c r="T399" s="1">
        <f ca="1">ROUND(T_EMPLOYEES[[#This Row],[EMP_CTC1]]/12, 0)</f>
        <v>20833</v>
      </c>
      <c r="U399" s="1">
        <v>150000</v>
      </c>
      <c r="V399" s="1" t="s">
        <v>1238</v>
      </c>
      <c r="W399" s="1" t="s">
        <v>1238</v>
      </c>
      <c r="X39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Vidya  K (1023719)</v>
      </c>
      <c r="Y399">
        <v>120000</v>
      </c>
      <c r="Z399" s="29">
        <f t="shared" ca="1" si="7"/>
        <v>40</v>
      </c>
      <c r="AA399">
        <f ca="1">IF(T_EMPLOYEES[[#This Row],[EMPLOYEE NUMBER]]="","",ROW(T_EMPLOYEES[[#This Row],[EMPLOYEE LABEL]])-ROW(T_EMPLOYEES[[#Headers],[EMPLOYEE LABEL]]))</f>
        <v>396</v>
      </c>
      <c r="AB399">
        <f ca="1">IF(T_EMPLOYEES[[#This Row],[EMPLOYEE NUMBER]]="","",IF(COUNTIF(T_EMPLOYEES[EMPLOYEE NUMBER],T_EMPLOYEES[[#This Row],[EMPLOYEE NUMBER]])&gt;1,1,0))</f>
        <v>0</v>
      </c>
      <c r="AC399">
        <f ca="1">IF(T_EMPLOYEES[[#This Row],[EMPLOYEE NUMBER]]="","",IF(AND(T_EMPLOYEES[[#This Row],[DATE OF BIRTH]]&gt;0,T_EMPLOYEES[[#This Row],[DATE OF BIRTH]]&lt;TODAY()),0,1))</f>
        <v>0</v>
      </c>
      <c r="AD399">
        <f ca="1">IF(T_EMPLOYEES[[#This Row],[EMPLOYEE NUMBER]]="","",IF(AND(T_EMPLOYEES[[#This Row],[START DATE]]&gt;0,T_EMPLOYEES[[#This Row],[START DATE]]&lt;TODAY()+60),0,1))</f>
        <v>0</v>
      </c>
      <c r="AE399">
        <f ca="1">IF(T_EMPLOYEES[[#This Row],[EMPLOYEE NUMBER]]="","",MATCH(T_EMPLOYEES[[#This Row],[GENDER]],L_GENDER,0))</f>
        <v>2</v>
      </c>
      <c r="AF399">
        <f ca="1">IF(T_EMPLOYEES[[#This Row],[EMPLOYEE NUMBER]]="","",MATCH(T_EMPLOYEES[[#This Row],[HIRE SOURCE]],L_HIRESOURCE,0))</f>
        <v>4</v>
      </c>
      <c r="AG399">
        <f ca="1">IF(T_EMPLOYEES[[#This Row],[EMPLOYEE NUMBER]]="","",MATCH(T_EMPLOYEES[[#This Row],[ETHNICITY]],L_ETHNICITY,0))</f>
        <v>3</v>
      </c>
      <c r="AH399">
        <f ca="1">IF(T_EMPLOYEES[[#This Row],[EMPLOYEE NUMBER]]="","",MATCH(T_EMPLOYEES[[#This Row],[LOCATION]],L_LOCATION,0))</f>
        <v>1</v>
      </c>
      <c r="AI399">
        <f ca="1">IF(T_EMPLOYEES[[#This Row],[EMPLOYEE NUMBER]]="","",MATCH(T_EMPLOYEES[[#This Row],[DEPARTMENT]],L_DEPARTMENT,0))</f>
        <v>11</v>
      </c>
      <c r="AJ399">
        <f ca="1">IF(T_EMPLOYEES[[#This Row],[EMPLOYEE NUMBER]]="","",MATCH(T_EMPLOYEES[[#This Row],[JOB TYPE]],L_JOBTYPE,0))</f>
        <v>2</v>
      </c>
      <c r="AK399">
        <f ca="1">IF(T_EMPLOYEES[[#This Row],[EMPLOYEE NUMBER]]="","",MATCH(T_EMPLOYEES[[#This Row],[JOB CATEGORY]],L_JOBCATEGORY,0))</f>
        <v>39</v>
      </c>
      <c r="AL399">
        <f ca="1">IF(T_EMPLOYEES[[#This Row],[EMPLOYEE NUMBER]]="","",MATCH(T_EMPLOYEES[[#This Row],[JOB LEVEL]],L_JOBLEVEL,0))</f>
        <v>2</v>
      </c>
      <c r="AM399">
        <f ca="1">IF(T_EMPLOYEES[[#This Row],[EMPLOYEE NUMBER]]="","",MATCH(T_EMPLOYEES[[#This Row],[JOB TITLE]],L_JOBTITLE,0))</f>
        <v>39</v>
      </c>
      <c r="AN399">
        <f ca="1">IF(T_EMPLOYEES[[#This Row],[EMPLOYEE NUMBER]]="","",MATCH(T_EMPLOYEES[[#This Row],[MANAGER]],L_EMPLABELS,0))</f>
        <v>56</v>
      </c>
      <c r="AO399">
        <f ca="1">IF(T_EMPLOYEES[[#This Row],[EMPLOYEE NUMBER]]="","",IF(T_EMPLOYEES[[#This Row],[ERROR]]="",0,1))</f>
        <v>0</v>
      </c>
      <c r="AP39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0" spans="1:42">
      <c r="A400" t="s">
        <v>1327</v>
      </c>
      <c r="B400" t="s">
        <v>551</v>
      </c>
      <c r="C400">
        <v>1022715</v>
      </c>
      <c r="D400" t="s">
        <v>1328</v>
      </c>
      <c r="E400" s="26">
        <v>36030</v>
      </c>
      <c r="F400" s="26">
        <v>43745</v>
      </c>
      <c r="H400" t="s">
        <v>40</v>
      </c>
      <c r="I400" t="s">
        <v>54</v>
      </c>
      <c r="J400" t="s">
        <v>64</v>
      </c>
      <c r="K400" t="s">
        <v>30</v>
      </c>
      <c r="L400" s="27" t="s">
        <v>45</v>
      </c>
      <c r="M400" t="s">
        <v>46</v>
      </c>
      <c r="N400" t="s">
        <v>128</v>
      </c>
      <c r="O400" t="s">
        <v>60</v>
      </c>
      <c r="P400" t="s">
        <v>128</v>
      </c>
      <c r="Q400" t="s">
        <v>218</v>
      </c>
      <c r="R400" s="27">
        <v>4</v>
      </c>
      <c r="S400" s="1">
        <v>250000</v>
      </c>
      <c r="T400" s="1">
        <f ca="1">ROUND(T_EMPLOYEES[[#This Row],[EMP_CTC1]]/12, 0)</f>
        <v>20833</v>
      </c>
      <c r="U400" s="1">
        <v>150000</v>
      </c>
      <c r="V400" s="1" t="s">
        <v>1238</v>
      </c>
      <c r="W400" s="1" t="s">
        <v>1238</v>
      </c>
      <c r="X40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Amrutha  K (1022715)</v>
      </c>
      <c r="Y400">
        <v>120000</v>
      </c>
      <c r="Z400" s="29">
        <f t="shared" ca="1" si="7"/>
        <v>40</v>
      </c>
      <c r="AA400">
        <f ca="1">IF(T_EMPLOYEES[[#This Row],[EMPLOYEE NUMBER]]="","",ROW(T_EMPLOYEES[[#This Row],[EMPLOYEE LABEL]])-ROW(T_EMPLOYEES[[#Headers],[EMPLOYEE LABEL]]))</f>
        <v>397</v>
      </c>
      <c r="AB400">
        <f ca="1">IF(T_EMPLOYEES[[#This Row],[EMPLOYEE NUMBER]]="","",IF(COUNTIF(T_EMPLOYEES[EMPLOYEE NUMBER],T_EMPLOYEES[[#This Row],[EMPLOYEE NUMBER]])&gt;1,1,0))</f>
        <v>0</v>
      </c>
      <c r="AC400">
        <f ca="1">IF(T_EMPLOYEES[[#This Row],[EMPLOYEE NUMBER]]="","",IF(AND(T_EMPLOYEES[[#This Row],[DATE OF BIRTH]]&gt;0,T_EMPLOYEES[[#This Row],[DATE OF BIRTH]]&lt;TODAY()),0,1))</f>
        <v>0</v>
      </c>
      <c r="AD400">
        <f ca="1">IF(T_EMPLOYEES[[#This Row],[EMPLOYEE NUMBER]]="","",IF(AND(T_EMPLOYEES[[#This Row],[START DATE]]&gt;0,T_EMPLOYEES[[#This Row],[START DATE]]&lt;TODAY()+60),0,1))</f>
        <v>0</v>
      </c>
      <c r="AE400">
        <f ca="1">IF(T_EMPLOYEES[[#This Row],[EMPLOYEE NUMBER]]="","",MATCH(T_EMPLOYEES[[#This Row],[GENDER]],L_GENDER,0))</f>
        <v>2</v>
      </c>
      <c r="AF400">
        <f ca="1">IF(T_EMPLOYEES[[#This Row],[EMPLOYEE NUMBER]]="","",MATCH(T_EMPLOYEES[[#This Row],[HIRE SOURCE]],L_HIRESOURCE,0))</f>
        <v>4</v>
      </c>
      <c r="AG400">
        <f ca="1">IF(T_EMPLOYEES[[#This Row],[EMPLOYEE NUMBER]]="","",MATCH(T_EMPLOYEES[[#This Row],[ETHNICITY]],L_ETHNICITY,0))</f>
        <v>3</v>
      </c>
      <c r="AH400">
        <f ca="1">IF(T_EMPLOYEES[[#This Row],[EMPLOYEE NUMBER]]="","",MATCH(T_EMPLOYEES[[#This Row],[LOCATION]],L_LOCATION,0))</f>
        <v>1</v>
      </c>
      <c r="AI400">
        <f ca="1">IF(T_EMPLOYEES[[#This Row],[EMPLOYEE NUMBER]]="","",MATCH(T_EMPLOYEES[[#This Row],[DEPARTMENT]],L_DEPARTMENT,0))</f>
        <v>2</v>
      </c>
      <c r="AJ400">
        <f ca="1">IF(T_EMPLOYEES[[#This Row],[EMPLOYEE NUMBER]]="","",MATCH(T_EMPLOYEES[[#This Row],[JOB TYPE]],L_JOBTYPE,0))</f>
        <v>2</v>
      </c>
      <c r="AK400">
        <f ca="1">IF(T_EMPLOYEES[[#This Row],[EMPLOYEE NUMBER]]="","",MATCH(T_EMPLOYEES[[#This Row],[JOB CATEGORY]],L_JOBCATEGORY,0))</f>
        <v>15</v>
      </c>
      <c r="AL400">
        <f ca="1">IF(T_EMPLOYEES[[#This Row],[EMPLOYEE NUMBER]]="","",MATCH(T_EMPLOYEES[[#This Row],[JOB LEVEL]],L_JOBLEVEL,0))</f>
        <v>3</v>
      </c>
      <c r="AM400">
        <f ca="1">IF(T_EMPLOYEES[[#This Row],[EMPLOYEE NUMBER]]="","",MATCH(T_EMPLOYEES[[#This Row],[JOB TITLE]],L_JOBTITLE,0))</f>
        <v>15</v>
      </c>
      <c r="AN400">
        <f ca="1">IF(T_EMPLOYEES[[#This Row],[EMPLOYEE NUMBER]]="","",MATCH(T_EMPLOYEES[[#This Row],[MANAGER]],L_EMPLABELS,0))</f>
        <v>43</v>
      </c>
      <c r="AO400">
        <f ca="1">IF(T_EMPLOYEES[[#This Row],[EMPLOYEE NUMBER]]="","",IF(T_EMPLOYEES[[#This Row],[ERROR]]="",0,1))</f>
        <v>0</v>
      </c>
      <c r="AP40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1" spans="1:42">
      <c r="A401" t="s">
        <v>497</v>
      </c>
      <c r="B401" t="s">
        <v>1329</v>
      </c>
      <c r="C401">
        <v>1024021</v>
      </c>
      <c r="D401" t="s">
        <v>1330</v>
      </c>
      <c r="E401" s="26">
        <v>36033</v>
      </c>
      <c r="F401" s="26">
        <v>44132</v>
      </c>
      <c r="H401" t="s">
        <v>40</v>
      </c>
      <c r="I401" t="s">
        <v>54</v>
      </c>
      <c r="J401" t="s">
        <v>64</v>
      </c>
      <c r="K401" t="s">
        <v>30</v>
      </c>
      <c r="L401" s="27" t="s">
        <v>45</v>
      </c>
      <c r="M401" t="s">
        <v>46</v>
      </c>
      <c r="N401" t="s">
        <v>148</v>
      </c>
      <c r="O401" t="s">
        <v>48</v>
      </c>
      <c r="P401" t="s">
        <v>148</v>
      </c>
      <c r="Q401" t="s">
        <v>222</v>
      </c>
      <c r="R401">
        <v>4</v>
      </c>
      <c r="S401" s="1">
        <v>250000</v>
      </c>
      <c r="T401" s="1">
        <f ca="1">ROUND(T_EMPLOYEES[[#This Row],[EMP_CTC1]]/12, 0)</f>
        <v>20833</v>
      </c>
      <c r="U401" s="1">
        <v>150000</v>
      </c>
      <c r="V401" s="1" t="s">
        <v>1238</v>
      </c>
      <c r="W401" s="1" t="s">
        <v>1238</v>
      </c>
      <c r="X40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  Ramya (1024021)</v>
      </c>
      <c r="Y401">
        <v>120000</v>
      </c>
      <c r="Z401" s="29">
        <f t="shared" ca="1" si="7"/>
        <v>40</v>
      </c>
      <c r="AA401">
        <f ca="1">IF(T_EMPLOYEES[[#This Row],[EMPLOYEE NUMBER]]="","",ROW(T_EMPLOYEES[[#This Row],[EMPLOYEE LABEL]])-ROW(T_EMPLOYEES[[#Headers],[EMPLOYEE LABEL]]))</f>
        <v>398</v>
      </c>
      <c r="AB401">
        <f ca="1">IF(T_EMPLOYEES[[#This Row],[EMPLOYEE NUMBER]]="","",IF(COUNTIF(T_EMPLOYEES[EMPLOYEE NUMBER],T_EMPLOYEES[[#This Row],[EMPLOYEE NUMBER]])&gt;1,1,0))</f>
        <v>0</v>
      </c>
      <c r="AC401">
        <f ca="1">IF(T_EMPLOYEES[[#This Row],[EMPLOYEE NUMBER]]="","",IF(AND(T_EMPLOYEES[[#This Row],[DATE OF BIRTH]]&gt;0,T_EMPLOYEES[[#This Row],[DATE OF BIRTH]]&lt;TODAY()),0,1))</f>
        <v>0</v>
      </c>
      <c r="AD401">
        <f ca="1">IF(T_EMPLOYEES[[#This Row],[EMPLOYEE NUMBER]]="","",IF(AND(T_EMPLOYEES[[#This Row],[START DATE]]&gt;0,T_EMPLOYEES[[#This Row],[START DATE]]&lt;TODAY()+60),0,1))</f>
        <v>0</v>
      </c>
      <c r="AE401">
        <f ca="1">IF(T_EMPLOYEES[[#This Row],[EMPLOYEE NUMBER]]="","",MATCH(T_EMPLOYEES[[#This Row],[GENDER]],L_GENDER,0))</f>
        <v>2</v>
      </c>
      <c r="AF401">
        <f ca="1">IF(T_EMPLOYEES[[#This Row],[EMPLOYEE NUMBER]]="","",MATCH(T_EMPLOYEES[[#This Row],[HIRE SOURCE]],L_HIRESOURCE,0))</f>
        <v>4</v>
      </c>
      <c r="AG401">
        <f ca="1">IF(T_EMPLOYEES[[#This Row],[EMPLOYEE NUMBER]]="","",MATCH(T_EMPLOYEES[[#This Row],[ETHNICITY]],L_ETHNICITY,0))</f>
        <v>3</v>
      </c>
      <c r="AH401">
        <f ca="1">IF(T_EMPLOYEES[[#This Row],[EMPLOYEE NUMBER]]="","",MATCH(T_EMPLOYEES[[#This Row],[LOCATION]],L_LOCATION,0))</f>
        <v>1</v>
      </c>
      <c r="AI401">
        <f ca="1">IF(T_EMPLOYEES[[#This Row],[EMPLOYEE NUMBER]]="","",MATCH(T_EMPLOYEES[[#This Row],[DEPARTMENT]],L_DEPARTMENT,0))</f>
        <v>2</v>
      </c>
      <c r="AJ401">
        <f ca="1">IF(T_EMPLOYEES[[#This Row],[EMPLOYEE NUMBER]]="","",MATCH(T_EMPLOYEES[[#This Row],[JOB TYPE]],L_JOBTYPE,0))</f>
        <v>2</v>
      </c>
      <c r="AK401">
        <f ca="1">IF(T_EMPLOYEES[[#This Row],[EMPLOYEE NUMBER]]="","",MATCH(T_EMPLOYEES[[#This Row],[JOB CATEGORY]],L_JOBCATEGORY,0))</f>
        <v>27</v>
      </c>
      <c r="AL401">
        <f ca="1">IF(T_EMPLOYEES[[#This Row],[EMPLOYEE NUMBER]]="","",MATCH(T_EMPLOYEES[[#This Row],[JOB LEVEL]],L_JOBLEVEL,0))</f>
        <v>2</v>
      </c>
      <c r="AM401">
        <f ca="1">IF(T_EMPLOYEES[[#This Row],[EMPLOYEE NUMBER]]="","",MATCH(T_EMPLOYEES[[#This Row],[JOB TITLE]],L_JOBTITLE,0))</f>
        <v>27</v>
      </c>
      <c r="AN401">
        <f ca="1">IF(T_EMPLOYEES[[#This Row],[EMPLOYEE NUMBER]]="","",MATCH(T_EMPLOYEES[[#This Row],[MANAGER]],L_EMPLABELS,0))</f>
        <v>69</v>
      </c>
      <c r="AO401">
        <f ca="1">IF(T_EMPLOYEES[[#This Row],[EMPLOYEE NUMBER]]="","",IF(T_EMPLOYEES[[#This Row],[ERROR]]="",0,1))</f>
        <v>0</v>
      </c>
      <c r="AP40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2" spans="1:42">
      <c r="A402" t="s">
        <v>1331</v>
      </c>
      <c r="B402" t="s">
        <v>1332</v>
      </c>
      <c r="C402">
        <v>1031074</v>
      </c>
      <c r="D402" t="s">
        <v>1333</v>
      </c>
      <c r="E402" s="26">
        <v>36033</v>
      </c>
      <c r="F402" s="26">
        <v>44889</v>
      </c>
      <c r="H402" t="s">
        <v>40</v>
      </c>
      <c r="I402" t="s">
        <v>54</v>
      </c>
      <c r="J402" t="s">
        <v>64</v>
      </c>
      <c r="K402" t="s">
        <v>30</v>
      </c>
      <c r="L402" s="27" t="s">
        <v>114</v>
      </c>
      <c r="M402" t="s">
        <v>46</v>
      </c>
      <c r="N402" t="s">
        <v>151</v>
      </c>
      <c r="O402" t="s">
        <v>36</v>
      </c>
      <c r="P402" t="s">
        <v>151</v>
      </c>
      <c r="Q402" t="s">
        <v>206</v>
      </c>
      <c r="R402" s="27">
        <v>0</v>
      </c>
      <c r="S402" s="1">
        <v>250000</v>
      </c>
      <c r="T402" s="1">
        <f ca="1">ROUND(T_EMPLOYEES[[#This Row],[EMP_CTC1]]/12, 0)</f>
        <v>20833</v>
      </c>
      <c r="U402" s="1">
        <v>150000</v>
      </c>
      <c r="V402" s="1" t="s">
        <v>1238</v>
      </c>
      <c r="W402" s="1" t="s">
        <v>1238</v>
      </c>
      <c r="X40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Riddhi kishor Choudhari (1031074)</v>
      </c>
      <c r="Y402">
        <v>120000</v>
      </c>
      <c r="Z402" s="29">
        <f t="shared" ca="1" si="7"/>
        <v>40</v>
      </c>
      <c r="AA402">
        <f ca="1">IF(T_EMPLOYEES[[#This Row],[EMPLOYEE NUMBER]]="","",ROW(T_EMPLOYEES[[#This Row],[EMPLOYEE LABEL]])-ROW(T_EMPLOYEES[[#Headers],[EMPLOYEE LABEL]]))</f>
        <v>399</v>
      </c>
      <c r="AB402">
        <f ca="1">IF(T_EMPLOYEES[[#This Row],[EMPLOYEE NUMBER]]="","",IF(COUNTIF(T_EMPLOYEES[EMPLOYEE NUMBER],T_EMPLOYEES[[#This Row],[EMPLOYEE NUMBER]])&gt;1,1,0))</f>
        <v>0</v>
      </c>
      <c r="AC402">
        <f ca="1">IF(T_EMPLOYEES[[#This Row],[EMPLOYEE NUMBER]]="","",IF(AND(T_EMPLOYEES[[#This Row],[DATE OF BIRTH]]&gt;0,T_EMPLOYEES[[#This Row],[DATE OF BIRTH]]&lt;TODAY()),0,1))</f>
        <v>0</v>
      </c>
      <c r="AD402">
        <f ca="1">IF(T_EMPLOYEES[[#This Row],[EMPLOYEE NUMBER]]="","",IF(AND(T_EMPLOYEES[[#This Row],[START DATE]]&gt;0,T_EMPLOYEES[[#This Row],[START DATE]]&lt;TODAY()+60),0,1))</f>
        <v>0</v>
      </c>
      <c r="AE402">
        <f ca="1">IF(T_EMPLOYEES[[#This Row],[EMPLOYEE NUMBER]]="","",MATCH(T_EMPLOYEES[[#This Row],[GENDER]],L_GENDER,0))</f>
        <v>2</v>
      </c>
      <c r="AF402">
        <f ca="1">IF(T_EMPLOYEES[[#This Row],[EMPLOYEE NUMBER]]="","",MATCH(T_EMPLOYEES[[#This Row],[HIRE SOURCE]],L_HIRESOURCE,0))</f>
        <v>4</v>
      </c>
      <c r="AG402">
        <f ca="1">IF(T_EMPLOYEES[[#This Row],[EMPLOYEE NUMBER]]="","",MATCH(T_EMPLOYEES[[#This Row],[ETHNICITY]],L_ETHNICITY,0))</f>
        <v>3</v>
      </c>
      <c r="AH402">
        <f ca="1">IF(T_EMPLOYEES[[#This Row],[EMPLOYEE NUMBER]]="","",MATCH(T_EMPLOYEES[[#This Row],[LOCATION]],L_LOCATION,0))</f>
        <v>1</v>
      </c>
      <c r="AI402">
        <f ca="1">IF(T_EMPLOYEES[[#This Row],[EMPLOYEE NUMBER]]="","",MATCH(T_EMPLOYEES[[#This Row],[DEPARTMENT]],L_DEPARTMENT,0))</f>
        <v>11</v>
      </c>
      <c r="AJ402">
        <f ca="1">IF(T_EMPLOYEES[[#This Row],[EMPLOYEE NUMBER]]="","",MATCH(T_EMPLOYEES[[#This Row],[JOB TYPE]],L_JOBTYPE,0))</f>
        <v>2</v>
      </c>
      <c r="AK402">
        <f ca="1">IF(T_EMPLOYEES[[#This Row],[EMPLOYEE NUMBER]]="","",MATCH(T_EMPLOYEES[[#This Row],[JOB CATEGORY]],L_JOBCATEGORY,0))</f>
        <v>30</v>
      </c>
      <c r="AL402">
        <f ca="1">IF(T_EMPLOYEES[[#This Row],[EMPLOYEE NUMBER]]="","",MATCH(T_EMPLOYEES[[#This Row],[JOB LEVEL]],L_JOBLEVEL,0))</f>
        <v>1</v>
      </c>
      <c r="AM402">
        <f ca="1">IF(T_EMPLOYEES[[#This Row],[EMPLOYEE NUMBER]]="","",MATCH(T_EMPLOYEES[[#This Row],[JOB TITLE]],L_JOBTITLE,0))</f>
        <v>30</v>
      </c>
      <c r="AN402">
        <f ca="1">IF(T_EMPLOYEES[[#This Row],[EMPLOYEE NUMBER]]="","",MATCH(T_EMPLOYEES[[#This Row],[MANAGER]],L_EMPLABELS,0))</f>
        <v>6</v>
      </c>
      <c r="AO402">
        <f ca="1">IF(T_EMPLOYEES[[#This Row],[EMPLOYEE NUMBER]]="","",IF(T_EMPLOYEES[[#This Row],[ERROR]]="",0,1))</f>
        <v>0</v>
      </c>
      <c r="AP40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3" spans="1:42">
      <c r="A403" t="s">
        <v>1205</v>
      </c>
      <c r="B403" t="s">
        <v>1334</v>
      </c>
      <c r="C403">
        <v>1031068</v>
      </c>
      <c r="D403" t="s">
        <v>1335</v>
      </c>
      <c r="E403" s="26">
        <v>36060</v>
      </c>
      <c r="F403" s="26">
        <v>44889</v>
      </c>
      <c r="H403" t="s">
        <v>27</v>
      </c>
      <c r="I403" t="s">
        <v>54</v>
      </c>
      <c r="J403" t="s">
        <v>64</v>
      </c>
      <c r="K403" t="s">
        <v>30</v>
      </c>
      <c r="L403" s="27" t="s">
        <v>114</v>
      </c>
      <c r="M403" t="s">
        <v>46</v>
      </c>
      <c r="N403" t="s">
        <v>151</v>
      </c>
      <c r="O403" t="s">
        <v>36</v>
      </c>
      <c r="P403" t="s">
        <v>151</v>
      </c>
      <c r="Q403" t="s">
        <v>468</v>
      </c>
      <c r="R403">
        <v>0</v>
      </c>
      <c r="S403" s="1">
        <v>250000</v>
      </c>
      <c r="T403" s="1">
        <f ca="1">ROUND(T_EMPLOYEES[[#This Row],[EMP_CTC1]]/12, 0)</f>
        <v>20833</v>
      </c>
      <c r="U403" s="1">
        <v>150000</v>
      </c>
      <c r="V403" s="1" t="s">
        <v>1238</v>
      </c>
      <c r="W403" s="1" t="s">
        <v>1238</v>
      </c>
      <c r="X40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Ankit Sanjayrao Itankar (1031068)</v>
      </c>
      <c r="Y403">
        <v>120000</v>
      </c>
      <c r="Z403" s="29">
        <f t="shared" ca="1" si="7"/>
        <v>40</v>
      </c>
      <c r="AA403">
        <f ca="1">IF(T_EMPLOYEES[[#This Row],[EMPLOYEE NUMBER]]="","",ROW(T_EMPLOYEES[[#This Row],[EMPLOYEE LABEL]])-ROW(T_EMPLOYEES[[#Headers],[EMPLOYEE LABEL]]))</f>
        <v>400</v>
      </c>
      <c r="AB403">
        <f ca="1">IF(T_EMPLOYEES[[#This Row],[EMPLOYEE NUMBER]]="","",IF(COUNTIF(T_EMPLOYEES[EMPLOYEE NUMBER],T_EMPLOYEES[[#This Row],[EMPLOYEE NUMBER]])&gt;1,1,0))</f>
        <v>0</v>
      </c>
      <c r="AC403">
        <f ca="1">IF(T_EMPLOYEES[[#This Row],[EMPLOYEE NUMBER]]="","",IF(AND(T_EMPLOYEES[[#This Row],[DATE OF BIRTH]]&gt;0,T_EMPLOYEES[[#This Row],[DATE OF BIRTH]]&lt;TODAY()),0,1))</f>
        <v>0</v>
      </c>
      <c r="AD403">
        <f ca="1">IF(T_EMPLOYEES[[#This Row],[EMPLOYEE NUMBER]]="","",IF(AND(T_EMPLOYEES[[#This Row],[START DATE]]&gt;0,T_EMPLOYEES[[#This Row],[START DATE]]&lt;TODAY()+60),0,1))</f>
        <v>0</v>
      </c>
      <c r="AE403">
        <f ca="1">IF(T_EMPLOYEES[[#This Row],[EMPLOYEE NUMBER]]="","",MATCH(T_EMPLOYEES[[#This Row],[GENDER]],L_GENDER,0))</f>
        <v>1</v>
      </c>
      <c r="AF403">
        <f ca="1">IF(T_EMPLOYEES[[#This Row],[EMPLOYEE NUMBER]]="","",MATCH(T_EMPLOYEES[[#This Row],[HIRE SOURCE]],L_HIRESOURCE,0))</f>
        <v>4</v>
      </c>
      <c r="AG403">
        <f ca="1">IF(T_EMPLOYEES[[#This Row],[EMPLOYEE NUMBER]]="","",MATCH(T_EMPLOYEES[[#This Row],[ETHNICITY]],L_ETHNICITY,0))</f>
        <v>3</v>
      </c>
      <c r="AH403">
        <f ca="1">IF(T_EMPLOYEES[[#This Row],[EMPLOYEE NUMBER]]="","",MATCH(T_EMPLOYEES[[#This Row],[LOCATION]],L_LOCATION,0))</f>
        <v>1</v>
      </c>
      <c r="AI403">
        <f ca="1">IF(T_EMPLOYEES[[#This Row],[EMPLOYEE NUMBER]]="","",MATCH(T_EMPLOYEES[[#This Row],[DEPARTMENT]],L_DEPARTMENT,0))</f>
        <v>11</v>
      </c>
      <c r="AJ403">
        <f ca="1">IF(T_EMPLOYEES[[#This Row],[EMPLOYEE NUMBER]]="","",MATCH(T_EMPLOYEES[[#This Row],[JOB TYPE]],L_JOBTYPE,0))</f>
        <v>2</v>
      </c>
      <c r="AK403">
        <f ca="1">IF(T_EMPLOYEES[[#This Row],[EMPLOYEE NUMBER]]="","",MATCH(T_EMPLOYEES[[#This Row],[JOB CATEGORY]],L_JOBCATEGORY,0))</f>
        <v>30</v>
      </c>
      <c r="AL403">
        <f ca="1">IF(T_EMPLOYEES[[#This Row],[EMPLOYEE NUMBER]]="","",MATCH(T_EMPLOYEES[[#This Row],[JOB LEVEL]],L_JOBLEVEL,0))</f>
        <v>1</v>
      </c>
      <c r="AM403">
        <f ca="1">IF(T_EMPLOYEES[[#This Row],[EMPLOYEE NUMBER]]="","",MATCH(T_EMPLOYEES[[#This Row],[JOB TITLE]],L_JOBTITLE,0))</f>
        <v>30</v>
      </c>
      <c r="AN403">
        <f ca="1">IF(T_EMPLOYEES[[#This Row],[EMPLOYEE NUMBER]]="","",MATCH(T_EMPLOYEES[[#This Row],[MANAGER]],L_EMPLABELS,0))</f>
        <v>56</v>
      </c>
      <c r="AO403">
        <f ca="1">IF(T_EMPLOYEES[[#This Row],[EMPLOYEE NUMBER]]="","",IF(T_EMPLOYEES[[#This Row],[ERROR]]="",0,1))</f>
        <v>0</v>
      </c>
      <c r="AP40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4" spans="1:42">
      <c r="A404" t="s">
        <v>1336</v>
      </c>
      <c r="B404" t="s">
        <v>1337</v>
      </c>
      <c r="C404">
        <v>1029888</v>
      </c>
      <c r="D404" t="s">
        <v>1338</v>
      </c>
      <c r="E404" s="26">
        <v>36073</v>
      </c>
      <c r="F404" s="26">
        <v>44791</v>
      </c>
      <c r="H404" t="s">
        <v>27</v>
      </c>
      <c r="I404" t="s">
        <v>54</v>
      </c>
      <c r="J404" t="s">
        <v>64</v>
      </c>
      <c r="K404" t="s">
        <v>30</v>
      </c>
      <c r="L404" s="27" t="s">
        <v>45</v>
      </c>
      <c r="M404" t="s">
        <v>46</v>
      </c>
      <c r="N404" t="s">
        <v>151</v>
      </c>
      <c r="O404" t="s">
        <v>36</v>
      </c>
      <c r="P404" t="s">
        <v>151</v>
      </c>
      <c r="Q404" t="s">
        <v>218</v>
      </c>
      <c r="R404" s="27">
        <v>0</v>
      </c>
      <c r="S404" s="1">
        <v>250000</v>
      </c>
      <c r="T404" s="1">
        <f ca="1">ROUND(T_EMPLOYEES[[#This Row],[EMP_CTC1]]/12, 0)</f>
        <v>20833</v>
      </c>
      <c r="U404" s="1">
        <v>150000</v>
      </c>
      <c r="V404" s="1" t="s">
        <v>1238</v>
      </c>
      <c r="W404" s="1" t="s">
        <v>1238</v>
      </c>
      <c r="X40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Suvarnaganti Mahendra (1029888)</v>
      </c>
      <c r="Y404">
        <v>120000</v>
      </c>
      <c r="Z404" s="29">
        <f t="shared" ca="1" si="7"/>
        <v>40</v>
      </c>
      <c r="AA404">
        <f ca="1">IF(T_EMPLOYEES[[#This Row],[EMPLOYEE NUMBER]]="","",ROW(T_EMPLOYEES[[#This Row],[EMPLOYEE LABEL]])-ROW(T_EMPLOYEES[[#Headers],[EMPLOYEE LABEL]]))</f>
        <v>401</v>
      </c>
      <c r="AB404">
        <f ca="1">IF(T_EMPLOYEES[[#This Row],[EMPLOYEE NUMBER]]="","",IF(COUNTIF(T_EMPLOYEES[EMPLOYEE NUMBER],T_EMPLOYEES[[#This Row],[EMPLOYEE NUMBER]])&gt;1,1,0))</f>
        <v>0</v>
      </c>
      <c r="AC404">
        <f ca="1">IF(T_EMPLOYEES[[#This Row],[EMPLOYEE NUMBER]]="","",IF(AND(T_EMPLOYEES[[#This Row],[DATE OF BIRTH]]&gt;0,T_EMPLOYEES[[#This Row],[DATE OF BIRTH]]&lt;TODAY()),0,1))</f>
        <v>0</v>
      </c>
      <c r="AD404">
        <f ca="1">IF(T_EMPLOYEES[[#This Row],[EMPLOYEE NUMBER]]="","",IF(AND(T_EMPLOYEES[[#This Row],[START DATE]]&gt;0,T_EMPLOYEES[[#This Row],[START DATE]]&lt;TODAY()+60),0,1))</f>
        <v>0</v>
      </c>
      <c r="AE404">
        <f ca="1">IF(T_EMPLOYEES[[#This Row],[EMPLOYEE NUMBER]]="","",MATCH(T_EMPLOYEES[[#This Row],[GENDER]],L_GENDER,0))</f>
        <v>1</v>
      </c>
      <c r="AF404">
        <f ca="1">IF(T_EMPLOYEES[[#This Row],[EMPLOYEE NUMBER]]="","",MATCH(T_EMPLOYEES[[#This Row],[HIRE SOURCE]],L_HIRESOURCE,0))</f>
        <v>4</v>
      </c>
      <c r="AG404">
        <f ca="1">IF(T_EMPLOYEES[[#This Row],[EMPLOYEE NUMBER]]="","",MATCH(T_EMPLOYEES[[#This Row],[ETHNICITY]],L_ETHNICITY,0))</f>
        <v>3</v>
      </c>
      <c r="AH404">
        <f ca="1">IF(T_EMPLOYEES[[#This Row],[EMPLOYEE NUMBER]]="","",MATCH(T_EMPLOYEES[[#This Row],[LOCATION]],L_LOCATION,0))</f>
        <v>1</v>
      </c>
      <c r="AI404">
        <f ca="1">IF(T_EMPLOYEES[[#This Row],[EMPLOYEE NUMBER]]="","",MATCH(T_EMPLOYEES[[#This Row],[DEPARTMENT]],L_DEPARTMENT,0))</f>
        <v>2</v>
      </c>
      <c r="AJ404">
        <f ca="1">IF(T_EMPLOYEES[[#This Row],[EMPLOYEE NUMBER]]="","",MATCH(T_EMPLOYEES[[#This Row],[JOB TYPE]],L_JOBTYPE,0))</f>
        <v>2</v>
      </c>
      <c r="AK404">
        <f ca="1">IF(T_EMPLOYEES[[#This Row],[EMPLOYEE NUMBER]]="","",MATCH(T_EMPLOYEES[[#This Row],[JOB CATEGORY]],L_JOBCATEGORY,0))</f>
        <v>30</v>
      </c>
      <c r="AL404">
        <f ca="1">IF(T_EMPLOYEES[[#This Row],[EMPLOYEE NUMBER]]="","",MATCH(T_EMPLOYEES[[#This Row],[JOB LEVEL]],L_JOBLEVEL,0))</f>
        <v>1</v>
      </c>
      <c r="AM404">
        <f ca="1">IF(T_EMPLOYEES[[#This Row],[EMPLOYEE NUMBER]]="","",MATCH(T_EMPLOYEES[[#This Row],[JOB TITLE]],L_JOBTITLE,0))</f>
        <v>30</v>
      </c>
      <c r="AN404">
        <f ca="1">IF(T_EMPLOYEES[[#This Row],[EMPLOYEE NUMBER]]="","",MATCH(T_EMPLOYEES[[#This Row],[MANAGER]],L_EMPLABELS,0))</f>
        <v>43</v>
      </c>
      <c r="AO404">
        <f ca="1">IF(T_EMPLOYEES[[#This Row],[EMPLOYEE NUMBER]]="","",IF(T_EMPLOYEES[[#This Row],[ERROR]]="",0,1))</f>
        <v>0</v>
      </c>
      <c r="AP40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5" spans="1:42">
      <c r="A405" t="s">
        <v>1339</v>
      </c>
      <c r="B405" t="s">
        <v>1340</v>
      </c>
      <c r="C405">
        <v>1026550</v>
      </c>
      <c r="D405" t="s">
        <v>1341</v>
      </c>
      <c r="E405" s="26">
        <v>36080</v>
      </c>
      <c r="F405" s="26">
        <v>44463</v>
      </c>
      <c r="H405" t="s">
        <v>27</v>
      </c>
      <c r="I405" t="s">
        <v>54</v>
      </c>
      <c r="J405" t="s">
        <v>64</v>
      </c>
      <c r="K405" t="s">
        <v>30</v>
      </c>
      <c r="L405" s="27" t="s">
        <v>45</v>
      </c>
      <c r="M405" t="s">
        <v>46</v>
      </c>
      <c r="N405" t="s">
        <v>148</v>
      </c>
      <c r="O405" t="s">
        <v>48</v>
      </c>
      <c r="P405" t="s">
        <v>148</v>
      </c>
      <c r="Q405" t="s">
        <v>259</v>
      </c>
      <c r="R405">
        <v>4</v>
      </c>
      <c r="S405" s="1">
        <v>250000</v>
      </c>
      <c r="T405" s="1">
        <f ca="1">ROUND(T_EMPLOYEES[[#This Row],[EMP_CTC1]]/12, 0)</f>
        <v>20833</v>
      </c>
      <c r="U405" s="1">
        <v>150000</v>
      </c>
      <c r="V405" s="1" t="s">
        <v>1238</v>
      </c>
      <c r="W405" s="1" t="s">
        <v>1238</v>
      </c>
      <c r="X40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Nanubala Komal Raja (1026550)</v>
      </c>
      <c r="Y405">
        <v>120000</v>
      </c>
      <c r="Z405" s="29">
        <f t="shared" ca="1" si="7"/>
        <v>40</v>
      </c>
      <c r="AA405">
        <f ca="1">IF(T_EMPLOYEES[[#This Row],[EMPLOYEE NUMBER]]="","",ROW(T_EMPLOYEES[[#This Row],[EMPLOYEE LABEL]])-ROW(T_EMPLOYEES[[#Headers],[EMPLOYEE LABEL]]))</f>
        <v>402</v>
      </c>
      <c r="AB405">
        <f ca="1">IF(T_EMPLOYEES[[#This Row],[EMPLOYEE NUMBER]]="","",IF(COUNTIF(T_EMPLOYEES[EMPLOYEE NUMBER],T_EMPLOYEES[[#This Row],[EMPLOYEE NUMBER]])&gt;1,1,0))</f>
        <v>0</v>
      </c>
      <c r="AC405">
        <f ca="1">IF(T_EMPLOYEES[[#This Row],[EMPLOYEE NUMBER]]="","",IF(AND(T_EMPLOYEES[[#This Row],[DATE OF BIRTH]]&gt;0,T_EMPLOYEES[[#This Row],[DATE OF BIRTH]]&lt;TODAY()),0,1))</f>
        <v>0</v>
      </c>
      <c r="AD405">
        <f ca="1">IF(T_EMPLOYEES[[#This Row],[EMPLOYEE NUMBER]]="","",IF(AND(T_EMPLOYEES[[#This Row],[START DATE]]&gt;0,T_EMPLOYEES[[#This Row],[START DATE]]&lt;TODAY()+60),0,1))</f>
        <v>0</v>
      </c>
      <c r="AE405">
        <f ca="1">IF(T_EMPLOYEES[[#This Row],[EMPLOYEE NUMBER]]="","",MATCH(T_EMPLOYEES[[#This Row],[GENDER]],L_GENDER,0))</f>
        <v>1</v>
      </c>
      <c r="AF405">
        <f ca="1">IF(T_EMPLOYEES[[#This Row],[EMPLOYEE NUMBER]]="","",MATCH(T_EMPLOYEES[[#This Row],[HIRE SOURCE]],L_HIRESOURCE,0))</f>
        <v>4</v>
      </c>
      <c r="AG405">
        <f ca="1">IF(T_EMPLOYEES[[#This Row],[EMPLOYEE NUMBER]]="","",MATCH(T_EMPLOYEES[[#This Row],[ETHNICITY]],L_ETHNICITY,0))</f>
        <v>3</v>
      </c>
      <c r="AH405">
        <f ca="1">IF(T_EMPLOYEES[[#This Row],[EMPLOYEE NUMBER]]="","",MATCH(T_EMPLOYEES[[#This Row],[LOCATION]],L_LOCATION,0))</f>
        <v>1</v>
      </c>
      <c r="AI405">
        <f ca="1">IF(T_EMPLOYEES[[#This Row],[EMPLOYEE NUMBER]]="","",MATCH(T_EMPLOYEES[[#This Row],[DEPARTMENT]],L_DEPARTMENT,0))</f>
        <v>2</v>
      </c>
      <c r="AJ405">
        <f ca="1">IF(T_EMPLOYEES[[#This Row],[EMPLOYEE NUMBER]]="","",MATCH(T_EMPLOYEES[[#This Row],[JOB TYPE]],L_JOBTYPE,0))</f>
        <v>2</v>
      </c>
      <c r="AK405">
        <f ca="1">IF(T_EMPLOYEES[[#This Row],[EMPLOYEE NUMBER]]="","",MATCH(T_EMPLOYEES[[#This Row],[JOB CATEGORY]],L_JOBCATEGORY,0))</f>
        <v>27</v>
      </c>
      <c r="AL405">
        <f ca="1">IF(T_EMPLOYEES[[#This Row],[EMPLOYEE NUMBER]]="","",MATCH(T_EMPLOYEES[[#This Row],[JOB LEVEL]],L_JOBLEVEL,0))</f>
        <v>2</v>
      </c>
      <c r="AM405">
        <f ca="1">IF(T_EMPLOYEES[[#This Row],[EMPLOYEE NUMBER]]="","",MATCH(T_EMPLOYEES[[#This Row],[JOB TITLE]],L_JOBTITLE,0))</f>
        <v>27</v>
      </c>
      <c r="AN405">
        <f ca="1">IF(T_EMPLOYEES[[#This Row],[EMPLOYEE NUMBER]]="","",MATCH(T_EMPLOYEES[[#This Row],[MANAGER]],L_EMPLABELS,0))</f>
        <v>91</v>
      </c>
      <c r="AO405">
        <f ca="1">IF(T_EMPLOYEES[[#This Row],[EMPLOYEE NUMBER]]="","",IF(T_EMPLOYEES[[#This Row],[ERROR]]="",0,1))</f>
        <v>0</v>
      </c>
      <c r="AP40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6" spans="1:42">
      <c r="A406" t="s">
        <v>51</v>
      </c>
      <c r="B406" t="s">
        <v>1342</v>
      </c>
      <c r="C406">
        <v>1026419</v>
      </c>
      <c r="D406" t="s">
        <v>1343</v>
      </c>
      <c r="E406" s="26">
        <v>36084</v>
      </c>
      <c r="F406" s="26">
        <v>44453</v>
      </c>
      <c r="H406" t="s">
        <v>27</v>
      </c>
      <c r="I406" t="s">
        <v>54</v>
      </c>
      <c r="J406" t="s">
        <v>64</v>
      </c>
      <c r="K406" t="s">
        <v>30</v>
      </c>
      <c r="L406" s="27" t="s">
        <v>45</v>
      </c>
      <c r="M406" t="s">
        <v>46</v>
      </c>
      <c r="N406" t="s">
        <v>148</v>
      </c>
      <c r="O406" t="s">
        <v>48</v>
      </c>
      <c r="P406" t="s">
        <v>148</v>
      </c>
      <c r="Q406" t="s">
        <v>259</v>
      </c>
      <c r="R406" s="27">
        <v>4</v>
      </c>
      <c r="S406" s="1">
        <v>250000</v>
      </c>
      <c r="T406" s="1">
        <f ca="1">ROUND(T_EMPLOYEES[[#This Row],[EMP_CTC1]]/12, 0)</f>
        <v>20833</v>
      </c>
      <c r="U406" s="1">
        <v>150000</v>
      </c>
      <c r="V406" s="1" t="s">
        <v>1238</v>
      </c>
      <c r="W406" s="1" t="s">
        <v>1238</v>
      </c>
      <c r="X40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 R Halaswamy (1026419)</v>
      </c>
      <c r="Y406">
        <v>120000</v>
      </c>
      <c r="Z406" s="29">
        <f t="shared" ca="1" si="7"/>
        <v>40</v>
      </c>
      <c r="AA406">
        <f ca="1">IF(T_EMPLOYEES[[#This Row],[EMPLOYEE NUMBER]]="","",ROW(T_EMPLOYEES[[#This Row],[EMPLOYEE LABEL]])-ROW(T_EMPLOYEES[[#Headers],[EMPLOYEE LABEL]]))</f>
        <v>403</v>
      </c>
      <c r="AB406">
        <f ca="1">IF(T_EMPLOYEES[[#This Row],[EMPLOYEE NUMBER]]="","",IF(COUNTIF(T_EMPLOYEES[EMPLOYEE NUMBER],T_EMPLOYEES[[#This Row],[EMPLOYEE NUMBER]])&gt;1,1,0))</f>
        <v>0</v>
      </c>
      <c r="AC406">
        <f ca="1">IF(T_EMPLOYEES[[#This Row],[EMPLOYEE NUMBER]]="","",IF(AND(T_EMPLOYEES[[#This Row],[DATE OF BIRTH]]&gt;0,T_EMPLOYEES[[#This Row],[DATE OF BIRTH]]&lt;TODAY()),0,1))</f>
        <v>0</v>
      </c>
      <c r="AD406">
        <f ca="1">IF(T_EMPLOYEES[[#This Row],[EMPLOYEE NUMBER]]="","",IF(AND(T_EMPLOYEES[[#This Row],[START DATE]]&gt;0,T_EMPLOYEES[[#This Row],[START DATE]]&lt;TODAY()+60),0,1))</f>
        <v>0</v>
      </c>
      <c r="AE406">
        <f ca="1">IF(T_EMPLOYEES[[#This Row],[EMPLOYEE NUMBER]]="","",MATCH(T_EMPLOYEES[[#This Row],[GENDER]],L_GENDER,0))</f>
        <v>1</v>
      </c>
      <c r="AF406">
        <f ca="1">IF(T_EMPLOYEES[[#This Row],[EMPLOYEE NUMBER]]="","",MATCH(T_EMPLOYEES[[#This Row],[HIRE SOURCE]],L_HIRESOURCE,0))</f>
        <v>4</v>
      </c>
      <c r="AG406">
        <f ca="1">IF(T_EMPLOYEES[[#This Row],[EMPLOYEE NUMBER]]="","",MATCH(T_EMPLOYEES[[#This Row],[ETHNICITY]],L_ETHNICITY,0))</f>
        <v>3</v>
      </c>
      <c r="AH406">
        <f ca="1">IF(T_EMPLOYEES[[#This Row],[EMPLOYEE NUMBER]]="","",MATCH(T_EMPLOYEES[[#This Row],[LOCATION]],L_LOCATION,0))</f>
        <v>1</v>
      </c>
      <c r="AI406">
        <f ca="1">IF(T_EMPLOYEES[[#This Row],[EMPLOYEE NUMBER]]="","",MATCH(T_EMPLOYEES[[#This Row],[DEPARTMENT]],L_DEPARTMENT,0))</f>
        <v>2</v>
      </c>
      <c r="AJ406">
        <f ca="1">IF(T_EMPLOYEES[[#This Row],[EMPLOYEE NUMBER]]="","",MATCH(T_EMPLOYEES[[#This Row],[JOB TYPE]],L_JOBTYPE,0))</f>
        <v>2</v>
      </c>
      <c r="AK406">
        <f ca="1">IF(T_EMPLOYEES[[#This Row],[EMPLOYEE NUMBER]]="","",MATCH(T_EMPLOYEES[[#This Row],[JOB CATEGORY]],L_JOBCATEGORY,0))</f>
        <v>27</v>
      </c>
      <c r="AL406">
        <f ca="1">IF(T_EMPLOYEES[[#This Row],[EMPLOYEE NUMBER]]="","",MATCH(T_EMPLOYEES[[#This Row],[JOB LEVEL]],L_JOBLEVEL,0))</f>
        <v>2</v>
      </c>
      <c r="AM406">
        <f ca="1">IF(T_EMPLOYEES[[#This Row],[EMPLOYEE NUMBER]]="","",MATCH(T_EMPLOYEES[[#This Row],[JOB TITLE]],L_JOBTITLE,0))</f>
        <v>27</v>
      </c>
      <c r="AN406">
        <f ca="1">IF(T_EMPLOYEES[[#This Row],[EMPLOYEE NUMBER]]="","",MATCH(T_EMPLOYEES[[#This Row],[MANAGER]],L_EMPLABELS,0))</f>
        <v>91</v>
      </c>
      <c r="AO406">
        <f ca="1">IF(T_EMPLOYEES[[#This Row],[EMPLOYEE NUMBER]]="","",IF(T_EMPLOYEES[[#This Row],[ERROR]]="",0,1))</f>
        <v>0</v>
      </c>
      <c r="AP40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7" spans="1:42">
      <c r="A407" t="s">
        <v>1327</v>
      </c>
      <c r="B407" t="s">
        <v>1344</v>
      </c>
      <c r="C407">
        <v>1026546</v>
      </c>
      <c r="D407" t="s">
        <v>1345</v>
      </c>
      <c r="E407" s="26">
        <v>36113</v>
      </c>
      <c r="F407" s="26">
        <v>44463</v>
      </c>
      <c r="H407" t="s">
        <v>40</v>
      </c>
      <c r="I407" t="s">
        <v>54</v>
      </c>
      <c r="J407" t="s">
        <v>64</v>
      </c>
      <c r="K407" t="s">
        <v>30</v>
      </c>
      <c r="L407" s="27" t="s">
        <v>45</v>
      </c>
      <c r="M407" t="s">
        <v>46</v>
      </c>
      <c r="N407" t="s">
        <v>148</v>
      </c>
      <c r="O407" t="s">
        <v>48</v>
      </c>
      <c r="P407" t="s">
        <v>148</v>
      </c>
      <c r="Q407" t="s">
        <v>259</v>
      </c>
      <c r="R407">
        <v>4</v>
      </c>
      <c r="S407" s="1">
        <v>250000</v>
      </c>
      <c r="T407" s="1">
        <f ca="1">ROUND(T_EMPLOYEES[[#This Row],[EMP_CTC1]]/12, 0)</f>
        <v>20833</v>
      </c>
      <c r="U407" s="1">
        <v>150000</v>
      </c>
      <c r="V407" s="1" t="s">
        <v>1238</v>
      </c>
      <c r="W407" s="1" t="s">
        <v>1238</v>
      </c>
      <c r="X40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Amrutha Sindhu H B (1026546)</v>
      </c>
      <c r="Y407">
        <v>120000</v>
      </c>
      <c r="Z407" s="29">
        <f t="shared" ca="1" si="7"/>
        <v>40</v>
      </c>
      <c r="AA407">
        <f ca="1">IF(T_EMPLOYEES[[#This Row],[EMPLOYEE NUMBER]]="","",ROW(T_EMPLOYEES[[#This Row],[EMPLOYEE LABEL]])-ROW(T_EMPLOYEES[[#Headers],[EMPLOYEE LABEL]]))</f>
        <v>404</v>
      </c>
      <c r="AB407">
        <f ca="1">IF(T_EMPLOYEES[[#This Row],[EMPLOYEE NUMBER]]="","",IF(COUNTIF(T_EMPLOYEES[EMPLOYEE NUMBER],T_EMPLOYEES[[#This Row],[EMPLOYEE NUMBER]])&gt;1,1,0))</f>
        <v>0</v>
      </c>
      <c r="AC407">
        <f ca="1">IF(T_EMPLOYEES[[#This Row],[EMPLOYEE NUMBER]]="","",IF(AND(T_EMPLOYEES[[#This Row],[DATE OF BIRTH]]&gt;0,T_EMPLOYEES[[#This Row],[DATE OF BIRTH]]&lt;TODAY()),0,1))</f>
        <v>0</v>
      </c>
      <c r="AD407">
        <f ca="1">IF(T_EMPLOYEES[[#This Row],[EMPLOYEE NUMBER]]="","",IF(AND(T_EMPLOYEES[[#This Row],[START DATE]]&gt;0,T_EMPLOYEES[[#This Row],[START DATE]]&lt;TODAY()+60),0,1))</f>
        <v>0</v>
      </c>
      <c r="AE407">
        <f ca="1">IF(T_EMPLOYEES[[#This Row],[EMPLOYEE NUMBER]]="","",MATCH(T_EMPLOYEES[[#This Row],[GENDER]],L_GENDER,0))</f>
        <v>2</v>
      </c>
      <c r="AF407">
        <f ca="1">IF(T_EMPLOYEES[[#This Row],[EMPLOYEE NUMBER]]="","",MATCH(T_EMPLOYEES[[#This Row],[HIRE SOURCE]],L_HIRESOURCE,0))</f>
        <v>4</v>
      </c>
      <c r="AG407">
        <f ca="1">IF(T_EMPLOYEES[[#This Row],[EMPLOYEE NUMBER]]="","",MATCH(T_EMPLOYEES[[#This Row],[ETHNICITY]],L_ETHNICITY,0))</f>
        <v>3</v>
      </c>
      <c r="AH407">
        <f ca="1">IF(T_EMPLOYEES[[#This Row],[EMPLOYEE NUMBER]]="","",MATCH(T_EMPLOYEES[[#This Row],[LOCATION]],L_LOCATION,0))</f>
        <v>1</v>
      </c>
      <c r="AI407">
        <f ca="1">IF(T_EMPLOYEES[[#This Row],[EMPLOYEE NUMBER]]="","",MATCH(T_EMPLOYEES[[#This Row],[DEPARTMENT]],L_DEPARTMENT,0))</f>
        <v>2</v>
      </c>
      <c r="AJ407">
        <f ca="1">IF(T_EMPLOYEES[[#This Row],[EMPLOYEE NUMBER]]="","",MATCH(T_EMPLOYEES[[#This Row],[JOB TYPE]],L_JOBTYPE,0))</f>
        <v>2</v>
      </c>
      <c r="AK407">
        <f ca="1">IF(T_EMPLOYEES[[#This Row],[EMPLOYEE NUMBER]]="","",MATCH(T_EMPLOYEES[[#This Row],[JOB CATEGORY]],L_JOBCATEGORY,0))</f>
        <v>27</v>
      </c>
      <c r="AL407">
        <f ca="1">IF(T_EMPLOYEES[[#This Row],[EMPLOYEE NUMBER]]="","",MATCH(T_EMPLOYEES[[#This Row],[JOB LEVEL]],L_JOBLEVEL,0))</f>
        <v>2</v>
      </c>
      <c r="AM407">
        <f ca="1">IF(T_EMPLOYEES[[#This Row],[EMPLOYEE NUMBER]]="","",MATCH(T_EMPLOYEES[[#This Row],[JOB TITLE]],L_JOBTITLE,0))</f>
        <v>27</v>
      </c>
      <c r="AN407">
        <f ca="1">IF(T_EMPLOYEES[[#This Row],[EMPLOYEE NUMBER]]="","",MATCH(T_EMPLOYEES[[#This Row],[MANAGER]],L_EMPLABELS,0))</f>
        <v>91</v>
      </c>
      <c r="AO407">
        <f ca="1">IF(T_EMPLOYEES[[#This Row],[EMPLOYEE NUMBER]]="","",IF(T_EMPLOYEES[[#This Row],[ERROR]]="",0,1))</f>
        <v>0</v>
      </c>
      <c r="AP40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8" spans="1:42">
      <c r="A408" t="s">
        <v>1346</v>
      </c>
      <c r="B408" t="s">
        <v>1347</v>
      </c>
      <c r="C408">
        <v>1024962</v>
      </c>
      <c r="D408" t="s">
        <v>1348</v>
      </c>
      <c r="E408" s="26">
        <v>36114</v>
      </c>
      <c r="F408" s="26">
        <v>44291</v>
      </c>
      <c r="H408" t="s">
        <v>27</v>
      </c>
      <c r="I408" t="s">
        <v>54</v>
      </c>
      <c r="J408" t="s">
        <v>64</v>
      </c>
      <c r="K408" t="s">
        <v>43</v>
      </c>
      <c r="L408" s="27" t="s">
        <v>45</v>
      </c>
      <c r="M408" t="s">
        <v>46</v>
      </c>
      <c r="N408" t="s">
        <v>160</v>
      </c>
      <c r="O408" t="s">
        <v>48</v>
      </c>
      <c r="P408" t="s">
        <v>160</v>
      </c>
      <c r="Q408" t="s">
        <v>272</v>
      </c>
      <c r="R408" s="27">
        <v>4</v>
      </c>
      <c r="S408" s="1">
        <v>250000</v>
      </c>
      <c r="T408" s="1">
        <f ca="1">ROUND(T_EMPLOYEES[[#This Row],[EMP_CTC1]]/12, 0)</f>
        <v>20833</v>
      </c>
      <c r="U408" s="1">
        <v>150000</v>
      </c>
      <c r="V408" s="1" t="s">
        <v>1238</v>
      </c>
      <c r="W408" s="1" t="s">
        <v>1238</v>
      </c>
      <c r="X40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Meghashyam  Vutukuri (1024962)</v>
      </c>
      <c r="Y408">
        <v>120000</v>
      </c>
      <c r="Z408" s="29">
        <f t="shared" ca="1" si="7"/>
        <v>40</v>
      </c>
      <c r="AA408">
        <f ca="1">IF(T_EMPLOYEES[[#This Row],[EMPLOYEE NUMBER]]="","",ROW(T_EMPLOYEES[[#This Row],[EMPLOYEE LABEL]])-ROW(T_EMPLOYEES[[#Headers],[EMPLOYEE LABEL]]))</f>
        <v>405</v>
      </c>
      <c r="AB408">
        <f ca="1">IF(T_EMPLOYEES[[#This Row],[EMPLOYEE NUMBER]]="","",IF(COUNTIF(T_EMPLOYEES[EMPLOYEE NUMBER],T_EMPLOYEES[[#This Row],[EMPLOYEE NUMBER]])&gt;1,1,0))</f>
        <v>0</v>
      </c>
      <c r="AC408">
        <f ca="1">IF(T_EMPLOYEES[[#This Row],[EMPLOYEE NUMBER]]="","",IF(AND(T_EMPLOYEES[[#This Row],[DATE OF BIRTH]]&gt;0,T_EMPLOYEES[[#This Row],[DATE OF BIRTH]]&lt;TODAY()),0,1))</f>
        <v>0</v>
      </c>
      <c r="AD408">
        <f ca="1">IF(T_EMPLOYEES[[#This Row],[EMPLOYEE NUMBER]]="","",IF(AND(T_EMPLOYEES[[#This Row],[START DATE]]&gt;0,T_EMPLOYEES[[#This Row],[START DATE]]&lt;TODAY()+60),0,1))</f>
        <v>0</v>
      </c>
      <c r="AE408">
        <f ca="1">IF(T_EMPLOYEES[[#This Row],[EMPLOYEE NUMBER]]="","",MATCH(T_EMPLOYEES[[#This Row],[GENDER]],L_GENDER,0))</f>
        <v>1</v>
      </c>
      <c r="AF408">
        <f ca="1">IF(T_EMPLOYEES[[#This Row],[EMPLOYEE NUMBER]]="","",MATCH(T_EMPLOYEES[[#This Row],[HIRE SOURCE]],L_HIRESOURCE,0))</f>
        <v>4</v>
      </c>
      <c r="AG408">
        <f ca="1">IF(T_EMPLOYEES[[#This Row],[EMPLOYEE NUMBER]]="","",MATCH(T_EMPLOYEES[[#This Row],[ETHNICITY]],L_ETHNICITY,0))</f>
        <v>3</v>
      </c>
      <c r="AH408">
        <f ca="1">IF(T_EMPLOYEES[[#This Row],[EMPLOYEE NUMBER]]="","",MATCH(T_EMPLOYEES[[#This Row],[LOCATION]],L_LOCATION,0))</f>
        <v>2</v>
      </c>
      <c r="AI408">
        <f ca="1">IF(T_EMPLOYEES[[#This Row],[EMPLOYEE NUMBER]]="","",MATCH(T_EMPLOYEES[[#This Row],[DEPARTMENT]],L_DEPARTMENT,0))</f>
        <v>2</v>
      </c>
      <c r="AJ408">
        <f ca="1">IF(T_EMPLOYEES[[#This Row],[EMPLOYEE NUMBER]]="","",MATCH(T_EMPLOYEES[[#This Row],[JOB TYPE]],L_JOBTYPE,0))</f>
        <v>2</v>
      </c>
      <c r="AK408">
        <f ca="1">IF(T_EMPLOYEES[[#This Row],[EMPLOYEE NUMBER]]="","",MATCH(T_EMPLOYEES[[#This Row],[JOB CATEGORY]],L_JOBCATEGORY,0))</f>
        <v>39</v>
      </c>
      <c r="AL408">
        <f ca="1">IF(T_EMPLOYEES[[#This Row],[EMPLOYEE NUMBER]]="","",MATCH(T_EMPLOYEES[[#This Row],[JOB LEVEL]],L_JOBLEVEL,0))</f>
        <v>2</v>
      </c>
      <c r="AM408">
        <f ca="1">IF(T_EMPLOYEES[[#This Row],[EMPLOYEE NUMBER]]="","",MATCH(T_EMPLOYEES[[#This Row],[JOB TITLE]],L_JOBTITLE,0))</f>
        <v>39</v>
      </c>
      <c r="AN408">
        <f ca="1">IF(T_EMPLOYEES[[#This Row],[EMPLOYEE NUMBER]]="","",MATCH(T_EMPLOYEES[[#This Row],[MANAGER]],L_EMPLABELS,0))</f>
        <v>62</v>
      </c>
      <c r="AO408">
        <f ca="1">IF(T_EMPLOYEES[[#This Row],[EMPLOYEE NUMBER]]="","",IF(T_EMPLOYEES[[#This Row],[ERROR]]="",0,1))</f>
        <v>0</v>
      </c>
      <c r="AP40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9" spans="1:42">
      <c r="A409" t="s">
        <v>1349</v>
      </c>
      <c r="B409" t="s">
        <v>1218</v>
      </c>
      <c r="C409">
        <v>1026152</v>
      </c>
      <c r="D409" t="s">
        <v>1350</v>
      </c>
      <c r="E409" s="26">
        <v>36115</v>
      </c>
      <c r="F409" s="26">
        <v>44425</v>
      </c>
      <c r="H409" t="s">
        <v>27</v>
      </c>
      <c r="I409" t="s">
        <v>54</v>
      </c>
      <c r="J409" t="s">
        <v>64</v>
      </c>
      <c r="K409" t="s">
        <v>43</v>
      </c>
      <c r="L409" s="27" t="s">
        <v>45</v>
      </c>
      <c r="M409" t="s">
        <v>46</v>
      </c>
      <c r="N409" t="s">
        <v>160</v>
      </c>
      <c r="O409" t="s">
        <v>48</v>
      </c>
      <c r="P409" t="s">
        <v>160</v>
      </c>
      <c r="Q409" t="s">
        <v>608</v>
      </c>
      <c r="R409">
        <v>4</v>
      </c>
      <c r="S409" s="1">
        <v>250000</v>
      </c>
      <c r="T409" s="1">
        <f ca="1">ROUND(T_EMPLOYEES[[#This Row],[EMP_CTC1]]/12, 0)</f>
        <v>20833</v>
      </c>
      <c r="U409" s="1">
        <v>150000</v>
      </c>
      <c r="V409" s="1" t="s">
        <v>1238</v>
      </c>
      <c r="W409" s="1" t="s">
        <v>1238</v>
      </c>
      <c r="X40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Apoorvaditya Singh (1026152)</v>
      </c>
      <c r="Y409">
        <v>120000</v>
      </c>
      <c r="Z409" s="29">
        <f t="shared" ca="1" si="7"/>
        <v>40</v>
      </c>
      <c r="AA409">
        <f ca="1">IF(T_EMPLOYEES[[#This Row],[EMPLOYEE NUMBER]]="","",ROW(T_EMPLOYEES[[#This Row],[EMPLOYEE LABEL]])-ROW(T_EMPLOYEES[[#Headers],[EMPLOYEE LABEL]]))</f>
        <v>406</v>
      </c>
      <c r="AB409">
        <f ca="1">IF(T_EMPLOYEES[[#This Row],[EMPLOYEE NUMBER]]="","",IF(COUNTIF(T_EMPLOYEES[EMPLOYEE NUMBER],T_EMPLOYEES[[#This Row],[EMPLOYEE NUMBER]])&gt;1,1,0))</f>
        <v>0</v>
      </c>
      <c r="AC409">
        <f ca="1">IF(T_EMPLOYEES[[#This Row],[EMPLOYEE NUMBER]]="","",IF(AND(T_EMPLOYEES[[#This Row],[DATE OF BIRTH]]&gt;0,T_EMPLOYEES[[#This Row],[DATE OF BIRTH]]&lt;TODAY()),0,1))</f>
        <v>0</v>
      </c>
      <c r="AD409">
        <f ca="1">IF(T_EMPLOYEES[[#This Row],[EMPLOYEE NUMBER]]="","",IF(AND(T_EMPLOYEES[[#This Row],[START DATE]]&gt;0,T_EMPLOYEES[[#This Row],[START DATE]]&lt;TODAY()+60),0,1))</f>
        <v>0</v>
      </c>
      <c r="AE409">
        <f ca="1">IF(T_EMPLOYEES[[#This Row],[EMPLOYEE NUMBER]]="","",MATCH(T_EMPLOYEES[[#This Row],[GENDER]],L_GENDER,0))</f>
        <v>1</v>
      </c>
      <c r="AF409">
        <f ca="1">IF(T_EMPLOYEES[[#This Row],[EMPLOYEE NUMBER]]="","",MATCH(T_EMPLOYEES[[#This Row],[HIRE SOURCE]],L_HIRESOURCE,0))</f>
        <v>4</v>
      </c>
      <c r="AG409">
        <f ca="1">IF(T_EMPLOYEES[[#This Row],[EMPLOYEE NUMBER]]="","",MATCH(T_EMPLOYEES[[#This Row],[ETHNICITY]],L_ETHNICITY,0))</f>
        <v>3</v>
      </c>
      <c r="AH409">
        <f ca="1">IF(T_EMPLOYEES[[#This Row],[EMPLOYEE NUMBER]]="","",MATCH(T_EMPLOYEES[[#This Row],[LOCATION]],L_LOCATION,0))</f>
        <v>2</v>
      </c>
      <c r="AI409">
        <f ca="1">IF(T_EMPLOYEES[[#This Row],[EMPLOYEE NUMBER]]="","",MATCH(T_EMPLOYEES[[#This Row],[DEPARTMENT]],L_DEPARTMENT,0))</f>
        <v>2</v>
      </c>
      <c r="AJ409">
        <f ca="1">IF(T_EMPLOYEES[[#This Row],[EMPLOYEE NUMBER]]="","",MATCH(T_EMPLOYEES[[#This Row],[JOB TYPE]],L_JOBTYPE,0))</f>
        <v>2</v>
      </c>
      <c r="AK409">
        <f ca="1">IF(T_EMPLOYEES[[#This Row],[EMPLOYEE NUMBER]]="","",MATCH(T_EMPLOYEES[[#This Row],[JOB CATEGORY]],L_JOBCATEGORY,0))</f>
        <v>39</v>
      </c>
      <c r="AL409">
        <f ca="1">IF(T_EMPLOYEES[[#This Row],[EMPLOYEE NUMBER]]="","",MATCH(T_EMPLOYEES[[#This Row],[JOB LEVEL]],L_JOBLEVEL,0))</f>
        <v>2</v>
      </c>
      <c r="AM409">
        <f ca="1">IF(T_EMPLOYEES[[#This Row],[EMPLOYEE NUMBER]]="","",MATCH(T_EMPLOYEES[[#This Row],[JOB TITLE]],L_JOBTITLE,0))</f>
        <v>39</v>
      </c>
      <c r="AN409">
        <f ca="1">IF(T_EMPLOYEES[[#This Row],[EMPLOYEE NUMBER]]="","",MATCH(T_EMPLOYEES[[#This Row],[MANAGER]],L_EMPLABELS,0))</f>
        <v>105</v>
      </c>
      <c r="AO409">
        <f ca="1">IF(T_EMPLOYEES[[#This Row],[EMPLOYEE NUMBER]]="","",IF(T_EMPLOYEES[[#This Row],[ERROR]]="",0,1))</f>
        <v>0</v>
      </c>
      <c r="AP40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0" spans="1:42">
      <c r="A410" t="s">
        <v>226</v>
      </c>
      <c r="B410" t="s">
        <v>1018</v>
      </c>
      <c r="C410">
        <v>1033203</v>
      </c>
      <c r="D410" t="s">
        <v>1351</v>
      </c>
      <c r="E410" s="26">
        <v>36115</v>
      </c>
      <c r="F410" s="26">
        <v>45154</v>
      </c>
      <c r="H410" t="s">
        <v>40</v>
      </c>
      <c r="I410" t="s">
        <v>54</v>
      </c>
      <c r="J410" t="s">
        <v>64</v>
      </c>
      <c r="K410" t="s">
        <v>30</v>
      </c>
      <c r="L410" s="27" t="s">
        <v>45</v>
      </c>
      <c r="M410" t="s">
        <v>46</v>
      </c>
      <c r="N410" t="s">
        <v>160</v>
      </c>
      <c r="O410" t="s">
        <v>48</v>
      </c>
      <c r="P410" t="s">
        <v>160</v>
      </c>
      <c r="Q410" t="s">
        <v>559</v>
      </c>
      <c r="R410" s="27">
        <v>4</v>
      </c>
      <c r="S410" s="1">
        <v>250000</v>
      </c>
      <c r="T410" s="1">
        <f ca="1">ROUND(T_EMPLOYEES[[#This Row],[EMP_CTC1]]/12, 0)</f>
        <v>20833</v>
      </c>
      <c r="U410" s="1">
        <v>150000</v>
      </c>
      <c r="V410" s="1" t="s">
        <v>1238</v>
      </c>
      <c r="W410" s="1" t="s">
        <v>1238</v>
      </c>
      <c r="X41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 Vidya (1033203)</v>
      </c>
      <c r="Y410">
        <v>120000</v>
      </c>
      <c r="Z410" s="29">
        <f t="shared" ca="1" si="7"/>
        <v>40</v>
      </c>
      <c r="AA410">
        <f ca="1">IF(T_EMPLOYEES[[#This Row],[EMPLOYEE NUMBER]]="","",ROW(T_EMPLOYEES[[#This Row],[EMPLOYEE LABEL]])-ROW(T_EMPLOYEES[[#Headers],[EMPLOYEE LABEL]]))</f>
        <v>407</v>
      </c>
      <c r="AB410">
        <f ca="1">IF(T_EMPLOYEES[[#This Row],[EMPLOYEE NUMBER]]="","",IF(COUNTIF(T_EMPLOYEES[EMPLOYEE NUMBER],T_EMPLOYEES[[#This Row],[EMPLOYEE NUMBER]])&gt;1,1,0))</f>
        <v>0</v>
      </c>
      <c r="AC410">
        <f ca="1">IF(T_EMPLOYEES[[#This Row],[EMPLOYEE NUMBER]]="","",IF(AND(T_EMPLOYEES[[#This Row],[DATE OF BIRTH]]&gt;0,T_EMPLOYEES[[#This Row],[DATE OF BIRTH]]&lt;TODAY()),0,1))</f>
        <v>0</v>
      </c>
      <c r="AD410">
        <f ca="1">IF(T_EMPLOYEES[[#This Row],[EMPLOYEE NUMBER]]="","",IF(AND(T_EMPLOYEES[[#This Row],[START DATE]]&gt;0,T_EMPLOYEES[[#This Row],[START DATE]]&lt;TODAY()+60),0,1))</f>
        <v>0</v>
      </c>
      <c r="AE410">
        <f ca="1">IF(T_EMPLOYEES[[#This Row],[EMPLOYEE NUMBER]]="","",MATCH(T_EMPLOYEES[[#This Row],[GENDER]],L_GENDER,0))</f>
        <v>2</v>
      </c>
      <c r="AF410">
        <f ca="1">IF(T_EMPLOYEES[[#This Row],[EMPLOYEE NUMBER]]="","",MATCH(T_EMPLOYEES[[#This Row],[HIRE SOURCE]],L_HIRESOURCE,0))</f>
        <v>4</v>
      </c>
      <c r="AG410">
        <f ca="1">IF(T_EMPLOYEES[[#This Row],[EMPLOYEE NUMBER]]="","",MATCH(T_EMPLOYEES[[#This Row],[ETHNICITY]],L_ETHNICITY,0))</f>
        <v>3</v>
      </c>
      <c r="AH410">
        <f ca="1">IF(T_EMPLOYEES[[#This Row],[EMPLOYEE NUMBER]]="","",MATCH(T_EMPLOYEES[[#This Row],[LOCATION]],L_LOCATION,0))</f>
        <v>1</v>
      </c>
      <c r="AI410">
        <f ca="1">IF(T_EMPLOYEES[[#This Row],[EMPLOYEE NUMBER]]="","",MATCH(T_EMPLOYEES[[#This Row],[DEPARTMENT]],L_DEPARTMENT,0))</f>
        <v>2</v>
      </c>
      <c r="AJ410">
        <f ca="1">IF(T_EMPLOYEES[[#This Row],[EMPLOYEE NUMBER]]="","",MATCH(T_EMPLOYEES[[#This Row],[JOB TYPE]],L_JOBTYPE,0))</f>
        <v>2</v>
      </c>
      <c r="AK410">
        <f ca="1">IF(T_EMPLOYEES[[#This Row],[EMPLOYEE NUMBER]]="","",MATCH(T_EMPLOYEES[[#This Row],[JOB CATEGORY]],L_JOBCATEGORY,0))</f>
        <v>39</v>
      </c>
      <c r="AL410">
        <f ca="1">IF(T_EMPLOYEES[[#This Row],[EMPLOYEE NUMBER]]="","",MATCH(T_EMPLOYEES[[#This Row],[JOB LEVEL]],L_JOBLEVEL,0))</f>
        <v>2</v>
      </c>
      <c r="AM410">
        <f ca="1">IF(T_EMPLOYEES[[#This Row],[EMPLOYEE NUMBER]]="","",MATCH(T_EMPLOYEES[[#This Row],[JOB TITLE]],L_JOBTITLE,0))</f>
        <v>39</v>
      </c>
      <c r="AN410">
        <f ca="1">IF(T_EMPLOYEES[[#This Row],[EMPLOYEE NUMBER]]="","",MATCH(T_EMPLOYEES[[#This Row],[MANAGER]],L_EMPLABELS,0))</f>
        <v>58</v>
      </c>
      <c r="AO410">
        <f ca="1">IF(T_EMPLOYEES[[#This Row],[EMPLOYEE NUMBER]]="","",IF(T_EMPLOYEES[[#This Row],[ERROR]]="",0,1))</f>
        <v>0</v>
      </c>
      <c r="AP41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1" spans="1:42">
      <c r="A411" t="s">
        <v>1352</v>
      </c>
      <c r="B411" t="s">
        <v>1353</v>
      </c>
      <c r="C411">
        <v>1027414</v>
      </c>
      <c r="D411" t="s">
        <v>1354</v>
      </c>
      <c r="E411" s="26">
        <v>36124</v>
      </c>
      <c r="F411" s="26">
        <v>44531</v>
      </c>
      <c r="H411" t="s">
        <v>40</v>
      </c>
      <c r="I411" t="s">
        <v>54</v>
      </c>
      <c r="J411" t="s">
        <v>64</v>
      </c>
      <c r="K411" t="s">
        <v>43</v>
      </c>
      <c r="L411" s="27" t="s">
        <v>114</v>
      </c>
      <c r="M411" t="s">
        <v>46</v>
      </c>
      <c r="N411" t="s">
        <v>151</v>
      </c>
      <c r="O411" t="s">
        <v>36</v>
      </c>
      <c r="P411" t="s">
        <v>151</v>
      </c>
      <c r="Q411" t="s">
        <v>468</v>
      </c>
      <c r="R411">
        <v>0</v>
      </c>
      <c r="S411" s="1">
        <v>250000</v>
      </c>
      <c r="T411" s="1">
        <f ca="1">ROUND(T_EMPLOYEES[[#This Row],[EMP_CTC1]]/12, 0)</f>
        <v>20833</v>
      </c>
      <c r="U411" s="1">
        <v>150000</v>
      </c>
      <c r="V411" s="1" t="s">
        <v>1238</v>
      </c>
      <c r="W411" s="1" t="s">
        <v>1238</v>
      </c>
      <c r="X41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Ambika G Prabhu (1027414)</v>
      </c>
      <c r="Y411">
        <v>120000</v>
      </c>
      <c r="Z411" s="29">
        <f t="shared" ca="1" si="7"/>
        <v>40</v>
      </c>
      <c r="AA411">
        <f ca="1">IF(T_EMPLOYEES[[#This Row],[EMPLOYEE NUMBER]]="","",ROW(T_EMPLOYEES[[#This Row],[EMPLOYEE LABEL]])-ROW(T_EMPLOYEES[[#Headers],[EMPLOYEE LABEL]]))</f>
        <v>408</v>
      </c>
      <c r="AB411">
        <f ca="1">IF(T_EMPLOYEES[[#This Row],[EMPLOYEE NUMBER]]="","",IF(COUNTIF(T_EMPLOYEES[EMPLOYEE NUMBER],T_EMPLOYEES[[#This Row],[EMPLOYEE NUMBER]])&gt;1,1,0))</f>
        <v>0</v>
      </c>
      <c r="AC411">
        <f ca="1">IF(T_EMPLOYEES[[#This Row],[EMPLOYEE NUMBER]]="","",IF(AND(T_EMPLOYEES[[#This Row],[DATE OF BIRTH]]&gt;0,T_EMPLOYEES[[#This Row],[DATE OF BIRTH]]&lt;TODAY()),0,1))</f>
        <v>0</v>
      </c>
      <c r="AD411">
        <f ca="1">IF(T_EMPLOYEES[[#This Row],[EMPLOYEE NUMBER]]="","",IF(AND(T_EMPLOYEES[[#This Row],[START DATE]]&gt;0,T_EMPLOYEES[[#This Row],[START DATE]]&lt;TODAY()+60),0,1))</f>
        <v>0</v>
      </c>
      <c r="AE411">
        <f ca="1">IF(T_EMPLOYEES[[#This Row],[EMPLOYEE NUMBER]]="","",MATCH(T_EMPLOYEES[[#This Row],[GENDER]],L_GENDER,0))</f>
        <v>2</v>
      </c>
      <c r="AF411">
        <f ca="1">IF(T_EMPLOYEES[[#This Row],[EMPLOYEE NUMBER]]="","",MATCH(T_EMPLOYEES[[#This Row],[HIRE SOURCE]],L_HIRESOURCE,0))</f>
        <v>4</v>
      </c>
      <c r="AG411">
        <f ca="1">IF(T_EMPLOYEES[[#This Row],[EMPLOYEE NUMBER]]="","",MATCH(T_EMPLOYEES[[#This Row],[ETHNICITY]],L_ETHNICITY,0))</f>
        <v>3</v>
      </c>
      <c r="AH411">
        <f ca="1">IF(T_EMPLOYEES[[#This Row],[EMPLOYEE NUMBER]]="","",MATCH(T_EMPLOYEES[[#This Row],[LOCATION]],L_LOCATION,0))</f>
        <v>2</v>
      </c>
      <c r="AI411">
        <f ca="1">IF(T_EMPLOYEES[[#This Row],[EMPLOYEE NUMBER]]="","",MATCH(T_EMPLOYEES[[#This Row],[DEPARTMENT]],L_DEPARTMENT,0))</f>
        <v>11</v>
      </c>
      <c r="AJ411">
        <f ca="1">IF(T_EMPLOYEES[[#This Row],[EMPLOYEE NUMBER]]="","",MATCH(T_EMPLOYEES[[#This Row],[JOB TYPE]],L_JOBTYPE,0))</f>
        <v>2</v>
      </c>
      <c r="AK411">
        <f ca="1">IF(T_EMPLOYEES[[#This Row],[EMPLOYEE NUMBER]]="","",MATCH(T_EMPLOYEES[[#This Row],[JOB CATEGORY]],L_JOBCATEGORY,0))</f>
        <v>30</v>
      </c>
      <c r="AL411">
        <f ca="1">IF(T_EMPLOYEES[[#This Row],[EMPLOYEE NUMBER]]="","",MATCH(T_EMPLOYEES[[#This Row],[JOB LEVEL]],L_JOBLEVEL,0))</f>
        <v>1</v>
      </c>
      <c r="AM411">
        <f ca="1">IF(T_EMPLOYEES[[#This Row],[EMPLOYEE NUMBER]]="","",MATCH(T_EMPLOYEES[[#This Row],[JOB TITLE]],L_JOBTITLE,0))</f>
        <v>30</v>
      </c>
      <c r="AN411">
        <f ca="1">IF(T_EMPLOYEES[[#This Row],[EMPLOYEE NUMBER]]="","",MATCH(T_EMPLOYEES[[#This Row],[MANAGER]],L_EMPLABELS,0))</f>
        <v>56</v>
      </c>
      <c r="AO411">
        <f ca="1">IF(T_EMPLOYEES[[#This Row],[EMPLOYEE NUMBER]]="","",IF(T_EMPLOYEES[[#This Row],[ERROR]]="",0,1))</f>
        <v>0</v>
      </c>
      <c r="AP41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2" spans="1:42">
      <c r="A412" t="s">
        <v>1355</v>
      </c>
      <c r="B412" t="s">
        <v>1356</v>
      </c>
      <c r="C412">
        <v>1031052</v>
      </c>
      <c r="D412" t="s">
        <v>1357</v>
      </c>
      <c r="E412" s="26">
        <v>36128</v>
      </c>
      <c r="F412" s="26">
        <v>44889</v>
      </c>
      <c r="H412" t="s">
        <v>27</v>
      </c>
      <c r="I412" t="s">
        <v>54</v>
      </c>
      <c r="J412" t="s">
        <v>64</v>
      </c>
      <c r="K412" t="s">
        <v>30</v>
      </c>
      <c r="L412" s="27" t="s">
        <v>45</v>
      </c>
      <c r="M412" t="s">
        <v>46</v>
      </c>
      <c r="N412" t="s">
        <v>151</v>
      </c>
      <c r="O412" t="s">
        <v>36</v>
      </c>
      <c r="P412" t="s">
        <v>151</v>
      </c>
      <c r="Q412" t="s">
        <v>218</v>
      </c>
      <c r="R412" s="27">
        <v>0</v>
      </c>
      <c r="S412" s="1">
        <v>250000</v>
      </c>
      <c r="T412" s="1">
        <f ca="1">ROUND(T_EMPLOYEES[[#This Row],[EMP_CTC1]]/12, 0)</f>
        <v>20833</v>
      </c>
      <c r="U412" s="1">
        <v>150000</v>
      </c>
      <c r="V412" s="1" t="s">
        <v>1238</v>
      </c>
      <c r="W412" s="1" t="s">
        <v>1238</v>
      </c>
      <c r="X41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Sujay Anant Zope (1031052)</v>
      </c>
      <c r="Y412">
        <v>120000</v>
      </c>
      <c r="Z412" s="29">
        <f t="shared" ca="1" si="7"/>
        <v>40</v>
      </c>
      <c r="AA412">
        <f ca="1">IF(T_EMPLOYEES[[#This Row],[EMPLOYEE NUMBER]]="","",ROW(T_EMPLOYEES[[#This Row],[EMPLOYEE LABEL]])-ROW(T_EMPLOYEES[[#Headers],[EMPLOYEE LABEL]]))</f>
        <v>409</v>
      </c>
      <c r="AB412">
        <f ca="1">IF(T_EMPLOYEES[[#This Row],[EMPLOYEE NUMBER]]="","",IF(COUNTIF(T_EMPLOYEES[EMPLOYEE NUMBER],T_EMPLOYEES[[#This Row],[EMPLOYEE NUMBER]])&gt;1,1,0))</f>
        <v>0</v>
      </c>
      <c r="AC412">
        <f ca="1">IF(T_EMPLOYEES[[#This Row],[EMPLOYEE NUMBER]]="","",IF(AND(T_EMPLOYEES[[#This Row],[DATE OF BIRTH]]&gt;0,T_EMPLOYEES[[#This Row],[DATE OF BIRTH]]&lt;TODAY()),0,1))</f>
        <v>0</v>
      </c>
      <c r="AD412">
        <f ca="1">IF(T_EMPLOYEES[[#This Row],[EMPLOYEE NUMBER]]="","",IF(AND(T_EMPLOYEES[[#This Row],[START DATE]]&gt;0,T_EMPLOYEES[[#This Row],[START DATE]]&lt;TODAY()+60),0,1))</f>
        <v>0</v>
      </c>
      <c r="AE412">
        <f ca="1">IF(T_EMPLOYEES[[#This Row],[EMPLOYEE NUMBER]]="","",MATCH(T_EMPLOYEES[[#This Row],[GENDER]],L_GENDER,0))</f>
        <v>1</v>
      </c>
      <c r="AF412">
        <f ca="1">IF(T_EMPLOYEES[[#This Row],[EMPLOYEE NUMBER]]="","",MATCH(T_EMPLOYEES[[#This Row],[HIRE SOURCE]],L_HIRESOURCE,0))</f>
        <v>4</v>
      </c>
      <c r="AG412">
        <f ca="1">IF(T_EMPLOYEES[[#This Row],[EMPLOYEE NUMBER]]="","",MATCH(T_EMPLOYEES[[#This Row],[ETHNICITY]],L_ETHNICITY,0))</f>
        <v>3</v>
      </c>
      <c r="AH412">
        <f ca="1">IF(T_EMPLOYEES[[#This Row],[EMPLOYEE NUMBER]]="","",MATCH(T_EMPLOYEES[[#This Row],[LOCATION]],L_LOCATION,0))</f>
        <v>1</v>
      </c>
      <c r="AI412">
        <f ca="1">IF(T_EMPLOYEES[[#This Row],[EMPLOYEE NUMBER]]="","",MATCH(T_EMPLOYEES[[#This Row],[DEPARTMENT]],L_DEPARTMENT,0))</f>
        <v>2</v>
      </c>
      <c r="AJ412">
        <f ca="1">IF(T_EMPLOYEES[[#This Row],[EMPLOYEE NUMBER]]="","",MATCH(T_EMPLOYEES[[#This Row],[JOB TYPE]],L_JOBTYPE,0))</f>
        <v>2</v>
      </c>
      <c r="AK412">
        <f ca="1">IF(T_EMPLOYEES[[#This Row],[EMPLOYEE NUMBER]]="","",MATCH(T_EMPLOYEES[[#This Row],[JOB CATEGORY]],L_JOBCATEGORY,0))</f>
        <v>30</v>
      </c>
      <c r="AL412">
        <f ca="1">IF(T_EMPLOYEES[[#This Row],[EMPLOYEE NUMBER]]="","",MATCH(T_EMPLOYEES[[#This Row],[JOB LEVEL]],L_JOBLEVEL,0))</f>
        <v>1</v>
      </c>
      <c r="AM412">
        <f ca="1">IF(T_EMPLOYEES[[#This Row],[EMPLOYEE NUMBER]]="","",MATCH(T_EMPLOYEES[[#This Row],[JOB TITLE]],L_JOBTITLE,0))</f>
        <v>30</v>
      </c>
      <c r="AN412">
        <f ca="1">IF(T_EMPLOYEES[[#This Row],[EMPLOYEE NUMBER]]="","",MATCH(T_EMPLOYEES[[#This Row],[MANAGER]],L_EMPLABELS,0))</f>
        <v>43</v>
      </c>
      <c r="AO412">
        <f ca="1">IF(T_EMPLOYEES[[#This Row],[EMPLOYEE NUMBER]]="","",IF(T_EMPLOYEES[[#This Row],[ERROR]]="",0,1))</f>
        <v>0</v>
      </c>
      <c r="AP41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3" spans="1:42">
      <c r="A413" t="s">
        <v>1358</v>
      </c>
      <c r="B413" t="s">
        <v>1359</v>
      </c>
      <c r="C413">
        <v>1030691</v>
      </c>
      <c r="D413" t="s">
        <v>1360</v>
      </c>
      <c r="E413" s="26">
        <v>36131</v>
      </c>
      <c r="F413" s="26">
        <v>44855</v>
      </c>
      <c r="H413" t="s">
        <v>40</v>
      </c>
      <c r="I413" t="s">
        <v>54</v>
      </c>
      <c r="J413" t="s">
        <v>64</v>
      </c>
      <c r="K413" t="s">
        <v>30</v>
      </c>
      <c r="L413" s="27" t="s">
        <v>114</v>
      </c>
      <c r="M413" t="s">
        <v>46</v>
      </c>
      <c r="N413" t="s">
        <v>156</v>
      </c>
      <c r="O413" t="s">
        <v>36</v>
      </c>
      <c r="P413" t="s">
        <v>156</v>
      </c>
      <c r="Q413" t="s">
        <v>468</v>
      </c>
      <c r="R413">
        <v>0</v>
      </c>
      <c r="S413" s="1">
        <v>250000</v>
      </c>
      <c r="T413" s="1">
        <f ca="1">ROUND(T_EMPLOYEES[[#This Row],[EMP_CTC1]]/12, 0)</f>
        <v>20833</v>
      </c>
      <c r="U413" s="1">
        <v>150000</v>
      </c>
      <c r="V413" s="1" t="s">
        <v>1238</v>
      </c>
      <c r="W413" s="1" t="s">
        <v>1238</v>
      </c>
      <c r="X41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Varshitha B V (1030691)</v>
      </c>
      <c r="Y413">
        <v>120000</v>
      </c>
      <c r="Z413" s="29">
        <f t="shared" ca="1" si="7"/>
        <v>40</v>
      </c>
      <c r="AA413">
        <f ca="1">IF(T_EMPLOYEES[[#This Row],[EMPLOYEE NUMBER]]="","",ROW(T_EMPLOYEES[[#This Row],[EMPLOYEE LABEL]])-ROW(T_EMPLOYEES[[#Headers],[EMPLOYEE LABEL]]))</f>
        <v>410</v>
      </c>
      <c r="AB413">
        <f ca="1">IF(T_EMPLOYEES[[#This Row],[EMPLOYEE NUMBER]]="","",IF(COUNTIF(T_EMPLOYEES[EMPLOYEE NUMBER],T_EMPLOYEES[[#This Row],[EMPLOYEE NUMBER]])&gt;1,1,0))</f>
        <v>0</v>
      </c>
      <c r="AC413">
        <f ca="1">IF(T_EMPLOYEES[[#This Row],[EMPLOYEE NUMBER]]="","",IF(AND(T_EMPLOYEES[[#This Row],[DATE OF BIRTH]]&gt;0,T_EMPLOYEES[[#This Row],[DATE OF BIRTH]]&lt;TODAY()),0,1))</f>
        <v>0</v>
      </c>
      <c r="AD413">
        <f ca="1">IF(T_EMPLOYEES[[#This Row],[EMPLOYEE NUMBER]]="","",IF(AND(T_EMPLOYEES[[#This Row],[START DATE]]&gt;0,T_EMPLOYEES[[#This Row],[START DATE]]&lt;TODAY()+60),0,1))</f>
        <v>0</v>
      </c>
      <c r="AE413">
        <f ca="1">IF(T_EMPLOYEES[[#This Row],[EMPLOYEE NUMBER]]="","",MATCH(T_EMPLOYEES[[#This Row],[GENDER]],L_GENDER,0))</f>
        <v>2</v>
      </c>
      <c r="AF413">
        <f ca="1">IF(T_EMPLOYEES[[#This Row],[EMPLOYEE NUMBER]]="","",MATCH(T_EMPLOYEES[[#This Row],[HIRE SOURCE]],L_HIRESOURCE,0))</f>
        <v>4</v>
      </c>
      <c r="AG413">
        <f ca="1">IF(T_EMPLOYEES[[#This Row],[EMPLOYEE NUMBER]]="","",MATCH(T_EMPLOYEES[[#This Row],[ETHNICITY]],L_ETHNICITY,0))</f>
        <v>3</v>
      </c>
      <c r="AH413">
        <f ca="1">IF(T_EMPLOYEES[[#This Row],[EMPLOYEE NUMBER]]="","",MATCH(T_EMPLOYEES[[#This Row],[LOCATION]],L_LOCATION,0))</f>
        <v>1</v>
      </c>
      <c r="AI413">
        <f ca="1">IF(T_EMPLOYEES[[#This Row],[EMPLOYEE NUMBER]]="","",MATCH(T_EMPLOYEES[[#This Row],[DEPARTMENT]],L_DEPARTMENT,0))</f>
        <v>11</v>
      </c>
      <c r="AJ413">
        <f ca="1">IF(T_EMPLOYEES[[#This Row],[EMPLOYEE NUMBER]]="","",MATCH(T_EMPLOYEES[[#This Row],[JOB TYPE]],L_JOBTYPE,0))</f>
        <v>2</v>
      </c>
      <c r="AK413">
        <f ca="1">IF(T_EMPLOYEES[[#This Row],[EMPLOYEE NUMBER]]="","",MATCH(T_EMPLOYEES[[#This Row],[JOB CATEGORY]],L_JOBCATEGORY,0))</f>
        <v>35</v>
      </c>
      <c r="AL413">
        <f ca="1">IF(T_EMPLOYEES[[#This Row],[EMPLOYEE NUMBER]]="","",MATCH(T_EMPLOYEES[[#This Row],[JOB LEVEL]],L_JOBLEVEL,0))</f>
        <v>1</v>
      </c>
      <c r="AM413">
        <f ca="1">IF(T_EMPLOYEES[[#This Row],[EMPLOYEE NUMBER]]="","",MATCH(T_EMPLOYEES[[#This Row],[JOB TITLE]],L_JOBTITLE,0))</f>
        <v>35</v>
      </c>
      <c r="AN413">
        <f ca="1">IF(T_EMPLOYEES[[#This Row],[EMPLOYEE NUMBER]]="","",MATCH(T_EMPLOYEES[[#This Row],[MANAGER]],L_EMPLABELS,0))</f>
        <v>56</v>
      </c>
      <c r="AO413">
        <f ca="1">IF(T_EMPLOYEES[[#This Row],[EMPLOYEE NUMBER]]="","",IF(T_EMPLOYEES[[#This Row],[ERROR]]="",0,1))</f>
        <v>0</v>
      </c>
      <c r="AP41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4" spans="1:42">
      <c r="A414" t="s">
        <v>1361</v>
      </c>
      <c r="B414" t="s">
        <v>1362</v>
      </c>
      <c r="C414">
        <v>1032905</v>
      </c>
      <c r="D414" t="s">
        <v>1363</v>
      </c>
      <c r="E414" s="26">
        <v>36134</v>
      </c>
      <c r="F414" s="26">
        <v>45084</v>
      </c>
      <c r="H414" t="s">
        <v>27</v>
      </c>
      <c r="I414" t="s">
        <v>54</v>
      </c>
      <c r="J414" t="s">
        <v>64</v>
      </c>
      <c r="K414" t="s">
        <v>30</v>
      </c>
      <c r="L414" s="27" t="s">
        <v>45</v>
      </c>
      <c r="M414" t="s">
        <v>46</v>
      </c>
      <c r="N414" t="s">
        <v>159</v>
      </c>
      <c r="O414" t="s">
        <v>48</v>
      </c>
      <c r="P414" t="s">
        <v>159</v>
      </c>
      <c r="Q414" t="s">
        <v>907</v>
      </c>
      <c r="R414" s="27">
        <v>4</v>
      </c>
      <c r="S414" s="1">
        <v>250000</v>
      </c>
      <c r="T414" s="1">
        <f ca="1">ROUND(T_EMPLOYEES[[#This Row],[EMP_CTC1]]/12, 0)</f>
        <v>20833</v>
      </c>
      <c r="U414" s="1">
        <v>150000</v>
      </c>
      <c r="V414" s="1" t="s">
        <v>1238</v>
      </c>
      <c r="W414" s="1" t="s">
        <v>1238</v>
      </c>
      <c r="X41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Sabbani  Ashwin (1032905)</v>
      </c>
      <c r="Y414">
        <v>120000</v>
      </c>
      <c r="Z414" s="29">
        <f t="shared" ca="1" si="7"/>
        <v>40</v>
      </c>
      <c r="AA414">
        <f ca="1">IF(T_EMPLOYEES[[#This Row],[EMPLOYEE NUMBER]]="","",ROW(T_EMPLOYEES[[#This Row],[EMPLOYEE LABEL]])-ROW(T_EMPLOYEES[[#Headers],[EMPLOYEE LABEL]]))</f>
        <v>411</v>
      </c>
      <c r="AB414">
        <f ca="1">IF(T_EMPLOYEES[[#This Row],[EMPLOYEE NUMBER]]="","",IF(COUNTIF(T_EMPLOYEES[EMPLOYEE NUMBER],T_EMPLOYEES[[#This Row],[EMPLOYEE NUMBER]])&gt;1,1,0))</f>
        <v>0</v>
      </c>
      <c r="AC414">
        <f ca="1">IF(T_EMPLOYEES[[#This Row],[EMPLOYEE NUMBER]]="","",IF(AND(T_EMPLOYEES[[#This Row],[DATE OF BIRTH]]&gt;0,T_EMPLOYEES[[#This Row],[DATE OF BIRTH]]&lt;TODAY()),0,1))</f>
        <v>0</v>
      </c>
      <c r="AD414">
        <f ca="1">IF(T_EMPLOYEES[[#This Row],[EMPLOYEE NUMBER]]="","",IF(AND(T_EMPLOYEES[[#This Row],[START DATE]]&gt;0,T_EMPLOYEES[[#This Row],[START DATE]]&lt;TODAY()+60),0,1))</f>
        <v>0</v>
      </c>
      <c r="AE414">
        <f ca="1">IF(T_EMPLOYEES[[#This Row],[EMPLOYEE NUMBER]]="","",MATCH(T_EMPLOYEES[[#This Row],[GENDER]],L_GENDER,0))</f>
        <v>1</v>
      </c>
      <c r="AF414">
        <f ca="1">IF(T_EMPLOYEES[[#This Row],[EMPLOYEE NUMBER]]="","",MATCH(T_EMPLOYEES[[#This Row],[HIRE SOURCE]],L_HIRESOURCE,0))</f>
        <v>4</v>
      </c>
      <c r="AG414">
        <f ca="1">IF(T_EMPLOYEES[[#This Row],[EMPLOYEE NUMBER]]="","",MATCH(T_EMPLOYEES[[#This Row],[ETHNICITY]],L_ETHNICITY,0))</f>
        <v>3</v>
      </c>
      <c r="AH414">
        <f ca="1">IF(T_EMPLOYEES[[#This Row],[EMPLOYEE NUMBER]]="","",MATCH(T_EMPLOYEES[[#This Row],[LOCATION]],L_LOCATION,0))</f>
        <v>1</v>
      </c>
      <c r="AI414">
        <f ca="1">IF(T_EMPLOYEES[[#This Row],[EMPLOYEE NUMBER]]="","",MATCH(T_EMPLOYEES[[#This Row],[DEPARTMENT]],L_DEPARTMENT,0))</f>
        <v>2</v>
      </c>
      <c r="AJ414">
        <f ca="1">IF(T_EMPLOYEES[[#This Row],[EMPLOYEE NUMBER]]="","",MATCH(T_EMPLOYEES[[#This Row],[JOB TYPE]],L_JOBTYPE,0))</f>
        <v>2</v>
      </c>
      <c r="AK414">
        <f ca="1">IF(T_EMPLOYEES[[#This Row],[EMPLOYEE NUMBER]]="","",MATCH(T_EMPLOYEES[[#This Row],[JOB CATEGORY]],L_JOBCATEGORY,0))</f>
        <v>38</v>
      </c>
      <c r="AL414">
        <f ca="1">IF(T_EMPLOYEES[[#This Row],[EMPLOYEE NUMBER]]="","",MATCH(T_EMPLOYEES[[#This Row],[JOB LEVEL]],L_JOBLEVEL,0))</f>
        <v>2</v>
      </c>
      <c r="AM414">
        <f ca="1">IF(T_EMPLOYEES[[#This Row],[EMPLOYEE NUMBER]]="","",MATCH(T_EMPLOYEES[[#This Row],[JOB TITLE]],L_JOBTITLE,0))</f>
        <v>38</v>
      </c>
      <c r="AN414">
        <f ca="1">IF(T_EMPLOYEES[[#This Row],[EMPLOYEE NUMBER]]="","",MATCH(T_EMPLOYEES[[#This Row],[MANAGER]],L_EMPLABELS,0))</f>
        <v>108</v>
      </c>
      <c r="AO414">
        <f ca="1">IF(T_EMPLOYEES[[#This Row],[EMPLOYEE NUMBER]]="","",IF(T_EMPLOYEES[[#This Row],[ERROR]]="",0,1))</f>
        <v>0</v>
      </c>
      <c r="AP41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5" spans="1:42">
      <c r="A415" t="s">
        <v>1364</v>
      </c>
      <c r="B415" t="s">
        <v>1365</v>
      </c>
      <c r="C415">
        <v>1031060</v>
      </c>
      <c r="D415" t="s">
        <v>1366</v>
      </c>
      <c r="E415" s="26">
        <v>36136</v>
      </c>
      <c r="F415" s="26">
        <v>44889</v>
      </c>
      <c r="H415" t="s">
        <v>27</v>
      </c>
      <c r="I415" t="s">
        <v>54</v>
      </c>
      <c r="J415" t="s">
        <v>64</v>
      </c>
      <c r="K415" t="s">
        <v>30</v>
      </c>
      <c r="L415" s="27" t="s">
        <v>45</v>
      </c>
      <c r="M415" t="s">
        <v>46</v>
      </c>
      <c r="N415" t="s">
        <v>151</v>
      </c>
      <c r="O415" t="s">
        <v>36</v>
      </c>
      <c r="P415" t="s">
        <v>151</v>
      </c>
      <c r="Q415" t="s">
        <v>1312</v>
      </c>
      <c r="R415">
        <v>0</v>
      </c>
      <c r="S415" s="1">
        <v>250000</v>
      </c>
      <c r="T415" s="1">
        <f ca="1">ROUND(T_EMPLOYEES[[#This Row],[EMP_CTC1]]/12, 0)</f>
        <v>20833</v>
      </c>
      <c r="U415" s="1">
        <v>150000</v>
      </c>
      <c r="V415" s="1" t="s">
        <v>1238</v>
      </c>
      <c r="W415" s="1" t="s">
        <v>1238</v>
      </c>
      <c r="X41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Sanket Gajanan Velhal (1031060)</v>
      </c>
      <c r="Y415">
        <v>120000</v>
      </c>
      <c r="Z415" s="29">
        <f t="shared" ca="1" si="7"/>
        <v>40</v>
      </c>
      <c r="AA415">
        <f ca="1">IF(T_EMPLOYEES[[#This Row],[EMPLOYEE NUMBER]]="","",ROW(T_EMPLOYEES[[#This Row],[EMPLOYEE LABEL]])-ROW(T_EMPLOYEES[[#Headers],[EMPLOYEE LABEL]]))</f>
        <v>412</v>
      </c>
      <c r="AB415">
        <f ca="1">IF(T_EMPLOYEES[[#This Row],[EMPLOYEE NUMBER]]="","",IF(COUNTIF(T_EMPLOYEES[EMPLOYEE NUMBER],T_EMPLOYEES[[#This Row],[EMPLOYEE NUMBER]])&gt;1,1,0))</f>
        <v>0</v>
      </c>
      <c r="AC415">
        <f ca="1">IF(T_EMPLOYEES[[#This Row],[EMPLOYEE NUMBER]]="","",IF(AND(T_EMPLOYEES[[#This Row],[DATE OF BIRTH]]&gt;0,T_EMPLOYEES[[#This Row],[DATE OF BIRTH]]&lt;TODAY()),0,1))</f>
        <v>0</v>
      </c>
      <c r="AD415">
        <f ca="1">IF(T_EMPLOYEES[[#This Row],[EMPLOYEE NUMBER]]="","",IF(AND(T_EMPLOYEES[[#This Row],[START DATE]]&gt;0,T_EMPLOYEES[[#This Row],[START DATE]]&lt;TODAY()+60),0,1))</f>
        <v>0</v>
      </c>
      <c r="AE415">
        <f ca="1">IF(T_EMPLOYEES[[#This Row],[EMPLOYEE NUMBER]]="","",MATCH(T_EMPLOYEES[[#This Row],[GENDER]],L_GENDER,0))</f>
        <v>1</v>
      </c>
      <c r="AF415">
        <f ca="1">IF(T_EMPLOYEES[[#This Row],[EMPLOYEE NUMBER]]="","",MATCH(T_EMPLOYEES[[#This Row],[HIRE SOURCE]],L_HIRESOURCE,0))</f>
        <v>4</v>
      </c>
      <c r="AG415">
        <f ca="1">IF(T_EMPLOYEES[[#This Row],[EMPLOYEE NUMBER]]="","",MATCH(T_EMPLOYEES[[#This Row],[ETHNICITY]],L_ETHNICITY,0))</f>
        <v>3</v>
      </c>
      <c r="AH415">
        <f ca="1">IF(T_EMPLOYEES[[#This Row],[EMPLOYEE NUMBER]]="","",MATCH(T_EMPLOYEES[[#This Row],[LOCATION]],L_LOCATION,0))</f>
        <v>1</v>
      </c>
      <c r="AI415">
        <f ca="1">IF(T_EMPLOYEES[[#This Row],[EMPLOYEE NUMBER]]="","",MATCH(T_EMPLOYEES[[#This Row],[DEPARTMENT]],L_DEPARTMENT,0))</f>
        <v>2</v>
      </c>
      <c r="AJ415">
        <f ca="1">IF(T_EMPLOYEES[[#This Row],[EMPLOYEE NUMBER]]="","",MATCH(T_EMPLOYEES[[#This Row],[JOB TYPE]],L_JOBTYPE,0))</f>
        <v>2</v>
      </c>
      <c r="AK415">
        <f ca="1">IF(T_EMPLOYEES[[#This Row],[EMPLOYEE NUMBER]]="","",MATCH(T_EMPLOYEES[[#This Row],[JOB CATEGORY]],L_JOBCATEGORY,0))</f>
        <v>30</v>
      </c>
      <c r="AL415">
        <f ca="1">IF(T_EMPLOYEES[[#This Row],[EMPLOYEE NUMBER]]="","",MATCH(T_EMPLOYEES[[#This Row],[JOB LEVEL]],L_JOBLEVEL,0))</f>
        <v>1</v>
      </c>
      <c r="AM415">
        <f ca="1">IF(T_EMPLOYEES[[#This Row],[EMPLOYEE NUMBER]]="","",MATCH(T_EMPLOYEES[[#This Row],[JOB TITLE]],L_JOBTITLE,0))</f>
        <v>30</v>
      </c>
      <c r="AN415">
        <f ca="1">IF(T_EMPLOYEES[[#This Row],[EMPLOYEE NUMBER]]="","",MATCH(T_EMPLOYEES[[#This Row],[MANAGER]],L_EMPLABELS,0))</f>
        <v>144</v>
      </c>
      <c r="AO415">
        <f ca="1">IF(T_EMPLOYEES[[#This Row],[EMPLOYEE NUMBER]]="","",IF(T_EMPLOYEES[[#This Row],[ERROR]]="",0,1))</f>
        <v>0</v>
      </c>
      <c r="AP41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6" spans="1:42">
      <c r="A416" t="s">
        <v>1367</v>
      </c>
      <c r="B416" t="s">
        <v>1368</v>
      </c>
      <c r="C416">
        <v>1026937</v>
      </c>
      <c r="D416" t="s">
        <v>1369</v>
      </c>
      <c r="E416" s="26">
        <v>36148</v>
      </c>
      <c r="F416" s="26">
        <v>44491</v>
      </c>
      <c r="H416" t="s">
        <v>27</v>
      </c>
      <c r="I416" t="s">
        <v>54</v>
      </c>
      <c r="J416" t="s">
        <v>64</v>
      </c>
      <c r="K416" t="s">
        <v>30</v>
      </c>
      <c r="L416" s="27" t="s">
        <v>110</v>
      </c>
      <c r="M416" t="s">
        <v>46</v>
      </c>
      <c r="N416" t="s">
        <v>148</v>
      </c>
      <c r="O416" t="s">
        <v>48</v>
      </c>
      <c r="P416" t="s">
        <v>148</v>
      </c>
      <c r="Q416" t="s">
        <v>344</v>
      </c>
      <c r="R416" s="27">
        <v>4</v>
      </c>
      <c r="S416" s="1">
        <v>250000</v>
      </c>
      <c r="T416" s="1">
        <f ca="1">ROUND(T_EMPLOYEES[[#This Row],[EMP_CTC1]]/12, 0)</f>
        <v>20833</v>
      </c>
      <c r="U416" s="1">
        <v>150000</v>
      </c>
      <c r="V416" s="1" t="s">
        <v>1238</v>
      </c>
      <c r="W416" s="1" t="s">
        <v>1238</v>
      </c>
      <c r="X41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Yokesh Nagaraj (1026937)</v>
      </c>
      <c r="Y416">
        <v>120000</v>
      </c>
      <c r="Z416" s="29">
        <f t="shared" ca="1" si="7"/>
        <v>40</v>
      </c>
      <c r="AA416">
        <f ca="1">IF(T_EMPLOYEES[[#This Row],[EMPLOYEE NUMBER]]="","",ROW(T_EMPLOYEES[[#This Row],[EMPLOYEE LABEL]])-ROW(T_EMPLOYEES[[#Headers],[EMPLOYEE LABEL]]))</f>
        <v>413</v>
      </c>
      <c r="AB416">
        <f ca="1">IF(T_EMPLOYEES[[#This Row],[EMPLOYEE NUMBER]]="","",IF(COUNTIF(T_EMPLOYEES[EMPLOYEE NUMBER],T_EMPLOYEES[[#This Row],[EMPLOYEE NUMBER]])&gt;1,1,0))</f>
        <v>0</v>
      </c>
      <c r="AC416">
        <f ca="1">IF(T_EMPLOYEES[[#This Row],[EMPLOYEE NUMBER]]="","",IF(AND(T_EMPLOYEES[[#This Row],[DATE OF BIRTH]]&gt;0,T_EMPLOYEES[[#This Row],[DATE OF BIRTH]]&lt;TODAY()),0,1))</f>
        <v>0</v>
      </c>
      <c r="AD416">
        <f ca="1">IF(T_EMPLOYEES[[#This Row],[EMPLOYEE NUMBER]]="","",IF(AND(T_EMPLOYEES[[#This Row],[START DATE]]&gt;0,T_EMPLOYEES[[#This Row],[START DATE]]&lt;TODAY()+60),0,1))</f>
        <v>0</v>
      </c>
      <c r="AE416">
        <f ca="1">IF(T_EMPLOYEES[[#This Row],[EMPLOYEE NUMBER]]="","",MATCH(T_EMPLOYEES[[#This Row],[GENDER]],L_GENDER,0))</f>
        <v>1</v>
      </c>
      <c r="AF416">
        <f ca="1">IF(T_EMPLOYEES[[#This Row],[EMPLOYEE NUMBER]]="","",MATCH(T_EMPLOYEES[[#This Row],[HIRE SOURCE]],L_HIRESOURCE,0))</f>
        <v>4</v>
      </c>
      <c r="AG416">
        <f ca="1">IF(T_EMPLOYEES[[#This Row],[EMPLOYEE NUMBER]]="","",MATCH(T_EMPLOYEES[[#This Row],[ETHNICITY]],L_ETHNICITY,0))</f>
        <v>3</v>
      </c>
      <c r="AH416">
        <f ca="1">IF(T_EMPLOYEES[[#This Row],[EMPLOYEE NUMBER]]="","",MATCH(T_EMPLOYEES[[#This Row],[LOCATION]],L_LOCATION,0))</f>
        <v>1</v>
      </c>
      <c r="AI416">
        <f ca="1">IF(T_EMPLOYEES[[#This Row],[EMPLOYEE NUMBER]]="","",MATCH(T_EMPLOYEES[[#This Row],[DEPARTMENT]],L_DEPARTMENT,0))</f>
        <v>10</v>
      </c>
      <c r="AJ416">
        <f ca="1">IF(T_EMPLOYEES[[#This Row],[EMPLOYEE NUMBER]]="","",MATCH(T_EMPLOYEES[[#This Row],[JOB TYPE]],L_JOBTYPE,0))</f>
        <v>2</v>
      </c>
      <c r="AK416">
        <f ca="1">IF(T_EMPLOYEES[[#This Row],[EMPLOYEE NUMBER]]="","",MATCH(T_EMPLOYEES[[#This Row],[JOB CATEGORY]],L_JOBCATEGORY,0))</f>
        <v>27</v>
      </c>
      <c r="AL416">
        <f ca="1">IF(T_EMPLOYEES[[#This Row],[EMPLOYEE NUMBER]]="","",MATCH(T_EMPLOYEES[[#This Row],[JOB LEVEL]],L_JOBLEVEL,0))</f>
        <v>2</v>
      </c>
      <c r="AM416">
        <f ca="1">IF(T_EMPLOYEES[[#This Row],[EMPLOYEE NUMBER]]="","",MATCH(T_EMPLOYEES[[#This Row],[JOB TITLE]],L_JOBTITLE,0))</f>
        <v>27</v>
      </c>
      <c r="AN416">
        <f ca="1">IF(T_EMPLOYEES[[#This Row],[EMPLOYEE NUMBER]]="","",MATCH(T_EMPLOYEES[[#This Row],[MANAGER]],L_EMPLABELS,0))</f>
        <v>12</v>
      </c>
      <c r="AO416">
        <f ca="1">IF(T_EMPLOYEES[[#This Row],[EMPLOYEE NUMBER]]="","",IF(T_EMPLOYEES[[#This Row],[ERROR]]="",0,1))</f>
        <v>0</v>
      </c>
      <c r="AP41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7" spans="1:42">
      <c r="A417" t="s">
        <v>1370</v>
      </c>
      <c r="B417" t="s">
        <v>1371</v>
      </c>
      <c r="C417">
        <v>1026164</v>
      </c>
      <c r="D417" t="s">
        <v>1372</v>
      </c>
      <c r="E417" s="26">
        <v>36157</v>
      </c>
      <c r="F417" s="26">
        <v>44425</v>
      </c>
      <c r="H417" t="s">
        <v>40</v>
      </c>
      <c r="I417" t="s">
        <v>54</v>
      </c>
      <c r="J417" t="s">
        <v>64</v>
      </c>
      <c r="K417" t="s">
        <v>30</v>
      </c>
      <c r="L417" s="27" t="s">
        <v>45</v>
      </c>
      <c r="M417" t="s">
        <v>46</v>
      </c>
      <c r="N417" t="s">
        <v>160</v>
      </c>
      <c r="O417" t="s">
        <v>48</v>
      </c>
      <c r="P417" t="s">
        <v>160</v>
      </c>
      <c r="Q417" t="s">
        <v>608</v>
      </c>
      <c r="R417">
        <v>4</v>
      </c>
      <c r="S417" s="1">
        <v>250000</v>
      </c>
      <c r="T417" s="1">
        <f ca="1">ROUND(T_EMPLOYEES[[#This Row],[EMP_CTC1]]/12, 0)</f>
        <v>20833</v>
      </c>
      <c r="U417" s="1">
        <v>150000</v>
      </c>
      <c r="V417" s="1" t="s">
        <v>1238</v>
      </c>
      <c r="W417" s="1" t="s">
        <v>1238</v>
      </c>
      <c r="X41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Prachi Sinha (1026164)</v>
      </c>
      <c r="Y417">
        <v>120000</v>
      </c>
      <c r="Z417" s="29">
        <f t="shared" ca="1" si="7"/>
        <v>40</v>
      </c>
      <c r="AA417">
        <f ca="1">IF(T_EMPLOYEES[[#This Row],[EMPLOYEE NUMBER]]="","",ROW(T_EMPLOYEES[[#This Row],[EMPLOYEE LABEL]])-ROW(T_EMPLOYEES[[#Headers],[EMPLOYEE LABEL]]))</f>
        <v>414</v>
      </c>
      <c r="AB417">
        <f ca="1">IF(T_EMPLOYEES[[#This Row],[EMPLOYEE NUMBER]]="","",IF(COUNTIF(T_EMPLOYEES[EMPLOYEE NUMBER],T_EMPLOYEES[[#This Row],[EMPLOYEE NUMBER]])&gt;1,1,0))</f>
        <v>0</v>
      </c>
      <c r="AC417">
        <f ca="1">IF(T_EMPLOYEES[[#This Row],[EMPLOYEE NUMBER]]="","",IF(AND(T_EMPLOYEES[[#This Row],[DATE OF BIRTH]]&gt;0,T_EMPLOYEES[[#This Row],[DATE OF BIRTH]]&lt;TODAY()),0,1))</f>
        <v>0</v>
      </c>
      <c r="AD417">
        <f ca="1">IF(T_EMPLOYEES[[#This Row],[EMPLOYEE NUMBER]]="","",IF(AND(T_EMPLOYEES[[#This Row],[START DATE]]&gt;0,T_EMPLOYEES[[#This Row],[START DATE]]&lt;TODAY()+60),0,1))</f>
        <v>0</v>
      </c>
      <c r="AE417">
        <f ca="1">IF(T_EMPLOYEES[[#This Row],[EMPLOYEE NUMBER]]="","",MATCH(T_EMPLOYEES[[#This Row],[GENDER]],L_GENDER,0))</f>
        <v>2</v>
      </c>
      <c r="AF417">
        <f ca="1">IF(T_EMPLOYEES[[#This Row],[EMPLOYEE NUMBER]]="","",MATCH(T_EMPLOYEES[[#This Row],[HIRE SOURCE]],L_HIRESOURCE,0))</f>
        <v>4</v>
      </c>
      <c r="AG417">
        <f ca="1">IF(T_EMPLOYEES[[#This Row],[EMPLOYEE NUMBER]]="","",MATCH(T_EMPLOYEES[[#This Row],[ETHNICITY]],L_ETHNICITY,0))</f>
        <v>3</v>
      </c>
      <c r="AH417">
        <f ca="1">IF(T_EMPLOYEES[[#This Row],[EMPLOYEE NUMBER]]="","",MATCH(T_EMPLOYEES[[#This Row],[LOCATION]],L_LOCATION,0))</f>
        <v>1</v>
      </c>
      <c r="AI417">
        <f ca="1">IF(T_EMPLOYEES[[#This Row],[EMPLOYEE NUMBER]]="","",MATCH(T_EMPLOYEES[[#This Row],[DEPARTMENT]],L_DEPARTMENT,0))</f>
        <v>2</v>
      </c>
      <c r="AJ417">
        <f ca="1">IF(T_EMPLOYEES[[#This Row],[EMPLOYEE NUMBER]]="","",MATCH(T_EMPLOYEES[[#This Row],[JOB TYPE]],L_JOBTYPE,0))</f>
        <v>2</v>
      </c>
      <c r="AK417">
        <f ca="1">IF(T_EMPLOYEES[[#This Row],[EMPLOYEE NUMBER]]="","",MATCH(T_EMPLOYEES[[#This Row],[JOB CATEGORY]],L_JOBCATEGORY,0))</f>
        <v>39</v>
      </c>
      <c r="AL417">
        <f ca="1">IF(T_EMPLOYEES[[#This Row],[EMPLOYEE NUMBER]]="","",MATCH(T_EMPLOYEES[[#This Row],[JOB LEVEL]],L_JOBLEVEL,0))</f>
        <v>2</v>
      </c>
      <c r="AM417">
        <f ca="1">IF(T_EMPLOYEES[[#This Row],[EMPLOYEE NUMBER]]="","",MATCH(T_EMPLOYEES[[#This Row],[JOB TITLE]],L_JOBTITLE,0))</f>
        <v>39</v>
      </c>
      <c r="AN417">
        <f ca="1">IF(T_EMPLOYEES[[#This Row],[EMPLOYEE NUMBER]]="","",MATCH(T_EMPLOYEES[[#This Row],[MANAGER]],L_EMPLABELS,0))</f>
        <v>105</v>
      </c>
      <c r="AO417">
        <f ca="1">IF(T_EMPLOYEES[[#This Row],[EMPLOYEE NUMBER]]="","",IF(T_EMPLOYEES[[#This Row],[ERROR]]="",0,1))</f>
        <v>0</v>
      </c>
      <c r="AP41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8" spans="1:42">
      <c r="A418" t="s">
        <v>1373</v>
      </c>
      <c r="B418" t="s">
        <v>1374</v>
      </c>
      <c r="C418">
        <v>1024830</v>
      </c>
      <c r="D418" t="s">
        <v>1375</v>
      </c>
      <c r="E418" s="26">
        <v>36161</v>
      </c>
      <c r="F418" s="26">
        <v>44274</v>
      </c>
      <c r="H418" t="s">
        <v>27</v>
      </c>
      <c r="I418" t="s">
        <v>54</v>
      </c>
      <c r="J418" t="s">
        <v>64</v>
      </c>
      <c r="K418" t="s">
        <v>30</v>
      </c>
      <c r="L418" s="27" t="s">
        <v>45</v>
      </c>
      <c r="M418" t="s">
        <v>46</v>
      </c>
      <c r="N418" t="s">
        <v>148</v>
      </c>
      <c r="O418" t="s">
        <v>48</v>
      </c>
      <c r="P418" t="s">
        <v>148</v>
      </c>
      <c r="Q418" t="s">
        <v>272</v>
      </c>
      <c r="R418" s="27">
        <v>4</v>
      </c>
      <c r="S418" s="1">
        <v>250000</v>
      </c>
      <c r="T418" s="1">
        <f ca="1">ROUND(T_EMPLOYEES[[#This Row],[EMP_CTC1]]/12, 0)</f>
        <v>20833</v>
      </c>
      <c r="U418" s="1">
        <v>150000</v>
      </c>
      <c r="V418" s="1" t="s">
        <v>1238</v>
      </c>
      <c r="W418" s="1" t="s">
        <v>1238</v>
      </c>
      <c r="X41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Cheekoti Koushik Kumar (1024830)</v>
      </c>
      <c r="Y418">
        <v>120000</v>
      </c>
      <c r="Z418" s="29">
        <f t="shared" ca="1" si="7"/>
        <v>40</v>
      </c>
      <c r="AA418">
        <f ca="1">IF(T_EMPLOYEES[[#This Row],[EMPLOYEE NUMBER]]="","",ROW(T_EMPLOYEES[[#This Row],[EMPLOYEE LABEL]])-ROW(T_EMPLOYEES[[#Headers],[EMPLOYEE LABEL]]))</f>
        <v>415</v>
      </c>
      <c r="AB418">
        <f ca="1">IF(T_EMPLOYEES[[#This Row],[EMPLOYEE NUMBER]]="","",IF(COUNTIF(T_EMPLOYEES[EMPLOYEE NUMBER],T_EMPLOYEES[[#This Row],[EMPLOYEE NUMBER]])&gt;1,1,0))</f>
        <v>0</v>
      </c>
      <c r="AC418">
        <f ca="1">IF(T_EMPLOYEES[[#This Row],[EMPLOYEE NUMBER]]="","",IF(AND(T_EMPLOYEES[[#This Row],[DATE OF BIRTH]]&gt;0,T_EMPLOYEES[[#This Row],[DATE OF BIRTH]]&lt;TODAY()),0,1))</f>
        <v>0</v>
      </c>
      <c r="AD418">
        <f ca="1">IF(T_EMPLOYEES[[#This Row],[EMPLOYEE NUMBER]]="","",IF(AND(T_EMPLOYEES[[#This Row],[START DATE]]&gt;0,T_EMPLOYEES[[#This Row],[START DATE]]&lt;TODAY()+60),0,1))</f>
        <v>0</v>
      </c>
      <c r="AE418">
        <f ca="1">IF(T_EMPLOYEES[[#This Row],[EMPLOYEE NUMBER]]="","",MATCH(T_EMPLOYEES[[#This Row],[GENDER]],L_GENDER,0))</f>
        <v>1</v>
      </c>
      <c r="AF418">
        <f ca="1">IF(T_EMPLOYEES[[#This Row],[EMPLOYEE NUMBER]]="","",MATCH(T_EMPLOYEES[[#This Row],[HIRE SOURCE]],L_HIRESOURCE,0))</f>
        <v>4</v>
      </c>
      <c r="AG418">
        <f ca="1">IF(T_EMPLOYEES[[#This Row],[EMPLOYEE NUMBER]]="","",MATCH(T_EMPLOYEES[[#This Row],[ETHNICITY]],L_ETHNICITY,0))</f>
        <v>3</v>
      </c>
      <c r="AH418">
        <f ca="1">IF(T_EMPLOYEES[[#This Row],[EMPLOYEE NUMBER]]="","",MATCH(T_EMPLOYEES[[#This Row],[LOCATION]],L_LOCATION,0))</f>
        <v>1</v>
      </c>
      <c r="AI418">
        <f ca="1">IF(T_EMPLOYEES[[#This Row],[EMPLOYEE NUMBER]]="","",MATCH(T_EMPLOYEES[[#This Row],[DEPARTMENT]],L_DEPARTMENT,0))</f>
        <v>2</v>
      </c>
      <c r="AJ418">
        <f ca="1">IF(T_EMPLOYEES[[#This Row],[EMPLOYEE NUMBER]]="","",MATCH(T_EMPLOYEES[[#This Row],[JOB TYPE]],L_JOBTYPE,0))</f>
        <v>2</v>
      </c>
      <c r="AK418">
        <f ca="1">IF(T_EMPLOYEES[[#This Row],[EMPLOYEE NUMBER]]="","",MATCH(T_EMPLOYEES[[#This Row],[JOB CATEGORY]],L_JOBCATEGORY,0))</f>
        <v>27</v>
      </c>
      <c r="AL418">
        <f ca="1">IF(T_EMPLOYEES[[#This Row],[EMPLOYEE NUMBER]]="","",MATCH(T_EMPLOYEES[[#This Row],[JOB LEVEL]],L_JOBLEVEL,0))</f>
        <v>2</v>
      </c>
      <c r="AM418">
        <f ca="1">IF(T_EMPLOYEES[[#This Row],[EMPLOYEE NUMBER]]="","",MATCH(T_EMPLOYEES[[#This Row],[JOB TITLE]],L_JOBTITLE,0))</f>
        <v>27</v>
      </c>
      <c r="AN418">
        <f ca="1">IF(T_EMPLOYEES[[#This Row],[EMPLOYEE NUMBER]]="","",MATCH(T_EMPLOYEES[[#This Row],[MANAGER]],L_EMPLABELS,0))</f>
        <v>62</v>
      </c>
      <c r="AO418">
        <f ca="1">IF(T_EMPLOYEES[[#This Row],[EMPLOYEE NUMBER]]="","",IF(T_EMPLOYEES[[#This Row],[ERROR]]="",0,1))</f>
        <v>0</v>
      </c>
      <c r="AP41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9" spans="1:42">
      <c r="A419" t="s">
        <v>1376</v>
      </c>
      <c r="B419" t="s">
        <v>1377</v>
      </c>
      <c r="C419">
        <v>1027021</v>
      </c>
      <c r="D419" t="s">
        <v>1378</v>
      </c>
      <c r="E419" s="26">
        <v>36174</v>
      </c>
      <c r="F419" s="26">
        <v>44498</v>
      </c>
      <c r="H419" t="s">
        <v>40</v>
      </c>
      <c r="I419" t="s">
        <v>54</v>
      </c>
      <c r="J419" t="s">
        <v>64</v>
      </c>
      <c r="K419" t="s">
        <v>30</v>
      </c>
      <c r="L419" s="27" t="s">
        <v>45</v>
      </c>
      <c r="M419" t="s">
        <v>46</v>
      </c>
      <c r="N419" t="s">
        <v>148</v>
      </c>
      <c r="O419" t="s">
        <v>48</v>
      </c>
      <c r="P419" t="s">
        <v>148</v>
      </c>
      <c r="Q419" t="s">
        <v>778</v>
      </c>
      <c r="R419">
        <v>4</v>
      </c>
      <c r="S419" s="1">
        <v>250000</v>
      </c>
      <c r="T419" s="1">
        <f ca="1">ROUND(T_EMPLOYEES[[#This Row],[EMP_CTC1]]/12, 0)</f>
        <v>20833</v>
      </c>
      <c r="U419" s="1">
        <v>150000</v>
      </c>
      <c r="V419" s="1" t="s">
        <v>1238</v>
      </c>
      <c r="W419" s="1" t="s">
        <v>1238</v>
      </c>
      <c r="X41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Sanjana Honnappa Nayak (1027021)</v>
      </c>
      <c r="Y419">
        <v>120000</v>
      </c>
      <c r="Z419" s="29">
        <f t="shared" ca="1" si="7"/>
        <v>40</v>
      </c>
      <c r="AA419">
        <f ca="1">IF(T_EMPLOYEES[[#This Row],[EMPLOYEE NUMBER]]="","",ROW(T_EMPLOYEES[[#This Row],[EMPLOYEE LABEL]])-ROW(T_EMPLOYEES[[#Headers],[EMPLOYEE LABEL]]))</f>
        <v>416</v>
      </c>
      <c r="AB419">
        <f ca="1">IF(T_EMPLOYEES[[#This Row],[EMPLOYEE NUMBER]]="","",IF(COUNTIF(T_EMPLOYEES[EMPLOYEE NUMBER],T_EMPLOYEES[[#This Row],[EMPLOYEE NUMBER]])&gt;1,1,0))</f>
        <v>0</v>
      </c>
      <c r="AC419">
        <f ca="1">IF(T_EMPLOYEES[[#This Row],[EMPLOYEE NUMBER]]="","",IF(AND(T_EMPLOYEES[[#This Row],[DATE OF BIRTH]]&gt;0,T_EMPLOYEES[[#This Row],[DATE OF BIRTH]]&lt;TODAY()),0,1))</f>
        <v>0</v>
      </c>
      <c r="AD419">
        <f ca="1">IF(T_EMPLOYEES[[#This Row],[EMPLOYEE NUMBER]]="","",IF(AND(T_EMPLOYEES[[#This Row],[START DATE]]&gt;0,T_EMPLOYEES[[#This Row],[START DATE]]&lt;TODAY()+60),0,1))</f>
        <v>0</v>
      </c>
      <c r="AE419">
        <f ca="1">IF(T_EMPLOYEES[[#This Row],[EMPLOYEE NUMBER]]="","",MATCH(T_EMPLOYEES[[#This Row],[GENDER]],L_GENDER,0))</f>
        <v>2</v>
      </c>
      <c r="AF419">
        <f ca="1">IF(T_EMPLOYEES[[#This Row],[EMPLOYEE NUMBER]]="","",MATCH(T_EMPLOYEES[[#This Row],[HIRE SOURCE]],L_HIRESOURCE,0))</f>
        <v>4</v>
      </c>
      <c r="AG419">
        <f ca="1">IF(T_EMPLOYEES[[#This Row],[EMPLOYEE NUMBER]]="","",MATCH(T_EMPLOYEES[[#This Row],[ETHNICITY]],L_ETHNICITY,0))</f>
        <v>3</v>
      </c>
      <c r="AH419">
        <f ca="1">IF(T_EMPLOYEES[[#This Row],[EMPLOYEE NUMBER]]="","",MATCH(T_EMPLOYEES[[#This Row],[LOCATION]],L_LOCATION,0))</f>
        <v>1</v>
      </c>
      <c r="AI419">
        <f ca="1">IF(T_EMPLOYEES[[#This Row],[EMPLOYEE NUMBER]]="","",MATCH(T_EMPLOYEES[[#This Row],[DEPARTMENT]],L_DEPARTMENT,0))</f>
        <v>2</v>
      </c>
      <c r="AJ419">
        <f ca="1">IF(T_EMPLOYEES[[#This Row],[EMPLOYEE NUMBER]]="","",MATCH(T_EMPLOYEES[[#This Row],[JOB TYPE]],L_JOBTYPE,0))</f>
        <v>2</v>
      </c>
      <c r="AK419">
        <f ca="1">IF(T_EMPLOYEES[[#This Row],[EMPLOYEE NUMBER]]="","",MATCH(T_EMPLOYEES[[#This Row],[JOB CATEGORY]],L_JOBCATEGORY,0))</f>
        <v>27</v>
      </c>
      <c r="AL419">
        <f ca="1">IF(T_EMPLOYEES[[#This Row],[EMPLOYEE NUMBER]]="","",MATCH(T_EMPLOYEES[[#This Row],[JOB LEVEL]],L_JOBLEVEL,0))</f>
        <v>2</v>
      </c>
      <c r="AM419">
        <f ca="1">IF(T_EMPLOYEES[[#This Row],[EMPLOYEE NUMBER]]="","",MATCH(T_EMPLOYEES[[#This Row],[JOB TITLE]],L_JOBTITLE,0))</f>
        <v>27</v>
      </c>
      <c r="AN419">
        <f ca="1">IF(T_EMPLOYEES[[#This Row],[EMPLOYEE NUMBER]]="","",MATCH(T_EMPLOYEES[[#This Row],[MANAGER]],L_EMPLABELS,0))</f>
        <v>198</v>
      </c>
      <c r="AO419">
        <f ca="1">IF(T_EMPLOYEES[[#This Row],[EMPLOYEE NUMBER]]="","",IF(T_EMPLOYEES[[#This Row],[ERROR]]="",0,1))</f>
        <v>0</v>
      </c>
      <c r="AP41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0" spans="1:42">
      <c r="A420" t="s">
        <v>1379</v>
      </c>
      <c r="B420" t="s">
        <v>293</v>
      </c>
      <c r="C420">
        <v>1028139</v>
      </c>
      <c r="D420" t="s">
        <v>1380</v>
      </c>
      <c r="E420" s="26">
        <v>36187</v>
      </c>
      <c r="F420" s="26">
        <v>44585</v>
      </c>
      <c r="H420" t="s">
        <v>27</v>
      </c>
      <c r="I420" t="s">
        <v>54</v>
      </c>
      <c r="J420" t="s">
        <v>64</v>
      </c>
      <c r="K420" t="s">
        <v>30</v>
      </c>
      <c r="L420" s="27" t="s">
        <v>45</v>
      </c>
      <c r="M420" t="s">
        <v>46</v>
      </c>
      <c r="N420" t="s">
        <v>160</v>
      </c>
      <c r="O420" t="s">
        <v>48</v>
      </c>
      <c r="P420" t="s">
        <v>160</v>
      </c>
      <c r="Q420" t="s">
        <v>549</v>
      </c>
      <c r="R420" s="27">
        <v>4</v>
      </c>
      <c r="S420" s="1">
        <v>250000</v>
      </c>
      <c r="T420" s="1">
        <f ca="1">ROUND(T_EMPLOYEES[[#This Row],[EMP_CTC1]]/12, 0)</f>
        <v>20833</v>
      </c>
      <c r="U420" s="1">
        <v>150000</v>
      </c>
      <c r="V420" s="1" t="s">
        <v>1238</v>
      </c>
      <c r="W420" s="1" t="s">
        <v>1238</v>
      </c>
      <c r="X42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Sumit Kumar (1028139)</v>
      </c>
      <c r="Y420">
        <v>120000</v>
      </c>
      <c r="Z420" s="29">
        <f t="shared" ca="1" si="7"/>
        <v>40</v>
      </c>
      <c r="AA420">
        <f ca="1">IF(T_EMPLOYEES[[#This Row],[EMPLOYEE NUMBER]]="","",ROW(T_EMPLOYEES[[#This Row],[EMPLOYEE LABEL]])-ROW(T_EMPLOYEES[[#Headers],[EMPLOYEE LABEL]]))</f>
        <v>417</v>
      </c>
      <c r="AB420">
        <f ca="1">IF(T_EMPLOYEES[[#This Row],[EMPLOYEE NUMBER]]="","",IF(COUNTIF(T_EMPLOYEES[EMPLOYEE NUMBER],T_EMPLOYEES[[#This Row],[EMPLOYEE NUMBER]])&gt;1,1,0))</f>
        <v>0</v>
      </c>
      <c r="AC420">
        <f ca="1">IF(T_EMPLOYEES[[#This Row],[EMPLOYEE NUMBER]]="","",IF(AND(T_EMPLOYEES[[#This Row],[DATE OF BIRTH]]&gt;0,T_EMPLOYEES[[#This Row],[DATE OF BIRTH]]&lt;TODAY()),0,1))</f>
        <v>0</v>
      </c>
      <c r="AD420">
        <f ca="1">IF(T_EMPLOYEES[[#This Row],[EMPLOYEE NUMBER]]="","",IF(AND(T_EMPLOYEES[[#This Row],[START DATE]]&gt;0,T_EMPLOYEES[[#This Row],[START DATE]]&lt;TODAY()+60),0,1))</f>
        <v>0</v>
      </c>
      <c r="AE420">
        <f ca="1">IF(T_EMPLOYEES[[#This Row],[EMPLOYEE NUMBER]]="","",MATCH(T_EMPLOYEES[[#This Row],[GENDER]],L_GENDER,0))</f>
        <v>1</v>
      </c>
      <c r="AF420">
        <f ca="1">IF(T_EMPLOYEES[[#This Row],[EMPLOYEE NUMBER]]="","",MATCH(T_EMPLOYEES[[#This Row],[HIRE SOURCE]],L_HIRESOURCE,0))</f>
        <v>4</v>
      </c>
      <c r="AG420">
        <f ca="1">IF(T_EMPLOYEES[[#This Row],[EMPLOYEE NUMBER]]="","",MATCH(T_EMPLOYEES[[#This Row],[ETHNICITY]],L_ETHNICITY,0))</f>
        <v>3</v>
      </c>
      <c r="AH420">
        <f ca="1">IF(T_EMPLOYEES[[#This Row],[EMPLOYEE NUMBER]]="","",MATCH(T_EMPLOYEES[[#This Row],[LOCATION]],L_LOCATION,0))</f>
        <v>1</v>
      </c>
      <c r="AI420">
        <f ca="1">IF(T_EMPLOYEES[[#This Row],[EMPLOYEE NUMBER]]="","",MATCH(T_EMPLOYEES[[#This Row],[DEPARTMENT]],L_DEPARTMENT,0))</f>
        <v>2</v>
      </c>
      <c r="AJ420">
        <f ca="1">IF(T_EMPLOYEES[[#This Row],[EMPLOYEE NUMBER]]="","",MATCH(T_EMPLOYEES[[#This Row],[JOB TYPE]],L_JOBTYPE,0))</f>
        <v>2</v>
      </c>
      <c r="AK420">
        <f ca="1">IF(T_EMPLOYEES[[#This Row],[EMPLOYEE NUMBER]]="","",MATCH(T_EMPLOYEES[[#This Row],[JOB CATEGORY]],L_JOBCATEGORY,0))</f>
        <v>39</v>
      </c>
      <c r="AL420">
        <f ca="1">IF(T_EMPLOYEES[[#This Row],[EMPLOYEE NUMBER]]="","",MATCH(T_EMPLOYEES[[#This Row],[JOB LEVEL]],L_JOBLEVEL,0))</f>
        <v>2</v>
      </c>
      <c r="AM420">
        <f ca="1">IF(T_EMPLOYEES[[#This Row],[EMPLOYEE NUMBER]]="","",MATCH(T_EMPLOYEES[[#This Row],[JOB TITLE]],L_JOBTITLE,0))</f>
        <v>39</v>
      </c>
      <c r="AN420">
        <f ca="1">IF(T_EMPLOYEES[[#This Row],[EMPLOYEE NUMBER]]="","",MATCH(T_EMPLOYEES[[#This Row],[MANAGER]],L_EMPLABELS,0))</f>
        <v>50</v>
      </c>
      <c r="AO420">
        <f ca="1">IF(T_EMPLOYEES[[#This Row],[EMPLOYEE NUMBER]]="","",IF(T_EMPLOYEES[[#This Row],[ERROR]]="",0,1))</f>
        <v>0</v>
      </c>
      <c r="AP42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1" spans="1:42">
      <c r="A421" t="s">
        <v>1381</v>
      </c>
      <c r="B421" t="s">
        <v>1382</v>
      </c>
      <c r="C421">
        <v>1027112</v>
      </c>
      <c r="D421" t="s">
        <v>1383</v>
      </c>
      <c r="E421" s="26">
        <v>36193</v>
      </c>
      <c r="F421" s="26">
        <v>44508</v>
      </c>
      <c r="H421" t="s">
        <v>27</v>
      </c>
      <c r="I421" t="s">
        <v>54</v>
      </c>
      <c r="J421" t="s">
        <v>64</v>
      </c>
      <c r="K421" t="s">
        <v>30</v>
      </c>
      <c r="L421" s="27" t="s">
        <v>45</v>
      </c>
      <c r="M421" t="s">
        <v>46</v>
      </c>
      <c r="N421" t="s">
        <v>148</v>
      </c>
      <c r="O421" t="s">
        <v>48</v>
      </c>
      <c r="P421" t="s">
        <v>148</v>
      </c>
      <c r="Q421" t="s">
        <v>851</v>
      </c>
      <c r="R421">
        <v>4</v>
      </c>
      <c r="S421" s="1">
        <v>250000</v>
      </c>
      <c r="T421" s="1">
        <f ca="1">ROUND(T_EMPLOYEES[[#This Row],[EMP_CTC1]]/12, 0)</f>
        <v>20833</v>
      </c>
      <c r="U421" s="1">
        <v>150000</v>
      </c>
      <c r="V421" s="1" t="s">
        <v>1238</v>
      </c>
      <c r="W421" s="1" t="s">
        <v>1238</v>
      </c>
      <c r="X42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Arjun Janardan Mulagoukar (1027112)</v>
      </c>
      <c r="Y421">
        <v>120000</v>
      </c>
      <c r="Z421" s="29">
        <f t="shared" ca="1" si="7"/>
        <v>40</v>
      </c>
      <c r="AA421">
        <f ca="1">IF(T_EMPLOYEES[[#This Row],[EMPLOYEE NUMBER]]="","",ROW(T_EMPLOYEES[[#This Row],[EMPLOYEE LABEL]])-ROW(T_EMPLOYEES[[#Headers],[EMPLOYEE LABEL]]))</f>
        <v>418</v>
      </c>
      <c r="AB421">
        <f ca="1">IF(T_EMPLOYEES[[#This Row],[EMPLOYEE NUMBER]]="","",IF(COUNTIF(T_EMPLOYEES[EMPLOYEE NUMBER],T_EMPLOYEES[[#This Row],[EMPLOYEE NUMBER]])&gt;1,1,0))</f>
        <v>0</v>
      </c>
      <c r="AC421">
        <f ca="1">IF(T_EMPLOYEES[[#This Row],[EMPLOYEE NUMBER]]="","",IF(AND(T_EMPLOYEES[[#This Row],[DATE OF BIRTH]]&gt;0,T_EMPLOYEES[[#This Row],[DATE OF BIRTH]]&lt;TODAY()),0,1))</f>
        <v>0</v>
      </c>
      <c r="AD421">
        <f ca="1">IF(T_EMPLOYEES[[#This Row],[EMPLOYEE NUMBER]]="","",IF(AND(T_EMPLOYEES[[#This Row],[START DATE]]&gt;0,T_EMPLOYEES[[#This Row],[START DATE]]&lt;TODAY()+60),0,1))</f>
        <v>0</v>
      </c>
      <c r="AE421">
        <f ca="1">IF(T_EMPLOYEES[[#This Row],[EMPLOYEE NUMBER]]="","",MATCH(T_EMPLOYEES[[#This Row],[GENDER]],L_GENDER,0))</f>
        <v>1</v>
      </c>
      <c r="AF421">
        <f ca="1">IF(T_EMPLOYEES[[#This Row],[EMPLOYEE NUMBER]]="","",MATCH(T_EMPLOYEES[[#This Row],[HIRE SOURCE]],L_HIRESOURCE,0))</f>
        <v>4</v>
      </c>
      <c r="AG421">
        <f ca="1">IF(T_EMPLOYEES[[#This Row],[EMPLOYEE NUMBER]]="","",MATCH(T_EMPLOYEES[[#This Row],[ETHNICITY]],L_ETHNICITY,0))</f>
        <v>3</v>
      </c>
      <c r="AH421">
        <f ca="1">IF(T_EMPLOYEES[[#This Row],[EMPLOYEE NUMBER]]="","",MATCH(T_EMPLOYEES[[#This Row],[LOCATION]],L_LOCATION,0))</f>
        <v>1</v>
      </c>
      <c r="AI421">
        <f ca="1">IF(T_EMPLOYEES[[#This Row],[EMPLOYEE NUMBER]]="","",MATCH(T_EMPLOYEES[[#This Row],[DEPARTMENT]],L_DEPARTMENT,0))</f>
        <v>2</v>
      </c>
      <c r="AJ421">
        <f ca="1">IF(T_EMPLOYEES[[#This Row],[EMPLOYEE NUMBER]]="","",MATCH(T_EMPLOYEES[[#This Row],[JOB TYPE]],L_JOBTYPE,0))</f>
        <v>2</v>
      </c>
      <c r="AK421">
        <f ca="1">IF(T_EMPLOYEES[[#This Row],[EMPLOYEE NUMBER]]="","",MATCH(T_EMPLOYEES[[#This Row],[JOB CATEGORY]],L_JOBCATEGORY,0))</f>
        <v>27</v>
      </c>
      <c r="AL421">
        <f ca="1">IF(T_EMPLOYEES[[#This Row],[EMPLOYEE NUMBER]]="","",MATCH(T_EMPLOYEES[[#This Row],[JOB LEVEL]],L_JOBLEVEL,0))</f>
        <v>2</v>
      </c>
      <c r="AM421">
        <f ca="1">IF(T_EMPLOYEES[[#This Row],[EMPLOYEE NUMBER]]="","",MATCH(T_EMPLOYEES[[#This Row],[JOB TITLE]],L_JOBTITLE,0))</f>
        <v>27</v>
      </c>
      <c r="AN421">
        <f ca="1">IF(T_EMPLOYEES[[#This Row],[EMPLOYEE NUMBER]]="","",MATCH(T_EMPLOYEES[[#This Row],[MANAGER]],L_EMPLABELS,0))</f>
        <v>271</v>
      </c>
      <c r="AO421">
        <f ca="1">IF(T_EMPLOYEES[[#This Row],[EMPLOYEE NUMBER]]="","",IF(T_EMPLOYEES[[#This Row],[ERROR]]="",0,1))</f>
        <v>0</v>
      </c>
      <c r="AP42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2" spans="1:42">
      <c r="A422" t="s">
        <v>1384</v>
      </c>
      <c r="B422" t="s">
        <v>1385</v>
      </c>
      <c r="C422">
        <v>1026361</v>
      </c>
      <c r="D422" t="s">
        <v>1386</v>
      </c>
      <c r="E422" s="26">
        <v>36204</v>
      </c>
      <c r="F422" s="26">
        <v>44446</v>
      </c>
      <c r="H422" t="s">
        <v>40</v>
      </c>
      <c r="I422" t="s">
        <v>54</v>
      </c>
      <c r="J422" t="s">
        <v>64</v>
      </c>
      <c r="K422" t="s">
        <v>30</v>
      </c>
      <c r="L422" s="27" t="s">
        <v>110</v>
      </c>
      <c r="M422" t="s">
        <v>46</v>
      </c>
      <c r="N422" t="s">
        <v>148</v>
      </c>
      <c r="O422" t="s">
        <v>48</v>
      </c>
      <c r="P422" t="s">
        <v>148</v>
      </c>
      <c r="Q422" t="s">
        <v>861</v>
      </c>
      <c r="R422" s="27">
        <v>4</v>
      </c>
      <c r="S422" s="1">
        <v>250000</v>
      </c>
      <c r="T422" s="1">
        <f ca="1">ROUND(T_EMPLOYEES[[#This Row],[EMP_CTC1]]/12, 0)</f>
        <v>20833</v>
      </c>
      <c r="U422" s="1">
        <v>150000</v>
      </c>
      <c r="V422" s="1" t="s">
        <v>1238</v>
      </c>
      <c r="W422" s="1" t="s">
        <v>1238</v>
      </c>
      <c r="X42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Darshini A K (1026361)</v>
      </c>
      <c r="Y422">
        <v>120000</v>
      </c>
      <c r="Z422" s="29">
        <f t="shared" ca="1" si="7"/>
        <v>40</v>
      </c>
      <c r="AA422">
        <f ca="1">IF(T_EMPLOYEES[[#This Row],[EMPLOYEE NUMBER]]="","",ROW(T_EMPLOYEES[[#This Row],[EMPLOYEE LABEL]])-ROW(T_EMPLOYEES[[#Headers],[EMPLOYEE LABEL]]))</f>
        <v>419</v>
      </c>
      <c r="AB422">
        <f ca="1">IF(T_EMPLOYEES[[#This Row],[EMPLOYEE NUMBER]]="","",IF(COUNTIF(T_EMPLOYEES[EMPLOYEE NUMBER],T_EMPLOYEES[[#This Row],[EMPLOYEE NUMBER]])&gt;1,1,0))</f>
        <v>0</v>
      </c>
      <c r="AC422">
        <f ca="1">IF(T_EMPLOYEES[[#This Row],[EMPLOYEE NUMBER]]="","",IF(AND(T_EMPLOYEES[[#This Row],[DATE OF BIRTH]]&gt;0,T_EMPLOYEES[[#This Row],[DATE OF BIRTH]]&lt;TODAY()),0,1))</f>
        <v>0</v>
      </c>
      <c r="AD422">
        <f ca="1">IF(T_EMPLOYEES[[#This Row],[EMPLOYEE NUMBER]]="","",IF(AND(T_EMPLOYEES[[#This Row],[START DATE]]&gt;0,T_EMPLOYEES[[#This Row],[START DATE]]&lt;TODAY()+60),0,1))</f>
        <v>0</v>
      </c>
      <c r="AE422">
        <f ca="1">IF(T_EMPLOYEES[[#This Row],[EMPLOYEE NUMBER]]="","",MATCH(T_EMPLOYEES[[#This Row],[GENDER]],L_GENDER,0))</f>
        <v>2</v>
      </c>
      <c r="AF422">
        <f ca="1">IF(T_EMPLOYEES[[#This Row],[EMPLOYEE NUMBER]]="","",MATCH(T_EMPLOYEES[[#This Row],[HIRE SOURCE]],L_HIRESOURCE,0))</f>
        <v>4</v>
      </c>
      <c r="AG422">
        <f ca="1">IF(T_EMPLOYEES[[#This Row],[EMPLOYEE NUMBER]]="","",MATCH(T_EMPLOYEES[[#This Row],[ETHNICITY]],L_ETHNICITY,0))</f>
        <v>3</v>
      </c>
      <c r="AH422">
        <f ca="1">IF(T_EMPLOYEES[[#This Row],[EMPLOYEE NUMBER]]="","",MATCH(T_EMPLOYEES[[#This Row],[LOCATION]],L_LOCATION,0))</f>
        <v>1</v>
      </c>
      <c r="AI422">
        <f ca="1">IF(T_EMPLOYEES[[#This Row],[EMPLOYEE NUMBER]]="","",MATCH(T_EMPLOYEES[[#This Row],[DEPARTMENT]],L_DEPARTMENT,0))</f>
        <v>10</v>
      </c>
      <c r="AJ422">
        <f ca="1">IF(T_EMPLOYEES[[#This Row],[EMPLOYEE NUMBER]]="","",MATCH(T_EMPLOYEES[[#This Row],[JOB TYPE]],L_JOBTYPE,0))</f>
        <v>2</v>
      </c>
      <c r="AK422">
        <f ca="1">IF(T_EMPLOYEES[[#This Row],[EMPLOYEE NUMBER]]="","",MATCH(T_EMPLOYEES[[#This Row],[JOB CATEGORY]],L_JOBCATEGORY,0))</f>
        <v>27</v>
      </c>
      <c r="AL422">
        <f ca="1">IF(T_EMPLOYEES[[#This Row],[EMPLOYEE NUMBER]]="","",MATCH(T_EMPLOYEES[[#This Row],[JOB LEVEL]],L_JOBLEVEL,0))</f>
        <v>2</v>
      </c>
      <c r="AM422">
        <f ca="1">IF(T_EMPLOYEES[[#This Row],[EMPLOYEE NUMBER]]="","",MATCH(T_EMPLOYEES[[#This Row],[JOB TITLE]],L_JOBTITLE,0))</f>
        <v>27</v>
      </c>
      <c r="AN422">
        <f ca="1">IF(T_EMPLOYEES[[#This Row],[EMPLOYEE NUMBER]]="","",MATCH(T_EMPLOYEES[[#This Row],[MANAGER]],L_EMPLABELS,0))</f>
        <v>130</v>
      </c>
      <c r="AO422">
        <f ca="1">IF(T_EMPLOYEES[[#This Row],[EMPLOYEE NUMBER]]="","",IF(T_EMPLOYEES[[#This Row],[ERROR]]="",0,1))</f>
        <v>0</v>
      </c>
      <c r="AP42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3" spans="1:42">
      <c r="A423" t="s">
        <v>1387</v>
      </c>
      <c r="B423" t="s">
        <v>1388</v>
      </c>
      <c r="C423">
        <v>1027973</v>
      </c>
      <c r="D423" t="s">
        <v>1389</v>
      </c>
      <c r="E423" s="26">
        <v>36244</v>
      </c>
      <c r="F423" s="26">
        <v>44571</v>
      </c>
      <c r="H423" t="s">
        <v>40</v>
      </c>
      <c r="I423" t="s">
        <v>54</v>
      </c>
      <c r="J423" t="s">
        <v>64</v>
      </c>
      <c r="K423" t="s">
        <v>30</v>
      </c>
      <c r="L423" s="27" t="s">
        <v>45</v>
      </c>
      <c r="M423" t="s">
        <v>46</v>
      </c>
      <c r="N423" t="s">
        <v>148</v>
      </c>
      <c r="O423" t="s">
        <v>48</v>
      </c>
      <c r="P423" t="s">
        <v>148</v>
      </c>
      <c r="Q423" t="s">
        <v>222</v>
      </c>
      <c r="R423">
        <v>4</v>
      </c>
      <c r="S423" s="1">
        <v>250000</v>
      </c>
      <c r="T423" s="1">
        <f ca="1">ROUND(T_EMPLOYEES[[#This Row],[EMP_CTC1]]/12, 0)</f>
        <v>20833</v>
      </c>
      <c r="U423" s="1">
        <v>150000</v>
      </c>
      <c r="V423" s="1" t="s">
        <v>1238</v>
      </c>
      <c r="W423" s="1" t="s">
        <v>1238</v>
      </c>
      <c r="X42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Mannepula Kavya (1027973)</v>
      </c>
      <c r="Y423">
        <v>120000</v>
      </c>
      <c r="Z423" s="29">
        <f t="shared" ca="1" si="7"/>
        <v>40</v>
      </c>
      <c r="AA423">
        <f ca="1">IF(T_EMPLOYEES[[#This Row],[EMPLOYEE NUMBER]]="","",ROW(T_EMPLOYEES[[#This Row],[EMPLOYEE LABEL]])-ROW(T_EMPLOYEES[[#Headers],[EMPLOYEE LABEL]]))</f>
        <v>420</v>
      </c>
      <c r="AB423">
        <f ca="1">IF(T_EMPLOYEES[[#This Row],[EMPLOYEE NUMBER]]="","",IF(COUNTIF(T_EMPLOYEES[EMPLOYEE NUMBER],T_EMPLOYEES[[#This Row],[EMPLOYEE NUMBER]])&gt;1,1,0))</f>
        <v>0</v>
      </c>
      <c r="AC423">
        <f ca="1">IF(T_EMPLOYEES[[#This Row],[EMPLOYEE NUMBER]]="","",IF(AND(T_EMPLOYEES[[#This Row],[DATE OF BIRTH]]&gt;0,T_EMPLOYEES[[#This Row],[DATE OF BIRTH]]&lt;TODAY()),0,1))</f>
        <v>0</v>
      </c>
      <c r="AD423">
        <f ca="1">IF(T_EMPLOYEES[[#This Row],[EMPLOYEE NUMBER]]="","",IF(AND(T_EMPLOYEES[[#This Row],[START DATE]]&gt;0,T_EMPLOYEES[[#This Row],[START DATE]]&lt;TODAY()+60),0,1))</f>
        <v>0</v>
      </c>
      <c r="AE423">
        <f ca="1">IF(T_EMPLOYEES[[#This Row],[EMPLOYEE NUMBER]]="","",MATCH(T_EMPLOYEES[[#This Row],[GENDER]],L_GENDER,0))</f>
        <v>2</v>
      </c>
      <c r="AF423">
        <f ca="1">IF(T_EMPLOYEES[[#This Row],[EMPLOYEE NUMBER]]="","",MATCH(T_EMPLOYEES[[#This Row],[HIRE SOURCE]],L_HIRESOURCE,0))</f>
        <v>4</v>
      </c>
      <c r="AG423">
        <f ca="1">IF(T_EMPLOYEES[[#This Row],[EMPLOYEE NUMBER]]="","",MATCH(T_EMPLOYEES[[#This Row],[ETHNICITY]],L_ETHNICITY,0))</f>
        <v>3</v>
      </c>
      <c r="AH423">
        <f ca="1">IF(T_EMPLOYEES[[#This Row],[EMPLOYEE NUMBER]]="","",MATCH(T_EMPLOYEES[[#This Row],[LOCATION]],L_LOCATION,0))</f>
        <v>1</v>
      </c>
      <c r="AI423">
        <f ca="1">IF(T_EMPLOYEES[[#This Row],[EMPLOYEE NUMBER]]="","",MATCH(T_EMPLOYEES[[#This Row],[DEPARTMENT]],L_DEPARTMENT,0))</f>
        <v>2</v>
      </c>
      <c r="AJ423">
        <f ca="1">IF(T_EMPLOYEES[[#This Row],[EMPLOYEE NUMBER]]="","",MATCH(T_EMPLOYEES[[#This Row],[JOB TYPE]],L_JOBTYPE,0))</f>
        <v>2</v>
      </c>
      <c r="AK423">
        <f ca="1">IF(T_EMPLOYEES[[#This Row],[EMPLOYEE NUMBER]]="","",MATCH(T_EMPLOYEES[[#This Row],[JOB CATEGORY]],L_JOBCATEGORY,0))</f>
        <v>27</v>
      </c>
      <c r="AL423">
        <f ca="1">IF(T_EMPLOYEES[[#This Row],[EMPLOYEE NUMBER]]="","",MATCH(T_EMPLOYEES[[#This Row],[JOB LEVEL]],L_JOBLEVEL,0))</f>
        <v>2</v>
      </c>
      <c r="AM423">
        <f ca="1">IF(T_EMPLOYEES[[#This Row],[EMPLOYEE NUMBER]]="","",MATCH(T_EMPLOYEES[[#This Row],[JOB TITLE]],L_JOBTITLE,0))</f>
        <v>27</v>
      </c>
      <c r="AN423">
        <f ca="1">IF(T_EMPLOYEES[[#This Row],[EMPLOYEE NUMBER]]="","",MATCH(T_EMPLOYEES[[#This Row],[MANAGER]],L_EMPLABELS,0))</f>
        <v>69</v>
      </c>
      <c r="AO423">
        <f ca="1">IF(T_EMPLOYEES[[#This Row],[EMPLOYEE NUMBER]]="","",IF(T_EMPLOYEES[[#This Row],[ERROR]]="",0,1))</f>
        <v>0</v>
      </c>
      <c r="AP42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4" spans="1:42">
      <c r="A424" t="s">
        <v>1390</v>
      </c>
      <c r="B424" t="s">
        <v>1218</v>
      </c>
      <c r="C424">
        <v>1026244</v>
      </c>
      <c r="D424" t="s">
        <v>1391</v>
      </c>
      <c r="E424" s="26">
        <v>36246</v>
      </c>
      <c r="F424" s="26">
        <v>44433</v>
      </c>
      <c r="H424" t="s">
        <v>27</v>
      </c>
      <c r="I424" t="s">
        <v>54</v>
      </c>
      <c r="J424" t="s">
        <v>64</v>
      </c>
      <c r="K424" t="s">
        <v>30</v>
      </c>
      <c r="L424" s="27" t="s">
        <v>45</v>
      </c>
      <c r="M424" t="s">
        <v>46</v>
      </c>
      <c r="N424" t="s">
        <v>160</v>
      </c>
      <c r="O424" t="s">
        <v>48</v>
      </c>
      <c r="P424" t="s">
        <v>160</v>
      </c>
      <c r="Q424" t="s">
        <v>512</v>
      </c>
      <c r="R424" s="27">
        <v>4</v>
      </c>
      <c r="S424" s="1">
        <v>1250000</v>
      </c>
      <c r="T424" s="1">
        <f ca="1">ROUND(T_EMPLOYEES[[#This Row],[EMP_CTC1]]/12, 0)</f>
        <v>104167</v>
      </c>
      <c r="U424" s="1">
        <v>1054000</v>
      </c>
      <c r="V424" s="1" t="s">
        <v>1238</v>
      </c>
      <c r="W424" s="1" t="s">
        <v>1238</v>
      </c>
      <c r="X42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Aman Singh (1026244)</v>
      </c>
      <c r="Y424">
        <v>120000</v>
      </c>
      <c r="Z424" s="29">
        <f t="shared" ca="1" si="7"/>
        <v>15.68</v>
      </c>
      <c r="AA424">
        <f ca="1">IF(T_EMPLOYEES[[#This Row],[EMPLOYEE NUMBER]]="","",ROW(T_EMPLOYEES[[#This Row],[EMPLOYEE LABEL]])-ROW(T_EMPLOYEES[[#Headers],[EMPLOYEE LABEL]]))</f>
        <v>421</v>
      </c>
      <c r="AB424">
        <f ca="1">IF(T_EMPLOYEES[[#This Row],[EMPLOYEE NUMBER]]="","",IF(COUNTIF(T_EMPLOYEES[EMPLOYEE NUMBER],T_EMPLOYEES[[#This Row],[EMPLOYEE NUMBER]])&gt;1,1,0))</f>
        <v>0</v>
      </c>
      <c r="AC424">
        <f ca="1">IF(T_EMPLOYEES[[#This Row],[EMPLOYEE NUMBER]]="","",IF(AND(T_EMPLOYEES[[#This Row],[DATE OF BIRTH]]&gt;0,T_EMPLOYEES[[#This Row],[DATE OF BIRTH]]&lt;TODAY()),0,1))</f>
        <v>0</v>
      </c>
      <c r="AD424">
        <f ca="1">IF(T_EMPLOYEES[[#This Row],[EMPLOYEE NUMBER]]="","",IF(AND(T_EMPLOYEES[[#This Row],[START DATE]]&gt;0,T_EMPLOYEES[[#This Row],[START DATE]]&lt;TODAY()+60),0,1))</f>
        <v>0</v>
      </c>
      <c r="AE424">
        <f ca="1">IF(T_EMPLOYEES[[#This Row],[EMPLOYEE NUMBER]]="","",MATCH(T_EMPLOYEES[[#This Row],[GENDER]],L_GENDER,0))</f>
        <v>1</v>
      </c>
      <c r="AF424">
        <f ca="1">IF(T_EMPLOYEES[[#This Row],[EMPLOYEE NUMBER]]="","",MATCH(T_EMPLOYEES[[#This Row],[HIRE SOURCE]],L_HIRESOURCE,0))</f>
        <v>4</v>
      </c>
      <c r="AG424">
        <f ca="1">IF(T_EMPLOYEES[[#This Row],[EMPLOYEE NUMBER]]="","",MATCH(T_EMPLOYEES[[#This Row],[ETHNICITY]],L_ETHNICITY,0))</f>
        <v>3</v>
      </c>
      <c r="AH424">
        <f ca="1">IF(T_EMPLOYEES[[#This Row],[EMPLOYEE NUMBER]]="","",MATCH(T_EMPLOYEES[[#This Row],[LOCATION]],L_LOCATION,0))</f>
        <v>1</v>
      </c>
      <c r="AI424">
        <f ca="1">IF(T_EMPLOYEES[[#This Row],[EMPLOYEE NUMBER]]="","",MATCH(T_EMPLOYEES[[#This Row],[DEPARTMENT]],L_DEPARTMENT,0))</f>
        <v>2</v>
      </c>
      <c r="AJ424">
        <f ca="1">IF(T_EMPLOYEES[[#This Row],[EMPLOYEE NUMBER]]="","",MATCH(T_EMPLOYEES[[#This Row],[JOB TYPE]],L_JOBTYPE,0))</f>
        <v>2</v>
      </c>
      <c r="AK424">
        <f ca="1">IF(T_EMPLOYEES[[#This Row],[EMPLOYEE NUMBER]]="","",MATCH(T_EMPLOYEES[[#This Row],[JOB CATEGORY]],L_JOBCATEGORY,0))</f>
        <v>39</v>
      </c>
      <c r="AL424">
        <f ca="1">IF(T_EMPLOYEES[[#This Row],[EMPLOYEE NUMBER]]="","",MATCH(T_EMPLOYEES[[#This Row],[JOB LEVEL]],L_JOBLEVEL,0))</f>
        <v>2</v>
      </c>
      <c r="AM424">
        <f ca="1">IF(T_EMPLOYEES[[#This Row],[EMPLOYEE NUMBER]]="","",MATCH(T_EMPLOYEES[[#This Row],[JOB TITLE]],L_JOBTITLE,0))</f>
        <v>39</v>
      </c>
      <c r="AN424">
        <f ca="1">IF(T_EMPLOYEES[[#This Row],[EMPLOYEE NUMBER]]="","",MATCH(T_EMPLOYEES[[#This Row],[MANAGER]],L_EMPLABELS,0))</f>
        <v>39</v>
      </c>
      <c r="AO424">
        <f ca="1">IF(T_EMPLOYEES[[#This Row],[EMPLOYEE NUMBER]]="","",IF(T_EMPLOYEES[[#This Row],[ERROR]]="",0,1))</f>
        <v>0</v>
      </c>
      <c r="AP42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5" spans="1:42">
      <c r="A425" t="s">
        <v>1392</v>
      </c>
      <c r="B425" t="s">
        <v>51</v>
      </c>
      <c r="C425">
        <v>1027109</v>
      </c>
      <c r="D425" t="s">
        <v>1393</v>
      </c>
      <c r="E425" s="26">
        <v>36248</v>
      </c>
      <c r="F425" s="26">
        <v>44508</v>
      </c>
      <c r="H425" t="s">
        <v>27</v>
      </c>
      <c r="I425" t="s">
        <v>54</v>
      </c>
      <c r="J425" t="s">
        <v>64</v>
      </c>
      <c r="K425" t="s">
        <v>30</v>
      </c>
      <c r="L425" s="27" t="s">
        <v>110</v>
      </c>
      <c r="M425" t="s">
        <v>46</v>
      </c>
      <c r="N425" t="s">
        <v>148</v>
      </c>
      <c r="O425" t="s">
        <v>48</v>
      </c>
      <c r="P425" t="s">
        <v>148</v>
      </c>
      <c r="Q425" t="s">
        <v>861</v>
      </c>
      <c r="R425">
        <v>4</v>
      </c>
      <c r="S425" s="1">
        <v>250000</v>
      </c>
      <c r="T425" s="1">
        <f ca="1">ROUND(T_EMPLOYEES[[#This Row],[EMP_CTC1]]/12, 0)</f>
        <v>20833</v>
      </c>
      <c r="U425" s="1">
        <v>150000</v>
      </c>
      <c r="V425" s="1" t="s">
        <v>1238</v>
      </c>
      <c r="W425" s="1" t="s">
        <v>1238</v>
      </c>
      <c r="X42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Ismayeel S (1027109)</v>
      </c>
      <c r="Y425">
        <v>120000</v>
      </c>
      <c r="Z425" s="29">
        <f t="shared" ca="1" si="7"/>
        <v>40</v>
      </c>
      <c r="AA425">
        <f ca="1">IF(T_EMPLOYEES[[#This Row],[EMPLOYEE NUMBER]]="","",ROW(T_EMPLOYEES[[#This Row],[EMPLOYEE LABEL]])-ROW(T_EMPLOYEES[[#Headers],[EMPLOYEE LABEL]]))</f>
        <v>422</v>
      </c>
      <c r="AB425">
        <f ca="1">IF(T_EMPLOYEES[[#This Row],[EMPLOYEE NUMBER]]="","",IF(COUNTIF(T_EMPLOYEES[EMPLOYEE NUMBER],T_EMPLOYEES[[#This Row],[EMPLOYEE NUMBER]])&gt;1,1,0))</f>
        <v>0</v>
      </c>
      <c r="AC425">
        <f ca="1">IF(T_EMPLOYEES[[#This Row],[EMPLOYEE NUMBER]]="","",IF(AND(T_EMPLOYEES[[#This Row],[DATE OF BIRTH]]&gt;0,T_EMPLOYEES[[#This Row],[DATE OF BIRTH]]&lt;TODAY()),0,1))</f>
        <v>0</v>
      </c>
      <c r="AD425">
        <f ca="1">IF(T_EMPLOYEES[[#This Row],[EMPLOYEE NUMBER]]="","",IF(AND(T_EMPLOYEES[[#This Row],[START DATE]]&gt;0,T_EMPLOYEES[[#This Row],[START DATE]]&lt;TODAY()+60),0,1))</f>
        <v>0</v>
      </c>
      <c r="AE425">
        <f ca="1">IF(T_EMPLOYEES[[#This Row],[EMPLOYEE NUMBER]]="","",MATCH(T_EMPLOYEES[[#This Row],[GENDER]],L_GENDER,0))</f>
        <v>1</v>
      </c>
      <c r="AF425">
        <f ca="1">IF(T_EMPLOYEES[[#This Row],[EMPLOYEE NUMBER]]="","",MATCH(T_EMPLOYEES[[#This Row],[HIRE SOURCE]],L_HIRESOURCE,0))</f>
        <v>4</v>
      </c>
      <c r="AG425">
        <f ca="1">IF(T_EMPLOYEES[[#This Row],[EMPLOYEE NUMBER]]="","",MATCH(T_EMPLOYEES[[#This Row],[ETHNICITY]],L_ETHNICITY,0))</f>
        <v>3</v>
      </c>
      <c r="AH425">
        <f ca="1">IF(T_EMPLOYEES[[#This Row],[EMPLOYEE NUMBER]]="","",MATCH(T_EMPLOYEES[[#This Row],[LOCATION]],L_LOCATION,0))</f>
        <v>1</v>
      </c>
      <c r="AI425">
        <f ca="1">IF(T_EMPLOYEES[[#This Row],[EMPLOYEE NUMBER]]="","",MATCH(T_EMPLOYEES[[#This Row],[DEPARTMENT]],L_DEPARTMENT,0))</f>
        <v>10</v>
      </c>
      <c r="AJ425">
        <f ca="1">IF(T_EMPLOYEES[[#This Row],[EMPLOYEE NUMBER]]="","",MATCH(T_EMPLOYEES[[#This Row],[JOB TYPE]],L_JOBTYPE,0))</f>
        <v>2</v>
      </c>
      <c r="AK425">
        <f ca="1">IF(T_EMPLOYEES[[#This Row],[EMPLOYEE NUMBER]]="","",MATCH(T_EMPLOYEES[[#This Row],[JOB CATEGORY]],L_JOBCATEGORY,0))</f>
        <v>27</v>
      </c>
      <c r="AL425">
        <f ca="1">IF(T_EMPLOYEES[[#This Row],[EMPLOYEE NUMBER]]="","",MATCH(T_EMPLOYEES[[#This Row],[JOB LEVEL]],L_JOBLEVEL,0))</f>
        <v>2</v>
      </c>
      <c r="AM425">
        <f ca="1">IF(T_EMPLOYEES[[#This Row],[EMPLOYEE NUMBER]]="","",MATCH(T_EMPLOYEES[[#This Row],[JOB TITLE]],L_JOBTITLE,0))</f>
        <v>27</v>
      </c>
      <c r="AN425">
        <f ca="1">IF(T_EMPLOYEES[[#This Row],[EMPLOYEE NUMBER]]="","",MATCH(T_EMPLOYEES[[#This Row],[MANAGER]],L_EMPLABELS,0))</f>
        <v>130</v>
      </c>
      <c r="AO425">
        <f ca="1">IF(T_EMPLOYEES[[#This Row],[EMPLOYEE NUMBER]]="","",IF(T_EMPLOYEES[[#This Row],[ERROR]]="",0,1))</f>
        <v>0</v>
      </c>
      <c r="AP42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6" spans="1:42">
      <c r="A426" t="s">
        <v>361</v>
      </c>
      <c r="B426" t="s">
        <v>1394</v>
      </c>
      <c r="C426">
        <v>1027416</v>
      </c>
      <c r="D426" t="s">
        <v>1395</v>
      </c>
      <c r="E426" s="26">
        <v>36250</v>
      </c>
      <c r="F426" s="26">
        <v>44531</v>
      </c>
      <c r="H426" t="s">
        <v>27</v>
      </c>
      <c r="I426" t="s">
        <v>54</v>
      </c>
      <c r="J426" t="s">
        <v>64</v>
      </c>
      <c r="K426" t="s">
        <v>30</v>
      </c>
      <c r="L426" s="27" t="s">
        <v>114</v>
      </c>
      <c r="M426" t="s">
        <v>46</v>
      </c>
      <c r="N426" t="s">
        <v>160</v>
      </c>
      <c r="O426" t="s">
        <v>48</v>
      </c>
      <c r="P426" t="s">
        <v>160</v>
      </c>
      <c r="Q426" t="s">
        <v>206</v>
      </c>
      <c r="R426" s="27">
        <v>4</v>
      </c>
      <c r="S426" s="1">
        <v>250000</v>
      </c>
      <c r="T426" s="1">
        <f ca="1">ROUND(T_EMPLOYEES[[#This Row],[EMP_CTC1]]/12, 0)</f>
        <v>20833</v>
      </c>
      <c r="U426" s="1">
        <v>150000</v>
      </c>
      <c r="V426" s="1" t="s">
        <v>1238</v>
      </c>
      <c r="W426" s="1" t="s">
        <v>1238</v>
      </c>
      <c r="X42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  Pavan (1027416)</v>
      </c>
      <c r="Y426">
        <v>120000</v>
      </c>
      <c r="Z426" s="29">
        <f t="shared" ca="1" si="7"/>
        <v>40</v>
      </c>
      <c r="AA426">
        <f ca="1">IF(T_EMPLOYEES[[#This Row],[EMPLOYEE NUMBER]]="","",ROW(T_EMPLOYEES[[#This Row],[EMPLOYEE LABEL]])-ROW(T_EMPLOYEES[[#Headers],[EMPLOYEE LABEL]]))</f>
        <v>423</v>
      </c>
      <c r="AB426">
        <f ca="1">IF(T_EMPLOYEES[[#This Row],[EMPLOYEE NUMBER]]="","",IF(COUNTIF(T_EMPLOYEES[EMPLOYEE NUMBER],T_EMPLOYEES[[#This Row],[EMPLOYEE NUMBER]])&gt;1,1,0))</f>
        <v>0</v>
      </c>
      <c r="AC426">
        <f ca="1">IF(T_EMPLOYEES[[#This Row],[EMPLOYEE NUMBER]]="","",IF(AND(T_EMPLOYEES[[#This Row],[DATE OF BIRTH]]&gt;0,T_EMPLOYEES[[#This Row],[DATE OF BIRTH]]&lt;TODAY()),0,1))</f>
        <v>0</v>
      </c>
      <c r="AD426">
        <f ca="1">IF(T_EMPLOYEES[[#This Row],[EMPLOYEE NUMBER]]="","",IF(AND(T_EMPLOYEES[[#This Row],[START DATE]]&gt;0,T_EMPLOYEES[[#This Row],[START DATE]]&lt;TODAY()+60),0,1))</f>
        <v>0</v>
      </c>
      <c r="AE426">
        <f ca="1">IF(T_EMPLOYEES[[#This Row],[EMPLOYEE NUMBER]]="","",MATCH(T_EMPLOYEES[[#This Row],[GENDER]],L_GENDER,0))</f>
        <v>1</v>
      </c>
      <c r="AF426">
        <f ca="1">IF(T_EMPLOYEES[[#This Row],[EMPLOYEE NUMBER]]="","",MATCH(T_EMPLOYEES[[#This Row],[HIRE SOURCE]],L_HIRESOURCE,0))</f>
        <v>4</v>
      </c>
      <c r="AG426">
        <f ca="1">IF(T_EMPLOYEES[[#This Row],[EMPLOYEE NUMBER]]="","",MATCH(T_EMPLOYEES[[#This Row],[ETHNICITY]],L_ETHNICITY,0))</f>
        <v>3</v>
      </c>
      <c r="AH426">
        <f ca="1">IF(T_EMPLOYEES[[#This Row],[EMPLOYEE NUMBER]]="","",MATCH(T_EMPLOYEES[[#This Row],[LOCATION]],L_LOCATION,0))</f>
        <v>1</v>
      </c>
      <c r="AI426">
        <f ca="1">IF(T_EMPLOYEES[[#This Row],[EMPLOYEE NUMBER]]="","",MATCH(T_EMPLOYEES[[#This Row],[DEPARTMENT]],L_DEPARTMENT,0))</f>
        <v>11</v>
      </c>
      <c r="AJ426">
        <f ca="1">IF(T_EMPLOYEES[[#This Row],[EMPLOYEE NUMBER]]="","",MATCH(T_EMPLOYEES[[#This Row],[JOB TYPE]],L_JOBTYPE,0))</f>
        <v>2</v>
      </c>
      <c r="AK426">
        <f ca="1">IF(T_EMPLOYEES[[#This Row],[EMPLOYEE NUMBER]]="","",MATCH(T_EMPLOYEES[[#This Row],[JOB CATEGORY]],L_JOBCATEGORY,0))</f>
        <v>39</v>
      </c>
      <c r="AL426">
        <f ca="1">IF(T_EMPLOYEES[[#This Row],[EMPLOYEE NUMBER]]="","",MATCH(T_EMPLOYEES[[#This Row],[JOB LEVEL]],L_JOBLEVEL,0))</f>
        <v>2</v>
      </c>
      <c r="AM426">
        <f ca="1">IF(T_EMPLOYEES[[#This Row],[EMPLOYEE NUMBER]]="","",MATCH(T_EMPLOYEES[[#This Row],[JOB TITLE]],L_JOBTITLE,0))</f>
        <v>39</v>
      </c>
      <c r="AN426">
        <f ca="1">IF(T_EMPLOYEES[[#This Row],[EMPLOYEE NUMBER]]="","",MATCH(T_EMPLOYEES[[#This Row],[MANAGER]],L_EMPLABELS,0))</f>
        <v>6</v>
      </c>
      <c r="AO426">
        <f ca="1">IF(T_EMPLOYEES[[#This Row],[EMPLOYEE NUMBER]]="","",IF(T_EMPLOYEES[[#This Row],[ERROR]]="",0,1))</f>
        <v>0</v>
      </c>
      <c r="AP42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7" spans="1:42">
      <c r="A427" t="s">
        <v>1396</v>
      </c>
      <c r="B427" t="s">
        <v>1397</v>
      </c>
      <c r="C427">
        <v>1026162</v>
      </c>
      <c r="D427" t="s">
        <v>1398</v>
      </c>
      <c r="E427" s="26">
        <v>36251</v>
      </c>
      <c r="F427" s="26">
        <v>44425</v>
      </c>
      <c r="H427" t="s">
        <v>27</v>
      </c>
      <c r="I427" t="s">
        <v>54</v>
      </c>
      <c r="J427" t="s">
        <v>64</v>
      </c>
      <c r="K427" t="s">
        <v>30</v>
      </c>
      <c r="L427" s="27" t="s">
        <v>45</v>
      </c>
      <c r="M427" t="s">
        <v>46</v>
      </c>
      <c r="N427" t="s">
        <v>160</v>
      </c>
      <c r="O427" t="s">
        <v>48</v>
      </c>
      <c r="P427" t="s">
        <v>160</v>
      </c>
      <c r="Q427" t="s">
        <v>574</v>
      </c>
      <c r="R427">
        <v>4</v>
      </c>
      <c r="S427" s="1">
        <v>250000</v>
      </c>
      <c r="T427" s="1">
        <f ca="1">ROUND(T_EMPLOYEES[[#This Row],[EMP_CTC1]]/12, 0)</f>
        <v>20833</v>
      </c>
      <c r="U427" s="1">
        <v>150000</v>
      </c>
      <c r="V427" s="1" t="s">
        <v>1238</v>
      </c>
      <c r="W427" s="1" t="s">
        <v>1238</v>
      </c>
      <c r="X42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Ibrahim Zahik (1026162)</v>
      </c>
      <c r="Y427">
        <v>120000</v>
      </c>
      <c r="Z427" s="29">
        <f t="shared" ca="1" si="7"/>
        <v>40</v>
      </c>
      <c r="AA427">
        <f ca="1">IF(T_EMPLOYEES[[#This Row],[EMPLOYEE NUMBER]]="","",ROW(T_EMPLOYEES[[#This Row],[EMPLOYEE LABEL]])-ROW(T_EMPLOYEES[[#Headers],[EMPLOYEE LABEL]]))</f>
        <v>424</v>
      </c>
      <c r="AB427">
        <f ca="1">IF(T_EMPLOYEES[[#This Row],[EMPLOYEE NUMBER]]="","",IF(COUNTIF(T_EMPLOYEES[EMPLOYEE NUMBER],T_EMPLOYEES[[#This Row],[EMPLOYEE NUMBER]])&gt;1,1,0))</f>
        <v>0</v>
      </c>
      <c r="AC427">
        <f ca="1">IF(T_EMPLOYEES[[#This Row],[EMPLOYEE NUMBER]]="","",IF(AND(T_EMPLOYEES[[#This Row],[DATE OF BIRTH]]&gt;0,T_EMPLOYEES[[#This Row],[DATE OF BIRTH]]&lt;TODAY()),0,1))</f>
        <v>0</v>
      </c>
      <c r="AD427">
        <f ca="1">IF(T_EMPLOYEES[[#This Row],[EMPLOYEE NUMBER]]="","",IF(AND(T_EMPLOYEES[[#This Row],[START DATE]]&gt;0,T_EMPLOYEES[[#This Row],[START DATE]]&lt;TODAY()+60),0,1))</f>
        <v>0</v>
      </c>
      <c r="AE427">
        <f ca="1">IF(T_EMPLOYEES[[#This Row],[EMPLOYEE NUMBER]]="","",MATCH(T_EMPLOYEES[[#This Row],[GENDER]],L_GENDER,0))</f>
        <v>1</v>
      </c>
      <c r="AF427">
        <f ca="1">IF(T_EMPLOYEES[[#This Row],[EMPLOYEE NUMBER]]="","",MATCH(T_EMPLOYEES[[#This Row],[HIRE SOURCE]],L_HIRESOURCE,0))</f>
        <v>4</v>
      </c>
      <c r="AG427">
        <f ca="1">IF(T_EMPLOYEES[[#This Row],[EMPLOYEE NUMBER]]="","",MATCH(T_EMPLOYEES[[#This Row],[ETHNICITY]],L_ETHNICITY,0))</f>
        <v>3</v>
      </c>
      <c r="AH427">
        <f ca="1">IF(T_EMPLOYEES[[#This Row],[EMPLOYEE NUMBER]]="","",MATCH(T_EMPLOYEES[[#This Row],[LOCATION]],L_LOCATION,0))</f>
        <v>1</v>
      </c>
      <c r="AI427">
        <f ca="1">IF(T_EMPLOYEES[[#This Row],[EMPLOYEE NUMBER]]="","",MATCH(T_EMPLOYEES[[#This Row],[DEPARTMENT]],L_DEPARTMENT,0))</f>
        <v>2</v>
      </c>
      <c r="AJ427">
        <f ca="1">IF(T_EMPLOYEES[[#This Row],[EMPLOYEE NUMBER]]="","",MATCH(T_EMPLOYEES[[#This Row],[JOB TYPE]],L_JOBTYPE,0))</f>
        <v>2</v>
      </c>
      <c r="AK427">
        <f ca="1">IF(T_EMPLOYEES[[#This Row],[EMPLOYEE NUMBER]]="","",MATCH(T_EMPLOYEES[[#This Row],[JOB CATEGORY]],L_JOBCATEGORY,0))</f>
        <v>39</v>
      </c>
      <c r="AL427">
        <f ca="1">IF(T_EMPLOYEES[[#This Row],[EMPLOYEE NUMBER]]="","",MATCH(T_EMPLOYEES[[#This Row],[JOB LEVEL]],L_JOBLEVEL,0))</f>
        <v>2</v>
      </c>
      <c r="AM427">
        <f ca="1">IF(T_EMPLOYEES[[#This Row],[EMPLOYEE NUMBER]]="","",MATCH(T_EMPLOYEES[[#This Row],[JOB TITLE]],L_JOBTITLE,0))</f>
        <v>39</v>
      </c>
      <c r="AN427">
        <f ca="1">IF(T_EMPLOYEES[[#This Row],[EMPLOYEE NUMBER]]="","",MATCH(T_EMPLOYEES[[#This Row],[MANAGER]],L_EMPLABELS,0))</f>
        <v>107</v>
      </c>
      <c r="AO427">
        <f ca="1">IF(T_EMPLOYEES[[#This Row],[EMPLOYEE NUMBER]]="","",IF(T_EMPLOYEES[[#This Row],[ERROR]]="",0,1))</f>
        <v>0</v>
      </c>
      <c r="AP42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8" spans="1:42">
      <c r="A428" t="s">
        <v>647</v>
      </c>
      <c r="B428" t="s">
        <v>1399</v>
      </c>
      <c r="C428">
        <v>1025156</v>
      </c>
      <c r="D428" t="s">
        <v>1400</v>
      </c>
      <c r="E428" s="26">
        <v>36255</v>
      </c>
      <c r="F428" s="26">
        <v>44316</v>
      </c>
      <c r="H428" t="s">
        <v>40</v>
      </c>
      <c r="I428" t="s">
        <v>54</v>
      </c>
      <c r="J428" t="s">
        <v>64</v>
      </c>
      <c r="K428" t="s">
        <v>43</v>
      </c>
      <c r="L428" s="27" t="s">
        <v>45</v>
      </c>
      <c r="M428" t="s">
        <v>46</v>
      </c>
      <c r="N428" t="s">
        <v>148</v>
      </c>
      <c r="O428" t="s">
        <v>48</v>
      </c>
      <c r="P428" t="s">
        <v>148</v>
      </c>
      <c r="Q428" t="s">
        <v>1231</v>
      </c>
      <c r="R428" s="27">
        <v>4</v>
      </c>
      <c r="S428" s="1">
        <v>250000</v>
      </c>
      <c r="T428" s="1">
        <f ca="1">ROUND(T_EMPLOYEES[[#This Row],[EMP_CTC1]]/12, 0)</f>
        <v>20833</v>
      </c>
      <c r="U428" s="1">
        <v>150000</v>
      </c>
      <c r="V428" s="1" t="s">
        <v>1238</v>
      </c>
      <c r="W428" s="1" t="s">
        <v>1238</v>
      </c>
      <c r="X42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 R Madhupreethaa (1025156)</v>
      </c>
      <c r="Y428">
        <v>120000</v>
      </c>
      <c r="Z428" s="29">
        <f t="shared" ca="1" si="7"/>
        <v>40</v>
      </c>
      <c r="AA428">
        <f ca="1">IF(T_EMPLOYEES[[#This Row],[EMPLOYEE NUMBER]]="","",ROW(T_EMPLOYEES[[#This Row],[EMPLOYEE LABEL]])-ROW(T_EMPLOYEES[[#Headers],[EMPLOYEE LABEL]]))</f>
        <v>425</v>
      </c>
      <c r="AB428">
        <f ca="1">IF(T_EMPLOYEES[[#This Row],[EMPLOYEE NUMBER]]="","",IF(COUNTIF(T_EMPLOYEES[EMPLOYEE NUMBER],T_EMPLOYEES[[#This Row],[EMPLOYEE NUMBER]])&gt;1,1,0))</f>
        <v>0</v>
      </c>
      <c r="AC428">
        <f ca="1">IF(T_EMPLOYEES[[#This Row],[EMPLOYEE NUMBER]]="","",IF(AND(T_EMPLOYEES[[#This Row],[DATE OF BIRTH]]&gt;0,T_EMPLOYEES[[#This Row],[DATE OF BIRTH]]&lt;TODAY()),0,1))</f>
        <v>0</v>
      </c>
      <c r="AD428">
        <f ca="1">IF(T_EMPLOYEES[[#This Row],[EMPLOYEE NUMBER]]="","",IF(AND(T_EMPLOYEES[[#This Row],[START DATE]]&gt;0,T_EMPLOYEES[[#This Row],[START DATE]]&lt;TODAY()+60),0,1))</f>
        <v>0</v>
      </c>
      <c r="AE428">
        <f ca="1">IF(T_EMPLOYEES[[#This Row],[EMPLOYEE NUMBER]]="","",MATCH(T_EMPLOYEES[[#This Row],[GENDER]],L_GENDER,0))</f>
        <v>2</v>
      </c>
      <c r="AF428">
        <f ca="1">IF(T_EMPLOYEES[[#This Row],[EMPLOYEE NUMBER]]="","",MATCH(T_EMPLOYEES[[#This Row],[HIRE SOURCE]],L_HIRESOURCE,0))</f>
        <v>4</v>
      </c>
      <c r="AG428">
        <f ca="1">IF(T_EMPLOYEES[[#This Row],[EMPLOYEE NUMBER]]="","",MATCH(T_EMPLOYEES[[#This Row],[ETHNICITY]],L_ETHNICITY,0))</f>
        <v>3</v>
      </c>
      <c r="AH428">
        <f ca="1">IF(T_EMPLOYEES[[#This Row],[EMPLOYEE NUMBER]]="","",MATCH(T_EMPLOYEES[[#This Row],[LOCATION]],L_LOCATION,0))</f>
        <v>2</v>
      </c>
      <c r="AI428">
        <f ca="1">IF(T_EMPLOYEES[[#This Row],[EMPLOYEE NUMBER]]="","",MATCH(T_EMPLOYEES[[#This Row],[DEPARTMENT]],L_DEPARTMENT,0))</f>
        <v>2</v>
      </c>
      <c r="AJ428">
        <f ca="1">IF(T_EMPLOYEES[[#This Row],[EMPLOYEE NUMBER]]="","",MATCH(T_EMPLOYEES[[#This Row],[JOB TYPE]],L_JOBTYPE,0))</f>
        <v>2</v>
      </c>
      <c r="AK428">
        <f ca="1">IF(T_EMPLOYEES[[#This Row],[EMPLOYEE NUMBER]]="","",MATCH(T_EMPLOYEES[[#This Row],[JOB CATEGORY]],L_JOBCATEGORY,0))</f>
        <v>27</v>
      </c>
      <c r="AL428">
        <f ca="1">IF(T_EMPLOYEES[[#This Row],[EMPLOYEE NUMBER]]="","",MATCH(T_EMPLOYEES[[#This Row],[JOB LEVEL]],L_JOBLEVEL,0))</f>
        <v>2</v>
      </c>
      <c r="AM428">
        <f ca="1">IF(T_EMPLOYEES[[#This Row],[EMPLOYEE NUMBER]]="","",MATCH(T_EMPLOYEES[[#This Row],[JOB TITLE]],L_JOBTITLE,0))</f>
        <v>27</v>
      </c>
      <c r="AN428">
        <f ca="1">IF(T_EMPLOYEES[[#This Row],[EMPLOYEE NUMBER]]="","",MATCH(T_EMPLOYEES[[#This Row],[MANAGER]],L_EMPLABELS,0))</f>
        <v>270</v>
      </c>
      <c r="AO428">
        <f ca="1">IF(T_EMPLOYEES[[#This Row],[EMPLOYEE NUMBER]]="","",IF(T_EMPLOYEES[[#This Row],[ERROR]]="",0,1))</f>
        <v>0</v>
      </c>
      <c r="AP42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9" spans="1:42">
      <c r="A429" t="s">
        <v>1401</v>
      </c>
      <c r="B429" t="s">
        <v>1402</v>
      </c>
      <c r="C429">
        <v>1033661</v>
      </c>
      <c r="D429" t="s">
        <v>1403</v>
      </c>
      <c r="E429" s="26">
        <v>36260</v>
      </c>
      <c r="F429" s="26">
        <v>45203</v>
      </c>
      <c r="H429" t="s">
        <v>27</v>
      </c>
      <c r="I429" t="s">
        <v>54</v>
      </c>
      <c r="J429" t="s">
        <v>64</v>
      </c>
      <c r="K429" t="s">
        <v>43</v>
      </c>
      <c r="L429" s="27" t="s">
        <v>45</v>
      </c>
      <c r="M429" t="s">
        <v>46</v>
      </c>
      <c r="N429" t="s">
        <v>151</v>
      </c>
      <c r="O429" t="s">
        <v>36</v>
      </c>
      <c r="P429" t="s">
        <v>151</v>
      </c>
      <c r="Q429" t="s">
        <v>373</v>
      </c>
      <c r="R429">
        <v>0</v>
      </c>
      <c r="S429" s="1">
        <v>250000</v>
      </c>
      <c r="T429" s="1">
        <f ca="1">ROUND(T_EMPLOYEES[[#This Row],[EMP_CTC1]]/12, 0)</f>
        <v>20833</v>
      </c>
      <c r="U429" s="1">
        <v>150000</v>
      </c>
      <c r="V429" s="1" t="s">
        <v>1238</v>
      </c>
      <c r="W429" s="1" t="s">
        <v>1238</v>
      </c>
      <c r="X42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Mohamed Wasim (1033661)</v>
      </c>
      <c r="Y429">
        <v>120000</v>
      </c>
      <c r="Z429" s="29">
        <f t="shared" ca="1" si="7"/>
        <v>40</v>
      </c>
      <c r="AA429">
        <f ca="1">IF(T_EMPLOYEES[[#This Row],[EMPLOYEE NUMBER]]="","",ROW(T_EMPLOYEES[[#This Row],[EMPLOYEE LABEL]])-ROW(T_EMPLOYEES[[#Headers],[EMPLOYEE LABEL]]))</f>
        <v>426</v>
      </c>
      <c r="AB429">
        <f ca="1">IF(T_EMPLOYEES[[#This Row],[EMPLOYEE NUMBER]]="","",IF(COUNTIF(T_EMPLOYEES[EMPLOYEE NUMBER],T_EMPLOYEES[[#This Row],[EMPLOYEE NUMBER]])&gt;1,1,0))</f>
        <v>0</v>
      </c>
      <c r="AC429">
        <f ca="1">IF(T_EMPLOYEES[[#This Row],[EMPLOYEE NUMBER]]="","",IF(AND(T_EMPLOYEES[[#This Row],[DATE OF BIRTH]]&gt;0,T_EMPLOYEES[[#This Row],[DATE OF BIRTH]]&lt;TODAY()),0,1))</f>
        <v>0</v>
      </c>
      <c r="AD429">
        <f ca="1">IF(T_EMPLOYEES[[#This Row],[EMPLOYEE NUMBER]]="","",IF(AND(T_EMPLOYEES[[#This Row],[START DATE]]&gt;0,T_EMPLOYEES[[#This Row],[START DATE]]&lt;TODAY()+60),0,1))</f>
        <v>0</v>
      </c>
      <c r="AE429">
        <f ca="1">IF(T_EMPLOYEES[[#This Row],[EMPLOYEE NUMBER]]="","",MATCH(T_EMPLOYEES[[#This Row],[GENDER]],L_GENDER,0))</f>
        <v>1</v>
      </c>
      <c r="AF429">
        <f ca="1">IF(T_EMPLOYEES[[#This Row],[EMPLOYEE NUMBER]]="","",MATCH(T_EMPLOYEES[[#This Row],[HIRE SOURCE]],L_HIRESOURCE,0))</f>
        <v>4</v>
      </c>
      <c r="AG429">
        <f ca="1">IF(T_EMPLOYEES[[#This Row],[EMPLOYEE NUMBER]]="","",MATCH(T_EMPLOYEES[[#This Row],[ETHNICITY]],L_ETHNICITY,0))</f>
        <v>3</v>
      </c>
      <c r="AH429">
        <f ca="1">IF(T_EMPLOYEES[[#This Row],[EMPLOYEE NUMBER]]="","",MATCH(T_EMPLOYEES[[#This Row],[LOCATION]],L_LOCATION,0))</f>
        <v>2</v>
      </c>
      <c r="AI429">
        <f ca="1">IF(T_EMPLOYEES[[#This Row],[EMPLOYEE NUMBER]]="","",MATCH(T_EMPLOYEES[[#This Row],[DEPARTMENT]],L_DEPARTMENT,0))</f>
        <v>2</v>
      </c>
      <c r="AJ429">
        <f ca="1">IF(T_EMPLOYEES[[#This Row],[EMPLOYEE NUMBER]]="","",MATCH(T_EMPLOYEES[[#This Row],[JOB TYPE]],L_JOBTYPE,0))</f>
        <v>2</v>
      </c>
      <c r="AK429">
        <f ca="1">IF(T_EMPLOYEES[[#This Row],[EMPLOYEE NUMBER]]="","",MATCH(T_EMPLOYEES[[#This Row],[JOB CATEGORY]],L_JOBCATEGORY,0))</f>
        <v>30</v>
      </c>
      <c r="AL429">
        <f ca="1">IF(T_EMPLOYEES[[#This Row],[EMPLOYEE NUMBER]]="","",MATCH(T_EMPLOYEES[[#This Row],[JOB LEVEL]],L_JOBLEVEL,0))</f>
        <v>1</v>
      </c>
      <c r="AM429">
        <f ca="1">IF(T_EMPLOYEES[[#This Row],[EMPLOYEE NUMBER]]="","",MATCH(T_EMPLOYEES[[#This Row],[JOB TITLE]],L_JOBTITLE,0))</f>
        <v>30</v>
      </c>
      <c r="AN429">
        <f ca="1">IF(T_EMPLOYEES[[#This Row],[EMPLOYEE NUMBER]]="","",MATCH(T_EMPLOYEES[[#This Row],[MANAGER]],L_EMPLABELS,0))</f>
        <v>9</v>
      </c>
      <c r="AO429">
        <f ca="1">IF(T_EMPLOYEES[[#This Row],[EMPLOYEE NUMBER]]="","",IF(T_EMPLOYEES[[#This Row],[ERROR]]="",0,1))</f>
        <v>0</v>
      </c>
      <c r="AP42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0" spans="1:42">
      <c r="A430" t="s">
        <v>1273</v>
      </c>
      <c r="B430" t="s">
        <v>1404</v>
      </c>
      <c r="C430">
        <v>1026159</v>
      </c>
      <c r="D430" t="s">
        <v>1405</v>
      </c>
      <c r="E430" s="26">
        <v>36266</v>
      </c>
      <c r="F430" s="26">
        <v>44425</v>
      </c>
      <c r="H430" t="s">
        <v>40</v>
      </c>
      <c r="I430" t="s">
        <v>54</v>
      </c>
      <c r="J430" t="s">
        <v>64</v>
      </c>
      <c r="K430" t="s">
        <v>30</v>
      </c>
      <c r="L430" s="27" t="s">
        <v>45</v>
      </c>
      <c r="M430" t="s">
        <v>46</v>
      </c>
      <c r="N430" t="s">
        <v>160</v>
      </c>
      <c r="O430" t="s">
        <v>48</v>
      </c>
      <c r="P430" t="s">
        <v>160</v>
      </c>
      <c r="Q430" t="s">
        <v>574</v>
      </c>
      <c r="R430" s="27">
        <v>4</v>
      </c>
      <c r="S430" s="1">
        <v>250000</v>
      </c>
      <c r="T430" s="1">
        <f ca="1">ROUND(T_EMPLOYEES[[#This Row],[EMP_CTC1]]/12, 0)</f>
        <v>20833</v>
      </c>
      <c r="U430" s="1">
        <v>150000</v>
      </c>
      <c r="V430" s="1" t="s">
        <v>1238</v>
      </c>
      <c r="W430" s="1" t="s">
        <v>1238</v>
      </c>
      <c r="X43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Aishwarya Sahu (1026159)</v>
      </c>
      <c r="Y430">
        <v>120000</v>
      </c>
      <c r="Z430" s="29">
        <f t="shared" ca="1" si="7"/>
        <v>40</v>
      </c>
      <c r="AA430">
        <f ca="1">IF(T_EMPLOYEES[[#This Row],[EMPLOYEE NUMBER]]="","",ROW(T_EMPLOYEES[[#This Row],[EMPLOYEE LABEL]])-ROW(T_EMPLOYEES[[#Headers],[EMPLOYEE LABEL]]))</f>
        <v>427</v>
      </c>
      <c r="AB430">
        <f ca="1">IF(T_EMPLOYEES[[#This Row],[EMPLOYEE NUMBER]]="","",IF(COUNTIF(T_EMPLOYEES[EMPLOYEE NUMBER],T_EMPLOYEES[[#This Row],[EMPLOYEE NUMBER]])&gt;1,1,0))</f>
        <v>0</v>
      </c>
      <c r="AC430">
        <f ca="1">IF(T_EMPLOYEES[[#This Row],[EMPLOYEE NUMBER]]="","",IF(AND(T_EMPLOYEES[[#This Row],[DATE OF BIRTH]]&gt;0,T_EMPLOYEES[[#This Row],[DATE OF BIRTH]]&lt;TODAY()),0,1))</f>
        <v>0</v>
      </c>
      <c r="AD430">
        <f ca="1">IF(T_EMPLOYEES[[#This Row],[EMPLOYEE NUMBER]]="","",IF(AND(T_EMPLOYEES[[#This Row],[START DATE]]&gt;0,T_EMPLOYEES[[#This Row],[START DATE]]&lt;TODAY()+60),0,1))</f>
        <v>0</v>
      </c>
      <c r="AE430">
        <f ca="1">IF(T_EMPLOYEES[[#This Row],[EMPLOYEE NUMBER]]="","",MATCH(T_EMPLOYEES[[#This Row],[GENDER]],L_GENDER,0))</f>
        <v>2</v>
      </c>
      <c r="AF430">
        <f ca="1">IF(T_EMPLOYEES[[#This Row],[EMPLOYEE NUMBER]]="","",MATCH(T_EMPLOYEES[[#This Row],[HIRE SOURCE]],L_HIRESOURCE,0))</f>
        <v>4</v>
      </c>
      <c r="AG430">
        <f ca="1">IF(T_EMPLOYEES[[#This Row],[EMPLOYEE NUMBER]]="","",MATCH(T_EMPLOYEES[[#This Row],[ETHNICITY]],L_ETHNICITY,0))</f>
        <v>3</v>
      </c>
      <c r="AH430">
        <f ca="1">IF(T_EMPLOYEES[[#This Row],[EMPLOYEE NUMBER]]="","",MATCH(T_EMPLOYEES[[#This Row],[LOCATION]],L_LOCATION,0))</f>
        <v>1</v>
      </c>
      <c r="AI430">
        <f ca="1">IF(T_EMPLOYEES[[#This Row],[EMPLOYEE NUMBER]]="","",MATCH(T_EMPLOYEES[[#This Row],[DEPARTMENT]],L_DEPARTMENT,0))</f>
        <v>2</v>
      </c>
      <c r="AJ430">
        <f ca="1">IF(T_EMPLOYEES[[#This Row],[EMPLOYEE NUMBER]]="","",MATCH(T_EMPLOYEES[[#This Row],[JOB TYPE]],L_JOBTYPE,0))</f>
        <v>2</v>
      </c>
      <c r="AK430">
        <f ca="1">IF(T_EMPLOYEES[[#This Row],[EMPLOYEE NUMBER]]="","",MATCH(T_EMPLOYEES[[#This Row],[JOB CATEGORY]],L_JOBCATEGORY,0))</f>
        <v>39</v>
      </c>
      <c r="AL430">
        <f ca="1">IF(T_EMPLOYEES[[#This Row],[EMPLOYEE NUMBER]]="","",MATCH(T_EMPLOYEES[[#This Row],[JOB LEVEL]],L_JOBLEVEL,0))</f>
        <v>2</v>
      </c>
      <c r="AM430">
        <f ca="1">IF(T_EMPLOYEES[[#This Row],[EMPLOYEE NUMBER]]="","",MATCH(T_EMPLOYEES[[#This Row],[JOB TITLE]],L_JOBTITLE,0))</f>
        <v>39</v>
      </c>
      <c r="AN430">
        <f ca="1">IF(T_EMPLOYEES[[#This Row],[EMPLOYEE NUMBER]]="","",MATCH(T_EMPLOYEES[[#This Row],[MANAGER]],L_EMPLABELS,0))</f>
        <v>107</v>
      </c>
      <c r="AO430">
        <f ca="1">IF(T_EMPLOYEES[[#This Row],[EMPLOYEE NUMBER]]="","",IF(T_EMPLOYEES[[#This Row],[ERROR]]="",0,1))</f>
        <v>0</v>
      </c>
      <c r="AP43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1" spans="1:42">
      <c r="A431" t="s">
        <v>1406</v>
      </c>
      <c r="B431" t="s">
        <v>1407</v>
      </c>
      <c r="C431">
        <v>1027222</v>
      </c>
      <c r="D431" t="s">
        <v>1408</v>
      </c>
      <c r="E431" s="26">
        <v>36285</v>
      </c>
      <c r="F431" s="26">
        <v>44517</v>
      </c>
      <c r="H431" t="s">
        <v>27</v>
      </c>
      <c r="I431" t="s">
        <v>54</v>
      </c>
      <c r="J431" t="s">
        <v>64</v>
      </c>
      <c r="K431" t="s">
        <v>30</v>
      </c>
      <c r="L431" s="27" t="s">
        <v>45</v>
      </c>
      <c r="M431" t="s">
        <v>46</v>
      </c>
      <c r="N431" t="s">
        <v>148</v>
      </c>
      <c r="O431" t="s">
        <v>48</v>
      </c>
      <c r="P431" t="s">
        <v>148</v>
      </c>
      <c r="Q431" t="s">
        <v>222</v>
      </c>
      <c r="R431">
        <v>4</v>
      </c>
      <c r="S431" s="1">
        <v>250000</v>
      </c>
      <c r="T431" s="1">
        <f ca="1">ROUND(T_EMPLOYEES[[#This Row],[EMP_CTC1]]/12, 0)</f>
        <v>20833</v>
      </c>
      <c r="U431" s="1">
        <v>150000</v>
      </c>
      <c r="V431" s="1" t="s">
        <v>1238</v>
      </c>
      <c r="W431" s="1" t="s">
        <v>1238</v>
      </c>
      <c r="X43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Balchandan T V (1027222)</v>
      </c>
      <c r="Y431">
        <v>120000</v>
      </c>
      <c r="Z431" s="29">
        <f t="shared" ca="1" si="7"/>
        <v>40</v>
      </c>
      <c r="AA431">
        <f ca="1">IF(T_EMPLOYEES[[#This Row],[EMPLOYEE NUMBER]]="","",ROW(T_EMPLOYEES[[#This Row],[EMPLOYEE LABEL]])-ROW(T_EMPLOYEES[[#Headers],[EMPLOYEE LABEL]]))</f>
        <v>428</v>
      </c>
      <c r="AB431">
        <f ca="1">IF(T_EMPLOYEES[[#This Row],[EMPLOYEE NUMBER]]="","",IF(COUNTIF(T_EMPLOYEES[EMPLOYEE NUMBER],T_EMPLOYEES[[#This Row],[EMPLOYEE NUMBER]])&gt;1,1,0))</f>
        <v>0</v>
      </c>
      <c r="AC431">
        <f ca="1">IF(T_EMPLOYEES[[#This Row],[EMPLOYEE NUMBER]]="","",IF(AND(T_EMPLOYEES[[#This Row],[DATE OF BIRTH]]&gt;0,T_EMPLOYEES[[#This Row],[DATE OF BIRTH]]&lt;TODAY()),0,1))</f>
        <v>0</v>
      </c>
      <c r="AD431">
        <f ca="1">IF(T_EMPLOYEES[[#This Row],[EMPLOYEE NUMBER]]="","",IF(AND(T_EMPLOYEES[[#This Row],[START DATE]]&gt;0,T_EMPLOYEES[[#This Row],[START DATE]]&lt;TODAY()+60),0,1))</f>
        <v>0</v>
      </c>
      <c r="AE431">
        <f ca="1">IF(T_EMPLOYEES[[#This Row],[EMPLOYEE NUMBER]]="","",MATCH(T_EMPLOYEES[[#This Row],[GENDER]],L_GENDER,0))</f>
        <v>1</v>
      </c>
      <c r="AF431">
        <f ca="1">IF(T_EMPLOYEES[[#This Row],[EMPLOYEE NUMBER]]="","",MATCH(T_EMPLOYEES[[#This Row],[HIRE SOURCE]],L_HIRESOURCE,0))</f>
        <v>4</v>
      </c>
      <c r="AG431">
        <f ca="1">IF(T_EMPLOYEES[[#This Row],[EMPLOYEE NUMBER]]="","",MATCH(T_EMPLOYEES[[#This Row],[ETHNICITY]],L_ETHNICITY,0))</f>
        <v>3</v>
      </c>
      <c r="AH431">
        <f ca="1">IF(T_EMPLOYEES[[#This Row],[EMPLOYEE NUMBER]]="","",MATCH(T_EMPLOYEES[[#This Row],[LOCATION]],L_LOCATION,0))</f>
        <v>1</v>
      </c>
      <c r="AI431">
        <f ca="1">IF(T_EMPLOYEES[[#This Row],[EMPLOYEE NUMBER]]="","",MATCH(T_EMPLOYEES[[#This Row],[DEPARTMENT]],L_DEPARTMENT,0))</f>
        <v>2</v>
      </c>
      <c r="AJ431">
        <f ca="1">IF(T_EMPLOYEES[[#This Row],[EMPLOYEE NUMBER]]="","",MATCH(T_EMPLOYEES[[#This Row],[JOB TYPE]],L_JOBTYPE,0))</f>
        <v>2</v>
      </c>
      <c r="AK431">
        <f ca="1">IF(T_EMPLOYEES[[#This Row],[EMPLOYEE NUMBER]]="","",MATCH(T_EMPLOYEES[[#This Row],[JOB CATEGORY]],L_JOBCATEGORY,0))</f>
        <v>27</v>
      </c>
      <c r="AL431">
        <f ca="1">IF(T_EMPLOYEES[[#This Row],[EMPLOYEE NUMBER]]="","",MATCH(T_EMPLOYEES[[#This Row],[JOB LEVEL]],L_JOBLEVEL,0))</f>
        <v>2</v>
      </c>
      <c r="AM431">
        <f ca="1">IF(T_EMPLOYEES[[#This Row],[EMPLOYEE NUMBER]]="","",MATCH(T_EMPLOYEES[[#This Row],[JOB TITLE]],L_JOBTITLE,0))</f>
        <v>27</v>
      </c>
      <c r="AN431">
        <f ca="1">IF(T_EMPLOYEES[[#This Row],[EMPLOYEE NUMBER]]="","",MATCH(T_EMPLOYEES[[#This Row],[MANAGER]],L_EMPLABELS,0))</f>
        <v>69</v>
      </c>
      <c r="AO431">
        <f ca="1">IF(T_EMPLOYEES[[#This Row],[EMPLOYEE NUMBER]]="","",IF(T_EMPLOYEES[[#This Row],[ERROR]]="",0,1))</f>
        <v>0</v>
      </c>
      <c r="AP43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2" spans="1:42">
      <c r="A432" t="s">
        <v>1170</v>
      </c>
      <c r="B432" t="s">
        <v>1409</v>
      </c>
      <c r="C432">
        <v>1027407</v>
      </c>
      <c r="D432" t="s">
        <v>1410</v>
      </c>
      <c r="E432" s="26">
        <v>36288</v>
      </c>
      <c r="F432" s="26">
        <v>44531</v>
      </c>
      <c r="H432" t="s">
        <v>27</v>
      </c>
      <c r="I432" t="s">
        <v>54</v>
      </c>
      <c r="J432" t="s">
        <v>64</v>
      </c>
      <c r="K432" t="s">
        <v>30</v>
      </c>
      <c r="L432" s="27" t="s">
        <v>45</v>
      </c>
      <c r="M432" t="s">
        <v>46</v>
      </c>
      <c r="N432" t="s">
        <v>160</v>
      </c>
      <c r="O432" t="s">
        <v>48</v>
      </c>
      <c r="P432" t="s">
        <v>160</v>
      </c>
      <c r="Q432" t="s">
        <v>985</v>
      </c>
      <c r="R432" s="27">
        <v>4</v>
      </c>
      <c r="S432" s="1">
        <v>250000</v>
      </c>
      <c r="T432" s="1">
        <f ca="1">ROUND(T_EMPLOYEES[[#This Row],[EMP_CTC1]]/12, 0)</f>
        <v>20833</v>
      </c>
      <c r="U432" s="1">
        <v>150000</v>
      </c>
      <c r="V432" s="1" t="s">
        <v>1238</v>
      </c>
      <c r="W432" s="1" t="s">
        <v>1238</v>
      </c>
      <c r="X43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Karthik Thimmappa Mestha (1027407)</v>
      </c>
      <c r="Y432">
        <v>120000</v>
      </c>
      <c r="Z432" s="29">
        <f t="shared" ca="1" si="7"/>
        <v>40</v>
      </c>
      <c r="AA432">
        <f ca="1">IF(T_EMPLOYEES[[#This Row],[EMPLOYEE NUMBER]]="","",ROW(T_EMPLOYEES[[#This Row],[EMPLOYEE LABEL]])-ROW(T_EMPLOYEES[[#Headers],[EMPLOYEE LABEL]]))</f>
        <v>429</v>
      </c>
      <c r="AB432">
        <f ca="1">IF(T_EMPLOYEES[[#This Row],[EMPLOYEE NUMBER]]="","",IF(COUNTIF(T_EMPLOYEES[EMPLOYEE NUMBER],T_EMPLOYEES[[#This Row],[EMPLOYEE NUMBER]])&gt;1,1,0))</f>
        <v>0</v>
      </c>
      <c r="AC432">
        <f ca="1">IF(T_EMPLOYEES[[#This Row],[EMPLOYEE NUMBER]]="","",IF(AND(T_EMPLOYEES[[#This Row],[DATE OF BIRTH]]&gt;0,T_EMPLOYEES[[#This Row],[DATE OF BIRTH]]&lt;TODAY()),0,1))</f>
        <v>0</v>
      </c>
      <c r="AD432">
        <f ca="1">IF(T_EMPLOYEES[[#This Row],[EMPLOYEE NUMBER]]="","",IF(AND(T_EMPLOYEES[[#This Row],[START DATE]]&gt;0,T_EMPLOYEES[[#This Row],[START DATE]]&lt;TODAY()+60),0,1))</f>
        <v>0</v>
      </c>
      <c r="AE432">
        <f ca="1">IF(T_EMPLOYEES[[#This Row],[EMPLOYEE NUMBER]]="","",MATCH(T_EMPLOYEES[[#This Row],[GENDER]],L_GENDER,0))</f>
        <v>1</v>
      </c>
      <c r="AF432">
        <f ca="1">IF(T_EMPLOYEES[[#This Row],[EMPLOYEE NUMBER]]="","",MATCH(T_EMPLOYEES[[#This Row],[HIRE SOURCE]],L_HIRESOURCE,0))</f>
        <v>4</v>
      </c>
      <c r="AG432">
        <f ca="1">IF(T_EMPLOYEES[[#This Row],[EMPLOYEE NUMBER]]="","",MATCH(T_EMPLOYEES[[#This Row],[ETHNICITY]],L_ETHNICITY,0))</f>
        <v>3</v>
      </c>
      <c r="AH432">
        <f ca="1">IF(T_EMPLOYEES[[#This Row],[EMPLOYEE NUMBER]]="","",MATCH(T_EMPLOYEES[[#This Row],[LOCATION]],L_LOCATION,0))</f>
        <v>1</v>
      </c>
      <c r="AI432">
        <f ca="1">IF(T_EMPLOYEES[[#This Row],[EMPLOYEE NUMBER]]="","",MATCH(T_EMPLOYEES[[#This Row],[DEPARTMENT]],L_DEPARTMENT,0))</f>
        <v>2</v>
      </c>
      <c r="AJ432">
        <f ca="1">IF(T_EMPLOYEES[[#This Row],[EMPLOYEE NUMBER]]="","",MATCH(T_EMPLOYEES[[#This Row],[JOB TYPE]],L_JOBTYPE,0))</f>
        <v>2</v>
      </c>
      <c r="AK432">
        <f ca="1">IF(T_EMPLOYEES[[#This Row],[EMPLOYEE NUMBER]]="","",MATCH(T_EMPLOYEES[[#This Row],[JOB CATEGORY]],L_JOBCATEGORY,0))</f>
        <v>39</v>
      </c>
      <c r="AL432">
        <f ca="1">IF(T_EMPLOYEES[[#This Row],[EMPLOYEE NUMBER]]="","",MATCH(T_EMPLOYEES[[#This Row],[JOB LEVEL]],L_JOBLEVEL,0))</f>
        <v>2</v>
      </c>
      <c r="AM432">
        <f ca="1">IF(T_EMPLOYEES[[#This Row],[EMPLOYEE NUMBER]]="","",MATCH(T_EMPLOYEES[[#This Row],[JOB TITLE]],L_JOBTITLE,0))</f>
        <v>39</v>
      </c>
      <c r="AN432">
        <f ca="1">IF(T_EMPLOYEES[[#This Row],[EMPLOYEE NUMBER]]="","",MATCH(T_EMPLOYEES[[#This Row],[MANAGER]],L_EMPLABELS,0))</f>
        <v>92</v>
      </c>
      <c r="AO432">
        <f ca="1">IF(T_EMPLOYEES[[#This Row],[EMPLOYEE NUMBER]]="","",IF(T_EMPLOYEES[[#This Row],[ERROR]]="",0,1))</f>
        <v>0</v>
      </c>
      <c r="AP43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3" spans="1:42">
      <c r="A433" t="s">
        <v>1411</v>
      </c>
      <c r="B433" t="s">
        <v>1412</v>
      </c>
      <c r="C433">
        <v>1029530</v>
      </c>
      <c r="D433" t="s">
        <v>1413</v>
      </c>
      <c r="E433" s="26">
        <v>36288</v>
      </c>
      <c r="F433" s="26">
        <v>44757</v>
      </c>
      <c r="H433" t="s">
        <v>40</v>
      </c>
      <c r="I433" t="s">
        <v>54</v>
      </c>
      <c r="J433" t="s">
        <v>64</v>
      </c>
      <c r="K433" t="s">
        <v>30</v>
      </c>
      <c r="L433" s="27" t="s">
        <v>114</v>
      </c>
      <c r="M433" t="s">
        <v>46</v>
      </c>
      <c r="N433" t="s">
        <v>151</v>
      </c>
      <c r="O433" t="s">
        <v>36</v>
      </c>
      <c r="P433" t="s">
        <v>151</v>
      </c>
      <c r="Q433" t="s">
        <v>505</v>
      </c>
      <c r="R433">
        <v>0</v>
      </c>
      <c r="S433" s="1">
        <v>250000</v>
      </c>
      <c r="T433" s="1">
        <f ca="1">ROUND(T_EMPLOYEES[[#This Row],[EMP_CTC1]]/12, 0)</f>
        <v>20833</v>
      </c>
      <c r="U433" s="1">
        <v>150000</v>
      </c>
      <c r="V433" s="1" t="s">
        <v>1238</v>
      </c>
      <c r="W433" s="1" t="s">
        <v>1238</v>
      </c>
      <c r="X43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Divyani Deepak Solanke (1029530)</v>
      </c>
      <c r="Y433">
        <v>120000</v>
      </c>
      <c r="Z433" s="29">
        <f t="shared" ca="1" si="7"/>
        <v>40</v>
      </c>
      <c r="AA433">
        <f ca="1">IF(T_EMPLOYEES[[#This Row],[EMPLOYEE NUMBER]]="","",ROW(T_EMPLOYEES[[#This Row],[EMPLOYEE LABEL]])-ROW(T_EMPLOYEES[[#Headers],[EMPLOYEE LABEL]]))</f>
        <v>430</v>
      </c>
      <c r="AB433">
        <f ca="1">IF(T_EMPLOYEES[[#This Row],[EMPLOYEE NUMBER]]="","",IF(COUNTIF(T_EMPLOYEES[EMPLOYEE NUMBER],T_EMPLOYEES[[#This Row],[EMPLOYEE NUMBER]])&gt;1,1,0))</f>
        <v>0</v>
      </c>
      <c r="AC433">
        <f ca="1">IF(T_EMPLOYEES[[#This Row],[EMPLOYEE NUMBER]]="","",IF(AND(T_EMPLOYEES[[#This Row],[DATE OF BIRTH]]&gt;0,T_EMPLOYEES[[#This Row],[DATE OF BIRTH]]&lt;TODAY()),0,1))</f>
        <v>0</v>
      </c>
      <c r="AD433">
        <f ca="1">IF(T_EMPLOYEES[[#This Row],[EMPLOYEE NUMBER]]="","",IF(AND(T_EMPLOYEES[[#This Row],[START DATE]]&gt;0,T_EMPLOYEES[[#This Row],[START DATE]]&lt;TODAY()+60),0,1))</f>
        <v>0</v>
      </c>
      <c r="AE433">
        <f ca="1">IF(T_EMPLOYEES[[#This Row],[EMPLOYEE NUMBER]]="","",MATCH(T_EMPLOYEES[[#This Row],[GENDER]],L_GENDER,0))</f>
        <v>2</v>
      </c>
      <c r="AF433">
        <f ca="1">IF(T_EMPLOYEES[[#This Row],[EMPLOYEE NUMBER]]="","",MATCH(T_EMPLOYEES[[#This Row],[HIRE SOURCE]],L_HIRESOURCE,0))</f>
        <v>4</v>
      </c>
      <c r="AG433">
        <f ca="1">IF(T_EMPLOYEES[[#This Row],[EMPLOYEE NUMBER]]="","",MATCH(T_EMPLOYEES[[#This Row],[ETHNICITY]],L_ETHNICITY,0))</f>
        <v>3</v>
      </c>
      <c r="AH433">
        <f ca="1">IF(T_EMPLOYEES[[#This Row],[EMPLOYEE NUMBER]]="","",MATCH(T_EMPLOYEES[[#This Row],[LOCATION]],L_LOCATION,0))</f>
        <v>1</v>
      </c>
      <c r="AI433">
        <f ca="1">IF(T_EMPLOYEES[[#This Row],[EMPLOYEE NUMBER]]="","",MATCH(T_EMPLOYEES[[#This Row],[DEPARTMENT]],L_DEPARTMENT,0))</f>
        <v>11</v>
      </c>
      <c r="AJ433">
        <f ca="1">IF(T_EMPLOYEES[[#This Row],[EMPLOYEE NUMBER]]="","",MATCH(T_EMPLOYEES[[#This Row],[JOB TYPE]],L_JOBTYPE,0))</f>
        <v>2</v>
      </c>
      <c r="AK433">
        <f ca="1">IF(T_EMPLOYEES[[#This Row],[EMPLOYEE NUMBER]]="","",MATCH(T_EMPLOYEES[[#This Row],[JOB CATEGORY]],L_JOBCATEGORY,0))</f>
        <v>30</v>
      </c>
      <c r="AL433">
        <f ca="1">IF(T_EMPLOYEES[[#This Row],[EMPLOYEE NUMBER]]="","",MATCH(T_EMPLOYEES[[#This Row],[JOB LEVEL]],L_JOBLEVEL,0))</f>
        <v>1</v>
      </c>
      <c r="AM433">
        <f ca="1">IF(T_EMPLOYEES[[#This Row],[EMPLOYEE NUMBER]]="","",MATCH(T_EMPLOYEES[[#This Row],[JOB TITLE]],L_JOBTITLE,0))</f>
        <v>30</v>
      </c>
      <c r="AN433">
        <f ca="1">IF(T_EMPLOYEES[[#This Row],[EMPLOYEE NUMBER]]="","",MATCH(T_EMPLOYEES[[#This Row],[MANAGER]],L_EMPLABELS,0))</f>
        <v>57</v>
      </c>
      <c r="AO433">
        <f ca="1">IF(T_EMPLOYEES[[#This Row],[EMPLOYEE NUMBER]]="","",IF(T_EMPLOYEES[[#This Row],[ERROR]]="",0,1))</f>
        <v>0</v>
      </c>
      <c r="AP43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4" spans="1:42">
      <c r="A434" t="s">
        <v>1414</v>
      </c>
      <c r="B434" t="s">
        <v>1415</v>
      </c>
      <c r="C434">
        <v>1026933</v>
      </c>
      <c r="D434" t="s">
        <v>1416</v>
      </c>
      <c r="E434" s="26">
        <v>36292</v>
      </c>
      <c r="F434" s="26">
        <v>44491</v>
      </c>
      <c r="H434" t="s">
        <v>40</v>
      </c>
      <c r="I434" t="s">
        <v>54</v>
      </c>
      <c r="J434" t="s">
        <v>64</v>
      </c>
      <c r="K434" t="s">
        <v>43</v>
      </c>
      <c r="L434" s="27" t="s">
        <v>45</v>
      </c>
      <c r="M434" t="s">
        <v>46</v>
      </c>
      <c r="N434" t="s">
        <v>164</v>
      </c>
      <c r="O434" t="s">
        <v>48</v>
      </c>
      <c r="P434" t="s">
        <v>164</v>
      </c>
      <c r="Q434" t="s">
        <v>726</v>
      </c>
      <c r="R434" s="27">
        <v>4</v>
      </c>
      <c r="S434" s="1">
        <v>250000</v>
      </c>
      <c r="T434" s="1">
        <f ca="1">ROUND(T_EMPLOYEES[[#This Row],[EMP_CTC1]]/12, 0)</f>
        <v>20833</v>
      </c>
      <c r="U434" s="1">
        <v>150000</v>
      </c>
      <c r="V434" s="1" t="s">
        <v>1238</v>
      </c>
      <c r="W434" s="1" t="s">
        <v>1238</v>
      </c>
      <c r="X43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Dhanyashree R Prasad (1026933)</v>
      </c>
      <c r="Y434">
        <v>120000</v>
      </c>
      <c r="Z434" s="29">
        <f t="shared" ca="1" si="7"/>
        <v>40</v>
      </c>
      <c r="AA434">
        <f ca="1">IF(T_EMPLOYEES[[#This Row],[EMPLOYEE NUMBER]]="","",ROW(T_EMPLOYEES[[#This Row],[EMPLOYEE LABEL]])-ROW(T_EMPLOYEES[[#Headers],[EMPLOYEE LABEL]]))</f>
        <v>431</v>
      </c>
      <c r="AB434">
        <f ca="1">IF(T_EMPLOYEES[[#This Row],[EMPLOYEE NUMBER]]="","",IF(COUNTIF(T_EMPLOYEES[EMPLOYEE NUMBER],T_EMPLOYEES[[#This Row],[EMPLOYEE NUMBER]])&gt;1,1,0))</f>
        <v>0</v>
      </c>
      <c r="AC434">
        <f ca="1">IF(T_EMPLOYEES[[#This Row],[EMPLOYEE NUMBER]]="","",IF(AND(T_EMPLOYEES[[#This Row],[DATE OF BIRTH]]&gt;0,T_EMPLOYEES[[#This Row],[DATE OF BIRTH]]&lt;TODAY()),0,1))</f>
        <v>0</v>
      </c>
      <c r="AD434">
        <f ca="1">IF(T_EMPLOYEES[[#This Row],[EMPLOYEE NUMBER]]="","",IF(AND(T_EMPLOYEES[[#This Row],[START DATE]]&gt;0,T_EMPLOYEES[[#This Row],[START DATE]]&lt;TODAY()+60),0,1))</f>
        <v>0</v>
      </c>
      <c r="AE434">
        <f ca="1">IF(T_EMPLOYEES[[#This Row],[EMPLOYEE NUMBER]]="","",MATCH(T_EMPLOYEES[[#This Row],[GENDER]],L_GENDER,0))</f>
        <v>2</v>
      </c>
      <c r="AF434">
        <f ca="1">IF(T_EMPLOYEES[[#This Row],[EMPLOYEE NUMBER]]="","",MATCH(T_EMPLOYEES[[#This Row],[HIRE SOURCE]],L_HIRESOURCE,0))</f>
        <v>4</v>
      </c>
      <c r="AG434">
        <f ca="1">IF(T_EMPLOYEES[[#This Row],[EMPLOYEE NUMBER]]="","",MATCH(T_EMPLOYEES[[#This Row],[ETHNICITY]],L_ETHNICITY,0))</f>
        <v>3</v>
      </c>
      <c r="AH434">
        <f ca="1">IF(T_EMPLOYEES[[#This Row],[EMPLOYEE NUMBER]]="","",MATCH(T_EMPLOYEES[[#This Row],[LOCATION]],L_LOCATION,0))</f>
        <v>2</v>
      </c>
      <c r="AI434">
        <f ca="1">IF(T_EMPLOYEES[[#This Row],[EMPLOYEE NUMBER]]="","",MATCH(T_EMPLOYEES[[#This Row],[DEPARTMENT]],L_DEPARTMENT,0))</f>
        <v>2</v>
      </c>
      <c r="AJ434">
        <f ca="1">IF(T_EMPLOYEES[[#This Row],[EMPLOYEE NUMBER]]="","",MATCH(T_EMPLOYEES[[#This Row],[JOB TYPE]],L_JOBTYPE,0))</f>
        <v>2</v>
      </c>
      <c r="AK434">
        <f ca="1">IF(T_EMPLOYEES[[#This Row],[EMPLOYEE NUMBER]]="","",MATCH(T_EMPLOYEES[[#This Row],[JOB CATEGORY]],L_JOBCATEGORY,0))</f>
        <v>43</v>
      </c>
      <c r="AL434">
        <f ca="1">IF(T_EMPLOYEES[[#This Row],[EMPLOYEE NUMBER]]="","",MATCH(T_EMPLOYEES[[#This Row],[JOB LEVEL]],L_JOBLEVEL,0))</f>
        <v>2</v>
      </c>
      <c r="AM434">
        <f ca="1">IF(T_EMPLOYEES[[#This Row],[EMPLOYEE NUMBER]]="","",MATCH(T_EMPLOYEES[[#This Row],[JOB TITLE]],L_JOBTITLE,0))</f>
        <v>43</v>
      </c>
      <c r="AN434">
        <f ca="1">IF(T_EMPLOYEES[[#This Row],[EMPLOYEE NUMBER]]="","",MATCH(T_EMPLOYEES[[#This Row],[MANAGER]],L_EMPLABELS,0))</f>
        <v>59</v>
      </c>
      <c r="AO434">
        <f ca="1">IF(T_EMPLOYEES[[#This Row],[EMPLOYEE NUMBER]]="","",IF(T_EMPLOYEES[[#This Row],[ERROR]]="",0,1))</f>
        <v>0</v>
      </c>
      <c r="AP43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5" spans="1:42">
      <c r="A435" t="s">
        <v>1291</v>
      </c>
      <c r="B435" t="s">
        <v>594</v>
      </c>
      <c r="C435">
        <v>1031661</v>
      </c>
      <c r="D435" t="s">
        <v>1417</v>
      </c>
      <c r="E435" s="26">
        <v>36292</v>
      </c>
      <c r="F435" s="26">
        <v>44896</v>
      </c>
      <c r="H435" t="s">
        <v>27</v>
      </c>
      <c r="I435" t="s">
        <v>54</v>
      </c>
      <c r="J435" t="s">
        <v>64</v>
      </c>
      <c r="K435" t="s">
        <v>30</v>
      </c>
      <c r="L435" s="27" t="s">
        <v>45</v>
      </c>
      <c r="M435" t="s">
        <v>46</v>
      </c>
      <c r="N435" t="s">
        <v>160</v>
      </c>
      <c r="O435" t="s">
        <v>48</v>
      </c>
      <c r="P435" t="s">
        <v>160</v>
      </c>
      <c r="Q435" t="s">
        <v>804</v>
      </c>
      <c r="R435">
        <v>4</v>
      </c>
      <c r="S435" s="1">
        <v>250000</v>
      </c>
      <c r="T435" s="1">
        <f ca="1">ROUND(T_EMPLOYEES[[#This Row],[EMP_CTC1]]/12, 0)</f>
        <v>20833</v>
      </c>
      <c r="U435" s="1">
        <v>150000</v>
      </c>
      <c r="V435" s="1" t="s">
        <v>1238</v>
      </c>
      <c r="W435" s="1" t="s">
        <v>1238</v>
      </c>
      <c r="X43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Saurabh Sharma (1031661)</v>
      </c>
      <c r="Y435">
        <v>120000</v>
      </c>
      <c r="Z435" s="29">
        <f t="shared" ca="1" si="7"/>
        <v>40</v>
      </c>
      <c r="AA435">
        <f ca="1">IF(T_EMPLOYEES[[#This Row],[EMPLOYEE NUMBER]]="","",ROW(T_EMPLOYEES[[#This Row],[EMPLOYEE LABEL]])-ROW(T_EMPLOYEES[[#Headers],[EMPLOYEE LABEL]]))</f>
        <v>432</v>
      </c>
      <c r="AB435">
        <f ca="1">IF(T_EMPLOYEES[[#This Row],[EMPLOYEE NUMBER]]="","",IF(COUNTIF(T_EMPLOYEES[EMPLOYEE NUMBER],T_EMPLOYEES[[#This Row],[EMPLOYEE NUMBER]])&gt;1,1,0))</f>
        <v>0</v>
      </c>
      <c r="AC435">
        <f ca="1">IF(T_EMPLOYEES[[#This Row],[EMPLOYEE NUMBER]]="","",IF(AND(T_EMPLOYEES[[#This Row],[DATE OF BIRTH]]&gt;0,T_EMPLOYEES[[#This Row],[DATE OF BIRTH]]&lt;TODAY()),0,1))</f>
        <v>0</v>
      </c>
      <c r="AD435">
        <f ca="1">IF(T_EMPLOYEES[[#This Row],[EMPLOYEE NUMBER]]="","",IF(AND(T_EMPLOYEES[[#This Row],[START DATE]]&gt;0,T_EMPLOYEES[[#This Row],[START DATE]]&lt;TODAY()+60),0,1))</f>
        <v>0</v>
      </c>
      <c r="AE435">
        <f ca="1">IF(T_EMPLOYEES[[#This Row],[EMPLOYEE NUMBER]]="","",MATCH(T_EMPLOYEES[[#This Row],[GENDER]],L_GENDER,0))</f>
        <v>1</v>
      </c>
      <c r="AF435">
        <f ca="1">IF(T_EMPLOYEES[[#This Row],[EMPLOYEE NUMBER]]="","",MATCH(T_EMPLOYEES[[#This Row],[HIRE SOURCE]],L_HIRESOURCE,0))</f>
        <v>4</v>
      </c>
      <c r="AG435">
        <f ca="1">IF(T_EMPLOYEES[[#This Row],[EMPLOYEE NUMBER]]="","",MATCH(T_EMPLOYEES[[#This Row],[ETHNICITY]],L_ETHNICITY,0))</f>
        <v>3</v>
      </c>
      <c r="AH435">
        <f ca="1">IF(T_EMPLOYEES[[#This Row],[EMPLOYEE NUMBER]]="","",MATCH(T_EMPLOYEES[[#This Row],[LOCATION]],L_LOCATION,0))</f>
        <v>1</v>
      </c>
      <c r="AI435">
        <f ca="1">IF(T_EMPLOYEES[[#This Row],[EMPLOYEE NUMBER]]="","",MATCH(T_EMPLOYEES[[#This Row],[DEPARTMENT]],L_DEPARTMENT,0))</f>
        <v>2</v>
      </c>
      <c r="AJ435">
        <f ca="1">IF(T_EMPLOYEES[[#This Row],[EMPLOYEE NUMBER]]="","",MATCH(T_EMPLOYEES[[#This Row],[JOB TYPE]],L_JOBTYPE,0))</f>
        <v>2</v>
      </c>
      <c r="AK435">
        <f ca="1">IF(T_EMPLOYEES[[#This Row],[EMPLOYEE NUMBER]]="","",MATCH(T_EMPLOYEES[[#This Row],[JOB CATEGORY]],L_JOBCATEGORY,0))</f>
        <v>39</v>
      </c>
      <c r="AL435">
        <f ca="1">IF(T_EMPLOYEES[[#This Row],[EMPLOYEE NUMBER]]="","",MATCH(T_EMPLOYEES[[#This Row],[JOB LEVEL]],L_JOBLEVEL,0))</f>
        <v>2</v>
      </c>
      <c r="AM435">
        <f ca="1">IF(T_EMPLOYEES[[#This Row],[EMPLOYEE NUMBER]]="","",MATCH(T_EMPLOYEES[[#This Row],[JOB TITLE]],L_JOBTITLE,0))</f>
        <v>39</v>
      </c>
      <c r="AN435">
        <f ca="1">IF(T_EMPLOYEES[[#This Row],[EMPLOYEE NUMBER]]="","",MATCH(T_EMPLOYEES[[#This Row],[MANAGER]],L_EMPLABELS,0))</f>
        <v>31</v>
      </c>
      <c r="AO435">
        <f ca="1">IF(T_EMPLOYEES[[#This Row],[EMPLOYEE NUMBER]]="","",IF(T_EMPLOYEES[[#This Row],[ERROR]]="",0,1))</f>
        <v>0</v>
      </c>
      <c r="AP43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6" spans="1:42">
      <c r="A436" t="s">
        <v>1259</v>
      </c>
      <c r="B436" t="s">
        <v>1418</v>
      </c>
      <c r="C436">
        <v>1029521</v>
      </c>
      <c r="D436" t="s">
        <v>1419</v>
      </c>
      <c r="E436" s="26">
        <v>36297</v>
      </c>
      <c r="F436" s="26">
        <v>44757</v>
      </c>
      <c r="H436" t="s">
        <v>27</v>
      </c>
      <c r="I436" t="s">
        <v>54</v>
      </c>
      <c r="J436" t="s">
        <v>64</v>
      </c>
      <c r="K436" t="s">
        <v>30</v>
      </c>
      <c r="L436" s="27" t="s">
        <v>114</v>
      </c>
      <c r="M436" t="s">
        <v>46</v>
      </c>
      <c r="N436" t="s">
        <v>128</v>
      </c>
      <c r="O436" t="s">
        <v>60</v>
      </c>
      <c r="P436" t="s">
        <v>128</v>
      </c>
      <c r="Q436" t="s">
        <v>468</v>
      </c>
      <c r="R436" s="27">
        <v>4</v>
      </c>
      <c r="S436" s="1">
        <v>250000</v>
      </c>
      <c r="T436" s="1">
        <f ca="1">ROUND(T_EMPLOYEES[[#This Row],[EMP_CTC1]]/12, 0)</f>
        <v>20833</v>
      </c>
      <c r="U436" s="1">
        <v>150000</v>
      </c>
      <c r="V436" s="1" t="s">
        <v>1238</v>
      </c>
      <c r="W436" s="1" t="s">
        <v>1238</v>
      </c>
      <c r="X43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Sunil Kumar Gupta (1029521)</v>
      </c>
      <c r="Y436">
        <v>120000</v>
      </c>
      <c r="Z436" s="29">
        <f t="shared" ca="1" si="7"/>
        <v>40</v>
      </c>
      <c r="AA436">
        <f ca="1">IF(T_EMPLOYEES[[#This Row],[EMPLOYEE NUMBER]]="","",ROW(T_EMPLOYEES[[#This Row],[EMPLOYEE LABEL]])-ROW(T_EMPLOYEES[[#Headers],[EMPLOYEE LABEL]]))</f>
        <v>433</v>
      </c>
      <c r="AB436">
        <f ca="1">IF(T_EMPLOYEES[[#This Row],[EMPLOYEE NUMBER]]="","",IF(COUNTIF(T_EMPLOYEES[EMPLOYEE NUMBER],T_EMPLOYEES[[#This Row],[EMPLOYEE NUMBER]])&gt;1,1,0))</f>
        <v>0</v>
      </c>
      <c r="AC436">
        <f ca="1">IF(T_EMPLOYEES[[#This Row],[EMPLOYEE NUMBER]]="","",IF(AND(T_EMPLOYEES[[#This Row],[DATE OF BIRTH]]&gt;0,T_EMPLOYEES[[#This Row],[DATE OF BIRTH]]&lt;TODAY()),0,1))</f>
        <v>0</v>
      </c>
      <c r="AD436">
        <f ca="1">IF(T_EMPLOYEES[[#This Row],[EMPLOYEE NUMBER]]="","",IF(AND(T_EMPLOYEES[[#This Row],[START DATE]]&gt;0,T_EMPLOYEES[[#This Row],[START DATE]]&lt;TODAY()+60),0,1))</f>
        <v>0</v>
      </c>
      <c r="AE436">
        <f ca="1">IF(T_EMPLOYEES[[#This Row],[EMPLOYEE NUMBER]]="","",MATCH(T_EMPLOYEES[[#This Row],[GENDER]],L_GENDER,0))</f>
        <v>1</v>
      </c>
      <c r="AF436">
        <f ca="1">IF(T_EMPLOYEES[[#This Row],[EMPLOYEE NUMBER]]="","",MATCH(T_EMPLOYEES[[#This Row],[HIRE SOURCE]],L_HIRESOURCE,0))</f>
        <v>4</v>
      </c>
      <c r="AG436">
        <f ca="1">IF(T_EMPLOYEES[[#This Row],[EMPLOYEE NUMBER]]="","",MATCH(T_EMPLOYEES[[#This Row],[ETHNICITY]],L_ETHNICITY,0))</f>
        <v>3</v>
      </c>
      <c r="AH436">
        <f ca="1">IF(T_EMPLOYEES[[#This Row],[EMPLOYEE NUMBER]]="","",MATCH(T_EMPLOYEES[[#This Row],[LOCATION]],L_LOCATION,0))</f>
        <v>1</v>
      </c>
      <c r="AI436">
        <f ca="1">IF(T_EMPLOYEES[[#This Row],[EMPLOYEE NUMBER]]="","",MATCH(T_EMPLOYEES[[#This Row],[DEPARTMENT]],L_DEPARTMENT,0))</f>
        <v>11</v>
      </c>
      <c r="AJ436">
        <f ca="1">IF(T_EMPLOYEES[[#This Row],[EMPLOYEE NUMBER]]="","",MATCH(T_EMPLOYEES[[#This Row],[JOB TYPE]],L_JOBTYPE,0))</f>
        <v>2</v>
      </c>
      <c r="AK436">
        <f ca="1">IF(T_EMPLOYEES[[#This Row],[EMPLOYEE NUMBER]]="","",MATCH(T_EMPLOYEES[[#This Row],[JOB CATEGORY]],L_JOBCATEGORY,0))</f>
        <v>15</v>
      </c>
      <c r="AL436">
        <f ca="1">IF(T_EMPLOYEES[[#This Row],[EMPLOYEE NUMBER]]="","",MATCH(T_EMPLOYEES[[#This Row],[JOB LEVEL]],L_JOBLEVEL,0))</f>
        <v>3</v>
      </c>
      <c r="AM436">
        <f ca="1">IF(T_EMPLOYEES[[#This Row],[EMPLOYEE NUMBER]]="","",MATCH(T_EMPLOYEES[[#This Row],[JOB TITLE]],L_JOBTITLE,0))</f>
        <v>15</v>
      </c>
      <c r="AN436">
        <f ca="1">IF(T_EMPLOYEES[[#This Row],[EMPLOYEE NUMBER]]="","",MATCH(T_EMPLOYEES[[#This Row],[MANAGER]],L_EMPLABELS,0))</f>
        <v>56</v>
      </c>
      <c r="AO436">
        <f ca="1">IF(T_EMPLOYEES[[#This Row],[EMPLOYEE NUMBER]]="","",IF(T_EMPLOYEES[[#This Row],[ERROR]]="",0,1))</f>
        <v>0</v>
      </c>
      <c r="AP43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7" spans="1:42">
      <c r="A437" t="s">
        <v>1220</v>
      </c>
      <c r="B437" t="s">
        <v>1420</v>
      </c>
      <c r="C437">
        <v>1028086</v>
      </c>
      <c r="D437" t="s">
        <v>1421</v>
      </c>
      <c r="E437" s="26">
        <v>36304</v>
      </c>
      <c r="F437" s="26">
        <v>44580</v>
      </c>
      <c r="H437" t="s">
        <v>27</v>
      </c>
      <c r="I437" t="s">
        <v>54</v>
      </c>
      <c r="J437" t="s">
        <v>64</v>
      </c>
      <c r="K437" t="s">
        <v>43</v>
      </c>
      <c r="L437" s="27" t="s">
        <v>110</v>
      </c>
      <c r="M437" t="s">
        <v>46</v>
      </c>
      <c r="N437" t="s">
        <v>148</v>
      </c>
      <c r="O437" t="s">
        <v>48</v>
      </c>
      <c r="P437" t="s">
        <v>148</v>
      </c>
      <c r="Q437" t="s">
        <v>861</v>
      </c>
      <c r="R437">
        <v>4</v>
      </c>
      <c r="S437" s="1">
        <v>250000</v>
      </c>
      <c r="T437" s="1">
        <f ca="1">ROUND(T_EMPLOYEES[[#This Row],[EMP_CTC1]]/12, 0)</f>
        <v>20833</v>
      </c>
      <c r="U437" s="1">
        <v>150000</v>
      </c>
      <c r="V437" s="1" t="s">
        <v>1238</v>
      </c>
      <c r="W437" s="1" t="s">
        <v>1238</v>
      </c>
      <c r="X43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Putta Sai Surya Manikanta (1028086)</v>
      </c>
      <c r="Y437">
        <v>120000</v>
      </c>
      <c r="Z437" s="29">
        <f t="shared" ca="1" si="7"/>
        <v>40</v>
      </c>
      <c r="AA437">
        <f ca="1">IF(T_EMPLOYEES[[#This Row],[EMPLOYEE NUMBER]]="","",ROW(T_EMPLOYEES[[#This Row],[EMPLOYEE LABEL]])-ROW(T_EMPLOYEES[[#Headers],[EMPLOYEE LABEL]]))</f>
        <v>434</v>
      </c>
      <c r="AB437">
        <f ca="1">IF(T_EMPLOYEES[[#This Row],[EMPLOYEE NUMBER]]="","",IF(COUNTIF(T_EMPLOYEES[EMPLOYEE NUMBER],T_EMPLOYEES[[#This Row],[EMPLOYEE NUMBER]])&gt;1,1,0))</f>
        <v>0</v>
      </c>
      <c r="AC437">
        <f ca="1">IF(T_EMPLOYEES[[#This Row],[EMPLOYEE NUMBER]]="","",IF(AND(T_EMPLOYEES[[#This Row],[DATE OF BIRTH]]&gt;0,T_EMPLOYEES[[#This Row],[DATE OF BIRTH]]&lt;TODAY()),0,1))</f>
        <v>0</v>
      </c>
      <c r="AD437">
        <f ca="1">IF(T_EMPLOYEES[[#This Row],[EMPLOYEE NUMBER]]="","",IF(AND(T_EMPLOYEES[[#This Row],[START DATE]]&gt;0,T_EMPLOYEES[[#This Row],[START DATE]]&lt;TODAY()+60),0,1))</f>
        <v>0</v>
      </c>
      <c r="AE437">
        <f ca="1">IF(T_EMPLOYEES[[#This Row],[EMPLOYEE NUMBER]]="","",MATCH(T_EMPLOYEES[[#This Row],[GENDER]],L_GENDER,0))</f>
        <v>1</v>
      </c>
      <c r="AF437">
        <f ca="1">IF(T_EMPLOYEES[[#This Row],[EMPLOYEE NUMBER]]="","",MATCH(T_EMPLOYEES[[#This Row],[HIRE SOURCE]],L_HIRESOURCE,0))</f>
        <v>4</v>
      </c>
      <c r="AG437">
        <f ca="1">IF(T_EMPLOYEES[[#This Row],[EMPLOYEE NUMBER]]="","",MATCH(T_EMPLOYEES[[#This Row],[ETHNICITY]],L_ETHNICITY,0))</f>
        <v>3</v>
      </c>
      <c r="AH437">
        <f ca="1">IF(T_EMPLOYEES[[#This Row],[EMPLOYEE NUMBER]]="","",MATCH(T_EMPLOYEES[[#This Row],[LOCATION]],L_LOCATION,0))</f>
        <v>2</v>
      </c>
      <c r="AI437">
        <f ca="1">IF(T_EMPLOYEES[[#This Row],[EMPLOYEE NUMBER]]="","",MATCH(T_EMPLOYEES[[#This Row],[DEPARTMENT]],L_DEPARTMENT,0))</f>
        <v>10</v>
      </c>
      <c r="AJ437">
        <f ca="1">IF(T_EMPLOYEES[[#This Row],[EMPLOYEE NUMBER]]="","",MATCH(T_EMPLOYEES[[#This Row],[JOB TYPE]],L_JOBTYPE,0))</f>
        <v>2</v>
      </c>
      <c r="AK437">
        <f ca="1">IF(T_EMPLOYEES[[#This Row],[EMPLOYEE NUMBER]]="","",MATCH(T_EMPLOYEES[[#This Row],[JOB CATEGORY]],L_JOBCATEGORY,0))</f>
        <v>27</v>
      </c>
      <c r="AL437">
        <f ca="1">IF(T_EMPLOYEES[[#This Row],[EMPLOYEE NUMBER]]="","",MATCH(T_EMPLOYEES[[#This Row],[JOB LEVEL]],L_JOBLEVEL,0))</f>
        <v>2</v>
      </c>
      <c r="AM437">
        <f ca="1">IF(T_EMPLOYEES[[#This Row],[EMPLOYEE NUMBER]]="","",MATCH(T_EMPLOYEES[[#This Row],[JOB TITLE]],L_JOBTITLE,0))</f>
        <v>27</v>
      </c>
      <c r="AN437">
        <f ca="1">IF(T_EMPLOYEES[[#This Row],[EMPLOYEE NUMBER]]="","",MATCH(T_EMPLOYEES[[#This Row],[MANAGER]],L_EMPLABELS,0))</f>
        <v>130</v>
      </c>
      <c r="AO437">
        <f ca="1">IF(T_EMPLOYEES[[#This Row],[EMPLOYEE NUMBER]]="","",IF(T_EMPLOYEES[[#This Row],[ERROR]]="",0,1))</f>
        <v>0</v>
      </c>
      <c r="AP43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8" spans="1:42">
      <c r="A438" t="s">
        <v>1422</v>
      </c>
      <c r="B438" t="s">
        <v>1423</v>
      </c>
      <c r="C438">
        <v>1026247</v>
      </c>
      <c r="D438" t="s">
        <v>1424</v>
      </c>
      <c r="E438" s="26">
        <v>36312</v>
      </c>
      <c r="F438" s="26">
        <v>44433</v>
      </c>
      <c r="H438" t="s">
        <v>27</v>
      </c>
      <c r="I438" t="s">
        <v>54</v>
      </c>
      <c r="J438" t="s">
        <v>64</v>
      </c>
      <c r="K438" t="s">
        <v>43</v>
      </c>
      <c r="L438" s="27" t="s">
        <v>45</v>
      </c>
      <c r="M438" t="s">
        <v>46</v>
      </c>
      <c r="N438" t="s">
        <v>160</v>
      </c>
      <c r="O438" t="s">
        <v>48</v>
      </c>
      <c r="P438" t="s">
        <v>160</v>
      </c>
      <c r="Q438" t="s">
        <v>726</v>
      </c>
      <c r="R438" s="27">
        <v>4</v>
      </c>
      <c r="S438" s="1">
        <v>250000</v>
      </c>
      <c r="T438" s="1">
        <f ca="1">ROUND(T_EMPLOYEES[[#This Row],[EMP_CTC1]]/12, 0)</f>
        <v>20833</v>
      </c>
      <c r="U438" s="1">
        <v>150000</v>
      </c>
      <c r="V438" s="1" t="s">
        <v>1238</v>
      </c>
      <c r="W438" s="1" t="s">
        <v>1238</v>
      </c>
      <c r="X43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Muralikrishna Srinivas Putta (1026247)</v>
      </c>
      <c r="Y438">
        <v>120000</v>
      </c>
      <c r="Z438" s="29">
        <f t="shared" ca="1" si="7"/>
        <v>40</v>
      </c>
      <c r="AA438">
        <f ca="1">IF(T_EMPLOYEES[[#This Row],[EMPLOYEE NUMBER]]="","",ROW(T_EMPLOYEES[[#This Row],[EMPLOYEE LABEL]])-ROW(T_EMPLOYEES[[#Headers],[EMPLOYEE LABEL]]))</f>
        <v>435</v>
      </c>
      <c r="AB438">
        <f ca="1">IF(T_EMPLOYEES[[#This Row],[EMPLOYEE NUMBER]]="","",IF(COUNTIF(T_EMPLOYEES[EMPLOYEE NUMBER],T_EMPLOYEES[[#This Row],[EMPLOYEE NUMBER]])&gt;1,1,0))</f>
        <v>0</v>
      </c>
      <c r="AC438">
        <f ca="1">IF(T_EMPLOYEES[[#This Row],[EMPLOYEE NUMBER]]="","",IF(AND(T_EMPLOYEES[[#This Row],[DATE OF BIRTH]]&gt;0,T_EMPLOYEES[[#This Row],[DATE OF BIRTH]]&lt;TODAY()),0,1))</f>
        <v>0</v>
      </c>
      <c r="AD438">
        <f ca="1">IF(T_EMPLOYEES[[#This Row],[EMPLOYEE NUMBER]]="","",IF(AND(T_EMPLOYEES[[#This Row],[START DATE]]&gt;0,T_EMPLOYEES[[#This Row],[START DATE]]&lt;TODAY()+60),0,1))</f>
        <v>0</v>
      </c>
      <c r="AE438">
        <f ca="1">IF(T_EMPLOYEES[[#This Row],[EMPLOYEE NUMBER]]="","",MATCH(T_EMPLOYEES[[#This Row],[GENDER]],L_GENDER,0))</f>
        <v>1</v>
      </c>
      <c r="AF438">
        <f ca="1">IF(T_EMPLOYEES[[#This Row],[EMPLOYEE NUMBER]]="","",MATCH(T_EMPLOYEES[[#This Row],[HIRE SOURCE]],L_HIRESOURCE,0))</f>
        <v>4</v>
      </c>
      <c r="AG438">
        <f ca="1">IF(T_EMPLOYEES[[#This Row],[EMPLOYEE NUMBER]]="","",MATCH(T_EMPLOYEES[[#This Row],[ETHNICITY]],L_ETHNICITY,0))</f>
        <v>3</v>
      </c>
      <c r="AH438">
        <f ca="1">IF(T_EMPLOYEES[[#This Row],[EMPLOYEE NUMBER]]="","",MATCH(T_EMPLOYEES[[#This Row],[LOCATION]],L_LOCATION,0))</f>
        <v>2</v>
      </c>
      <c r="AI438">
        <f ca="1">IF(T_EMPLOYEES[[#This Row],[EMPLOYEE NUMBER]]="","",MATCH(T_EMPLOYEES[[#This Row],[DEPARTMENT]],L_DEPARTMENT,0))</f>
        <v>2</v>
      </c>
      <c r="AJ438">
        <f ca="1">IF(T_EMPLOYEES[[#This Row],[EMPLOYEE NUMBER]]="","",MATCH(T_EMPLOYEES[[#This Row],[JOB TYPE]],L_JOBTYPE,0))</f>
        <v>2</v>
      </c>
      <c r="AK438">
        <f ca="1">IF(T_EMPLOYEES[[#This Row],[EMPLOYEE NUMBER]]="","",MATCH(T_EMPLOYEES[[#This Row],[JOB CATEGORY]],L_JOBCATEGORY,0))</f>
        <v>39</v>
      </c>
      <c r="AL438">
        <f ca="1">IF(T_EMPLOYEES[[#This Row],[EMPLOYEE NUMBER]]="","",MATCH(T_EMPLOYEES[[#This Row],[JOB LEVEL]],L_JOBLEVEL,0))</f>
        <v>2</v>
      </c>
      <c r="AM438">
        <f ca="1">IF(T_EMPLOYEES[[#This Row],[EMPLOYEE NUMBER]]="","",MATCH(T_EMPLOYEES[[#This Row],[JOB TITLE]],L_JOBTITLE,0))</f>
        <v>39</v>
      </c>
      <c r="AN438">
        <f ca="1">IF(T_EMPLOYEES[[#This Row],[EMPLOYEE NUMBER]]="","",MATCH(T_EMPLOYEES[[#This Row],[MANAGER]],L_EMPLABELS,0))</f>
        <v>59</v>
      </c>
      <c r="AO438">
        <f ca="1">IF(T_EMPLOYEES[[#This Row],[EMPLOYEE NUMBER]]="","",IF(T_EMPLOYEES[[#This Row],[ERROR]]="",0,1))</f>
        <v>0</v>
      </c>
      <c r="AP43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9" spans="1:42">
      <c r="A439" t="s">
        <v>1425</v>
      </c>
      <c r="B439" t="s">
        <v>1426</v>
      </c>
      <c r="C439">
        <v>1031066</v>
      </c>
      <c r="D439" t="s">
        <v>1427</v>
      </c>
      <c r="E439" s="26">
        <v>36322</v>
      </c>
      <c r="F439" s="26">
        <v>44889</v>
      </c>
      <c r="H439" t="s">
        <v>27</v>
      </c>
      <c r="I439" t="s">
        <v>54</v>
      </c>
      <c r="J439" t="s">
        <v>64</v>
      </c>
      <c r="K439" t="s">
        <v>30</v>
      </c>
      <c r="L439" s="27" t="s">
        <v>114</v>
      </c>
      <c r="M439" t="s">
        <v>46</v>
      </c>
      <c r="N439" t="s">
        <v>151</v>
      </c>
      <c r="O439" t="s">
        <v>36</v>
      </c>
      <c r="P439" t="s">
        <v>151</v>
      </c>
      <c r="Q439" t="s">
        <v>206</v>
      </c>
      <c r="R439">
        <v>0</v>
      </c>
      <c r="S439" s="1">
        <v>250000</v>
      </c>
      <c r="T439" s="1">
        <f ca="1">ROUND(T_EMPLOYEES[[#This Row],[EMP_CTC1]]/12, 0)</f>
        <v>20833</v>
      </c>
      <c r="U439" s="1">
        <v>150000</v>
      </c>
      <c r="V439" s="1" t="s">
        <v>1238</v>
      </c>
      <c r="W439" s="1" t="s">
        <v>1238</v>
      </c>
      <c r="X43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Sarthak Chandu Lautawar (1031066)</v>
      </c>
      <c r="Y439">
        <v>120000</v>
      </c>
      <c r="Z439" s="29">
        <f t="shared" ca="1" si="7"/>
        <v>40</v>
      </c>
      <c r="AA439">
        <f ca="1">IF(T_EMPLOYEES[[#This Row],[EMPLOYEE NUMBER]]="","",ROW(T_EMPLOYEES[[#This Row],[EMPLOYEE LABEL]])-ROW(T_EMPLOYEES[[#Headers],[EMPLOYEE LABEL]]))</f>
        <v>436</v>
      </c>
      <c r="AB439">
        <f ca="1">IF(T_EMPLOYEES[[#This Row],[EMPLOYEE NUMBER]]="","",IF(COUNTIF(T_EMPLOYEES[EMPLOYEE NUMBER],T_EMPLOYEES[[#This Row],[EMPLOYEE NUMBER]])&gt;1,1,0))</f>
        <v>0</v>
      </c>
      <c r="AC439">
        <f ca="1">IF(T_EMPLOYEES[[#This Row],[EMPLOYEE NUMBER]]="","",IF(AND(T_EMPLOYEES[[#This Row],[DATE OF BIRTH]]&gt;0,T_EMPLOYEES[[#This Row],[DATE OF BIRTH]]&lt;TODAY()),0,1))</f>
        <v>0</v>
      </c>
      <c r="AD439">
        <f ca="1">IF(T_EMPLOYEES[[#This Row],[EMPLOYEE NUMBER]]="","",IF(AND(T_EMPLOYEES[[#This Row],[START DATE]]&gt;0,T_EMPLOYEES[[#This Row],[START DATE]]&lt;TODAY()+60),0,1))</f>
        <v>0</v>
      </c>
      <c r="AE439">
        <f ca="1">IF(T_EMPLOYEES[[#This Row],[EMPLOYEE NUMBER]]="","",MATCH(T_EMPLOYEES[[#This Row],[GENDER]],L_GENDER,0))</f>
        <v>1</v>
      </c>
      <c r="AF439">
        <f ca="1">IF(T_EMPLOYEES[[#This Row],[EMPLOYEE NUMBER]]="","",MATCH(T_EMPLOYEES[[#This Row],[HIRE SOURCE]],L_HIRESOURCE,0))</f>
        <v>4</v>
      </c>
      <c r="AG439">
        <f ca="1">IF(T_EMPLOYEES[[#This Row],[EMPLOYEE NUMBER]]="","",MATCH(T_EMPLOYEES[[#This Row],[ETHNICITY]],L_ETHNICITY,0))</f>
        <v>3</v>
      </c>
      <c r="AH439">
        <f ca="1">IF(T_EMPLOYEES[[#This Row],[EMPLOYEE NUMBER]]="","",MATCH(T_EMPLOYEES[[#This Row],[LOCATION]],L_LOCATION,0))</f>
        <v>1</v>
      </c>
      <c r="AI439">
        <f ca="1">IF(T_EMPLOYEES[[#This Row],[EMPLOYEE NUMBER]]="","",MATCH(T_EMPLOYEES[[#This Row],[DEPARTMENT]],L_DEPARTMENT,0))</f>
        <v>11</v>
      </c>
      <c r="AJ439">
        <f ca="1">IF(T_EMPLOYEES[[#This Row],[EMPLOYEE NUMBER]]="","",MATCH(T_EMPLOYEES[[#This Row],[JOB TYPE]],L_JOBTYPE,0))</f>
        <v>2</v>
      </c>
      <c r="AK439">
        <f ca="1">IF(T_EMPLOYEES[[#This Row],[EMPLOYEE NUMBER]]="","",MATCH(T_EMPLOYEES[[#This Row],[JOB CATEGORY]],L_JOBCATEGORY,0))</f>
        <v>30</v>
      </c>
      <c r="AL439">
        <f ca="1">IF(T_EMPLOYEES[[#This Row],[EMPLOYEE NUMBER]]="","",MATCH(T_EMPLOYEES[[#This Row],[JOB LEVEL]],L_JOBLEVEL,0))</f>
        <v>1</v>
      </c>
      <c r="AM439">
        <f ca="1">IF(T_EMPLOYEES[[#This Row],[EMPLOYEE NUMBER]]="","",MATCH(T_EMPLOYEES[[#This Row],[JOB TITLE]],L_JOBTITLE,0))</f>
        <v>30</v>
      </c>
      <c r="AN439">
        <f ca="1">IF(T_EMPLOYEES[[#This Row],[EMPLOYEE NUMBER]]="","",MATCH(T_EMPLOYEES[[#This Row],[MANAGER]],L_EMPLABELS,0))</f>
        <v>6</v>
      </c>
      <c r="AO439">
        <f ca="1">IF(T_EMPLOYEES[[#This Row],[EMPLOYEE NUMBER]]="","",IF(T_EMPLOYEES[[#This Row],[ERROR]]="",0,1))</f>
        <v>0</v>
      </c>
      <c r="AP43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0" spans="1:42">
      <c r="A440" t="s">
        <v>1428</v>
      </c>
      <c r="B440" t="s">
        <v>1429</v>
      </c>
      <c r="C440">
        <v>1027410</v>
      </c>
      <c r="D440" t="s">
        <v>1430</v>
      </c>
      <c r="E440" s="26">
        <v>36331</v>
      </c>
      <c r="F440" s="26">
        <v>44531</v>
      </c>
      <c r="H440" t="s">
        <v>27</v>
      </c>
      <c r="I440" t="s">
        <v>54</v>
      </c>
      <c r="J440" t="s">
        <v>64</v>
      </c>
      <c r="K440" t="s">
        <v>77</v>
      </c>
      <c r="L440" s="27" t="s">
        <v>114</v>
      </c>
      <c r="M440" t="s">
        <v>46</v>
      </c>
      <c r="N440" t="s">
        <v>151</v>
      </c>
      <c r="O440" t="s">
        <v>36</v>
      </c>
      <c r="P440" t="s">
        <v>151</v>
      </c>
      <c r="Q440" t="s">
        <v>468</v>
      </c>
      <c r="R440" s="27">
        <v>0</v>
      </c>
      <c r="S440" s="1">
        <v>250000</v>
      </c>
      <c r="T440" s="1">
        <f ca="1">ROUND(T_EMPLOYEES[[#This Row],[EMP_CTC1]]/12, 0)</f>
        <v>20833</v>
      </c>
      <c r="U440" s="1">
        <v>150000</v>
      </c>
      <c r="V440" s="1" t="s">
        <v>1238</v>
      </c>
      <c r="W440" s="1" t="s">
        <v>1238</v>
      </c>
      <c r="X44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Baratam  Ashish (1027410)</v>
      </c>
      <c r="Y440">
        <v>120000</v>
      </c>
      <c r="Z440" s="29">
        <f t="shared" ca="1" si="7"/>
        <v>40</v>
      </c>
      <c r="AA440">
        <f ca="1">IF(T_EMPLOYEES[[#This Row],[EMPLOYEE NUMBER]]="","",ROW(T_EMPLOYEES[[#This Row],[EMPLOYEE LABEL]])-ROW(T_EMPLOYEES[[#Headers],[EMPLOYEE LABEL]]))</f>
        <v>437</v>
      </c>
      <c r="AB440">
        <f ca="1">IF(T_EMPLOYEES[[#This Row],[EMPLOYEE NUMBER]]="","",IF(COUNTIF(T_EMPLOYEES[EMPLOYEE NUMBER],T_EMPLOYEES[[#This Row],[EMPLOYEE NUMBER]])&gt;1,1,0))</f>
        <v>0</v>
      </c>
      <c r="AC440">
        <f ca="1">IF(T_EMPLOYEES[[#This Row],[EMPLOYEE NUMBER]]="","",IF(AND(T_EMPLOYEES[[#This Row],[DATE OF BIRTH]]&gt;0,T_EMPLOYEES[[#This Row],[DATE OF BIRTH]]&lt;TODAY()),0,1))</f>
        <v>0</v>
      </c>
      <c r="AD440">
        <f ca="1">IF(T_EMPLOYEES[[#This Row],[EMPLOYEE NUMBER]]="","",IF(AND(T_EMPLOYEES[[#This Row],[START DATE]]&gt;0,T_EMPLOYEES[[#This Row],[START DATE]]&lt;TODAY()+60),0,1))</f>
        <v>0</v>
      </c>
      <c r="AE440">
        <f ca="1">IF(T_EMPLOYEES[[#This Row],[EMPLOYEE NUMBER]]="","",MATCH(T_EMPLOYEES[[#This Row],[GENDER]],L_GENDER,0))</f>
        <v>1</v>
      </c>
      <c r="AF440">
        <f ca="1">IF(T_EMPLOYEES[[#This Row],[EMPLOYEE NUMBER]]="","",MATCH(T_EMPLOYEES[[#This Row],[HIRE SOURCE]],L_HIRESOURCE,0))</f>
        <v>4</v>
      </c>
      <c r="AG440">
        <f ca="1">IF(T_EMPLOYEES[[#This Row],[EMPLOYEE NUMBER]]="","",MATCH(T_EMPLOYEES[[#This Row],[ETHNICITY]],L_ETHNICITY,0))</f>
        <v>3</v>
      </c>
      <c r="AH440">
        <f ca="1">IF(T_EMPLOYEES[[#This Row],[EMPLOYEE NUMBER]]="","",MATCH(T_EMPLOYEES[[#This Row],[LOCATION]],L_LOCATION,0))</f>
        <v>5</v>
      </c>
      <c r="AI440">
        <f ca="1">IF(T_EMPLOYEES[[#This Row],[EMPLOYEE NUMBER]]="","",MATCH(T_EMPLOYEES[[#This Row],[DEPARTMENT]],L_DEPARTMENT,0))</f>
        <v>11</v>
      </c>
      <c r="AJ440">
        <f ca="1">IF(T_EMPLOYEES[[#This Row],[EMPLOYEE NUMBER]]="","",MATCH(T_EMPLOYEES[[#This Row],[JOB TYPE]],L_JOBTYPE,0))</f>
        <v>2</v>
      </c>
      <c r="AK440">
        <f ca="1">IF(T_EMPLOYEES[[#This Row],[EMPLOYEE NUMBER]]="","",MATCH(T_EMPLOYEES[[#This Row],[JOB CATEGORY]],L_JOBCATEGORY,0))</f>
        <v>30</v>
      </c>
      <c r="AL440">
        <f ca="1">IF(T_EMPLOYEES[[#This Row],[EMPLOYEE NUMBER]]="","",MATCH(T_EMPLOYEES[[#This Row],[JOB LEVEL]],L_JOBLEVEL,0))</f>
        <v>1</v>
      </c>
      <c r="AM440">
        <f ca="1">IF(T_EMPLOYEES[[#This Row],[EMPLOYEE NUMBER]]="","",MATCH(T_EMPLOYEES[[#This Row],[JOB TITLE]],L_JOBTITLE,0))</f>
        <v>30</v>
      </c>
      <c r="AN440">
        <f ca="1">IF(T_EMPLOYEES[[#This Row],[EMPLOYEE NUMBER]]="","",MATCH(T_EMPLOYEES[[#This Row],[MANAGER]],L_EMPLABELS,0))</f>
        <v>56</v>
      </c>
      <c r="AO440">
        <f ca="1">IF(T_EMPLOYEES[[#This Row],[EMPLOYEE NUMBER]]="","",IF(T_EMPLOYEES[[#This Row],[ERROR]]="",0,1))</f>
        <v>0</v>
      </c>
      <c r="AP44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1" spans="1:42">
      <c r="A441" t="s">
        <v>404</v>
      </c>
      <c r="B441" t="s">
        <v>682</v>
      </c>
      <c r="C441">
        <v>1024570</v>
      </c>
      <c r="D441" t="s">
        <v>1431</v>
      </c>
      <c r="E441" s="26">
        <v>36333</v>
      </c>
      <c r="F441" s="26">
        <v>44246</v>
      </c>
      <c r="H441" t="s">
        <v>27</v>
      </c>
      <c r="I441" t="s">
        <v>54</v>
      </c>
      <c r="J441" t="s">
        <v>64</v>
      </c>
      <c r="K441" t="s">
        <v>30</v>
      </c>
      <c r="L441" s="27" t="s">
        <v>110</v>
      </c>
      <c r="M441" t="s">
        <v>46</v>
      </c>
      <c r="N441" t="s">
        <v>148</v>
      </c>
      <c r="O441" t="s">
        <v>48</v>
      </c>
      <c r="P441" t="s">
        <v>148</v>
      </c>
      <c r="Q441" t="s">
        <v>861</v>
      </c>
      <c r="R441">
        <v>4</v>
      </c>
      <c r="S441" s="1">
        <v>250000</v>
      </c>
      <c r="T441" s="1">
        <f ca="1">ROUND(T_EMPLOYEES[[#This Row],[EMP_CTC1]]/12, 0)</f>
        <v>20833</v>
      </c>
      <c r="U441" s="1">
        <v>150000</v>
      </c>
      <c r="V441" s="1" t="s">
        <v>1238</v>
      </c>
      <c r="W441" s="1" t="s">
        <v>1238</v>
      </c>
      <c r="X44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Santhosh  V (1024570)</v>
      </c>
      <c r="Y441">
        <v>120000</v>
      </c>
      <c r="Z441" s="29">
        <f t="shared" ca="1" si="7"/>
        <v>40</v>
      </c>
      <c r="AA441">
        <f ca="1">IF(T_EMPLOYEES[[#This Row],[EMPLOYEE NUMBER]]="","",ROW(T_EMPLOYEES[[#This Row],[EMPLOYEE LABEL]])-ROW(T_EMPLOYEES[[#Headers],[EMPLOYEE LABEL]]))</f>
        <v>438</v>
      </c>
      <c r="AB441">
        <f ca="1">IF(T_EMPLOYEES[[#This Row],[EMPLOYEE NUMBER]]="","",IF(COUNTIF(T_EMPLOYEES[EMPLOYEE NUMBER],T_EMPLOYEES[[#This Row],[EMPLOYEE NUMBER]])&gt;1,1,0))</f>
        <v>0</v>
      </c>
      <c r="AC441">
        <f ca="1">IF(T_EMPLOYEES[[#This Row],[EMPLOYEE NUMBER]]="","",IF(AND(T_EMPLOYEES[[#This Row],[DATE OF BIRTH]]&gt;0,T_EMPLOYEES[[#This Row],[DATE OF BIRTH]]&lt;TODAY()),0,1))</f>
        <v>0</v>
      </c>
      <c r="AD441">
        <f ca="1">IF(T_EMPLOYEES[[#This Row],[EMPLOYEE NUMBER]]="","",IF(AND(T_EMPLOYEES[[#This Row],[START DATE]]&gt;0,T_EMPLOYEES[[#This Row],[START DATE]]&lt;TODAY()+60),0,1))</f>
        <v>0</v>
      </c>
      <c r="AE441">
        <f ca="1">IF(T_EMPLOYEES[[#This Row],[EMPLOYEE NUMBER]]="","",MATCH(T_EMPLOYEES[[#This Row],[GENDER]],L_GENDER,0))</f>
        <v>1</v>
      </c>
      <c r="AF441">
        <f ca="1">IF(T_EMPLOYEES[[#This Row],[EMPLOYEE NUMBER]]="","",MATCH(T_EMPLOYEES[[#This Row],[HIRE SOURCE]],L_HIRESOURCE,0))</f>
        <v>4</v>
      </c>
      <c r="AG441">
        <f ca="1">IF(T_EMPLOYEES[[#This Row],[EMPLOYEE NUMBER]]="","",MATCH(T_EMPLOYEES[[#This Row],[ETHNICITY]],L_ETHNICITY,0))</f>
        <v>3</v>
      </c>
      <c r="AH441">
        <f ca="1">IF(T_EMPLOYEES[[#This Row],[EMPLOYEE NUMBER]]="","",MATCH(T_EMPLOYEES[[#This Row],[LOCATION]],L_LOCATION,0))</f>
        <v>1</v>
      </c>
      <c r="AI441">
        <f ca="1">IF(T_EMPLOYEES[[#This Row],[EMPLOYEE NUMBER]]="","",MATCH(T_EMPLOYEES[[#This Row],[DEPARTMENT]],L_DEPARTMENT,0))</f>
        <v>10</v>
      </c>
      <c r="AJ441">
        <f ca="1">IF(T_EMPLOYEES[[#This Row],[EMPLOYEE NUMBER]]="","",MATCH(T_EMPLOYEES[[#This Row],[JOB TYPE]],L_JOBTYPE,0))</f>
        <v>2</v>
      </c>
      <c r="AK441">
        <f ca="1">IF(T_EMPLOYEES[[#This Row],[EMPLOYEE NUMBER]]="","",MATCH(T_EMPLOYEES[[#This Row],[JOB CATEGORY]],L_JOBCATEGORY,0))</f>
        <v>27</v>
      </c>
      <c r="AL441">
        <f ca="1">IF(T_EMPLOYEES[[#This Row],[EMPLOYEE NUMBER]]="","",MATCH(T_EMPLOYEES[[#This Row],[JOB LEVEL]],L_JOBLEVEL,0))</f>
        <v>2</v>
      </c>
      <c r="AM441">
        <f ca="1">IF(T_EMPLOYEES[[#This Row],[EMPLOYEE NUMBER]]="","",MATCH(T_EMPLOYEES[[#This Row],[JOB TITLE]],L_JOBTITLE,0))</f>
        <v>27</v>
      </c>
      <c r="AN441">
        <f ca="1">IF(T_EMPLOYEES[[#This Row],[EMPLOYEE NUMBER]]="","",MATCH(T_EMPLOYEES[[#This Row],[MANAGER]],L_EMPLABELS,0))</f>
        <v>130</v>
      </c>
      <c r="AO441">
        <f ca="1">IF(T_EMPLOYEES[[#This Row],[EMPLOYEE NUMBER]]="","",IF(T_EMPLOYEES[[#This Row],[ERROR]]="",0,1))</f>
        <v>0</v>
      </c>
      <c r="AP44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2" spans="1:42">
      <c r="A442" t="s">
        <v>1432</v>
      </c>
      <c r="B442" t="s">
        <v>1433</v>
      </c>
      <c r="C442">
        <v>1024572</v>
      </c>
      <c r="D442" t="s">
        <v>1434</v>
      </c>
      <c r="E442" s="26">
        <v>36333</v>
      </c>
      <c r="F442" s="26">
        <v>44246</v>
      </c>
      <c r="H442" t="s">
        <v>27</v>
      </c>
      <c r="I442" t="s">
        <v>54</v>
      </c>
      <c r="J442" t="s">
        <v>64</v>
      </c>
      <c r="K442" t="s">
        <v>77</v>
      </c>
      <c r="L442" s="27" t="s">
        <v>110</v>
      </c>
      <c r="M442" t="s">
        <v>46</v>
      </c>
      <c r="N442" t="s">
        <v>148</v>
      </c>
      <c r="O442" t="s">
        <v>48</v>
      </c>
      <c r="P442" t="s">
        <v>148</v>
      </c>
      <c r="Q442" t="s">
        <v>344</v>
      </c>
      <c r="R442" s="27">
        <v>4</v>
      </c>
      <c r="S442" s="1">
        <v>250000</v>
      </c>
      <c r="T442" s="1">
        <f ca="1">ROUND(T_EMPLOYEES[[#This Row],[EMP_CTC1]]/12, 0)</f>
        <v>20833</v>
      </c>
      <c r="U442" s="1">
        <v>150000</v>
      </c>
      <c r="V442" s="1" t="s">
        <v>1238</v>
      </c>
      <c r="W442" s="1" t="s">
        <v>1238</v>
      </c>
      <c r="X44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Preetam  Patel (1024572)</v>
      </c>
      <c r="Y442">
        <v>120000</v>
      </c>
      <c r="Z442" s="29">
        <f t="shared" ca="1" si="7"/>
        <v>40</v>
      </c>
      <c r="AA442">
        <f ca="1">IF(T_EMPLOYEES[[#This Row],[EMPLOYEE NUMBER]]="","",ROW(T_EMPLOYEES[[#This Row],[EMPLOYEE LABEL]])-ROW(T_EMPLOYEES[[#Headers],[EMPLOYEE LABEL]]))</f>
        <v>439</v>
      </c>
      <c r="AB442">
        <f ca="1">IF(T_EMPLOYEES[[#This Row],[EMPLOYEE NUMBER]]="","",IF(COUNTIF(T_EMPLOYEES[EMPLOYEE NUMBER],T_EMPLOYEES[[#This Row],[EMPLOYEE NUMBER]])&gt;1,1,0))</f>
        <v>0</v>
      </c>
      <c r="AC442">
        <f ca="1">IF(T_EMPLOYEES[[#This Row],[EMPLOYEE NUMBER]]="","",IF(AND(T_EMPLOYEES[[#This Row],[DATE OF BIRTH]]&gt;0,T_EMPLOYEES[[#This Row],[DATE OF BIRTH]]&lt;TODAY()),0,1))</f>
        <v>0</v>
      </c>
      <c r="AD442">
        <f ca="1">IF(T_EMPLOYEES[[#This Row],[EMPLOYEE NUMBER]]="","",IF(AND(T_EMPLOYEES[[#This Row],[START DATE]]&gt;0,T_EMPLOYEES[[#This Row],[START DATE]]&lt;TODAY()+60),0,1))</f>
        <v>0</v>
      </c>
      <c r="AE442">
        <f ca="1">IF(T_EMPLOYEES[[#This Row],[EMPLOYEE NUMBER]]="","",MATCH(T_EMPLOYEES[[#This Row],[GENDER]],L_GENDER,0))</f>
        <v>1</v>
      </c>
      <c r="AF442">
        <f ca="1">IF(T_EMPLOYEES[[#This Row],[EMPLOYEE NUMBER]]="","",MATCH(T_EMPLOYEES[[#This Row],[HIRE SOURCE]],L_HIRESOURCE,0))</f>
        <v>4</v>
      </c>
      <c r="AG442">
        <f ca="1">IF(T_EMPLOYEES[[#This Row],[EMPLOYEE NUMBER]]="","",MATCH(T_EMPLOYEES[[#This Row],[ETHNICITY]],L_ETHNICITY,0))</f>
        <v>3</v>
      </c>
      <c r="AH442">
        <f ca="1">IF(T_EMPLOYEES[[#This Row],[EMPLOYEE NUMBER]]="","",MATCH(T_EMPLOYEES[[#This Row],[LOCATION]],L_LOCATION,0))</f>
        <v>5</v>
      </c>
      <c r="AI442">
        <f ca="1">IF(T_EMPLOYEES[[#This Row],[EMPLOYEE NUMBER]]="","",MATCH(T_EMPLOYEES[[#This Row],[DEPARTMENT]],L_DEPARTMENT,0))</f>
        <v>10</v>
      </c>
      <c r="AJ442">
        <f ca="1">IF(T_EMPLOYEES[[#This Row],[EMPLOYEE NUMBER]]="","",MATCH(T_EMPLOYEES[[#This Row],[JOB TYPE]],L_JOBTYPE,0))</f>
        <v>2</v>
      </c>
      <c r="AK442">
        <f ca="1">IF(T_EMPLOYEES[[#This Row],[EMPLOYEE NUMBER]]="","",MATCH(T_EMPLOYEES[[#This Row],[JOB CATEGORY]],L_JOBCATEGORY,0))</f>
        <v>27</v>
      </c>
      <c r="AL442">
        <f ca="1">IF(T_EMPLOYEES[[#This Row],[EMPLOYEE NUMBER]]="","",MATCH(T_EMPLOYEES[[#This Row],[JOB LEVEL]],L_JOBLEVEL,0))</f>
        <v>2</v>
      </c>
      <c r="AM442">
        <f ca="1">IF(T_EMPLOYEES[[#This Row],[EMPLOYEE NUMBER]]="","",MATCH(T_EMPLOYEES[[#This Row],[JOB TITLE]],L_JOBTITLE,0))</f>
        <v>27</v>
      </c>
      <c r="AN442">
        <f ca="1">IF(T_EMPLOYEES[[#This Row],[EMPLOYEE NUMBER]]="","",MATCH(T_EMPLOYEES[[#This Row],[MANAGER]],L_EMPLABELS,0))</f>
        <v>12</v>
      </c>
      <c r="AO442">
        <f ca="1">IF(T_EMPLOYEES[[#This Row],[EMPLOYEE NUMBER]]="","",IF(T_EMPLOYEES[[#This Row],[ERROR]]="",0,1))</f>
        <v>0</v>
      </c>
      <c r="AP44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3" spans="1:42">
      <c r="A443" t="s">
        <v>1435</v>
      </c>
      <c r="B443" t="s">
        <v>1436</v>
      </c>
      <c r="C443">
        <v>1026246</v>
      </c>
      <c r="D443" t="s">
        <v>1437</v>
      </c>
      <c r="E443" s="26">
        <v>36333</v>
      </c>
      <c r="F443" s="26">
        <v>44433</v>
      </c>
      <c r="H443" t="s">
        <v>27</v>
      </c>
      <c r="I443" t="s">
        <v>54</v>
      </c>
      <c r="J443" t="s">
        <v>64</v>
      </c>
      <c r="K443" t="s">
        <v>30</v>
      </c>
      <c r="L443" s="27" t="s">
        <v>45</v>
      </c>
      <c r="M443" t="s">
        <v>46</v>
      </c>
      <c r="N443" t="s">
        <v>160</v>
      </c>
      <c r="O443" t="s">
        <v>48</v>
      </c>
      <c r="P443" t="s">
        <v>160</v>
      </c>
      <c r="Q443" t="s">
        <v>937</v>
      </c>
      <c r="R443">
        <v>4</v>
      </c>
      <c r="S443" s="1">
        <v>250000</v>
      </c>
      <c r="T443" s="1">
        <f ca="1">ROUND(T_EMPLOYEES[[#This Row],[EMP_CTC1]]/12, 0)</f>
        <v>20833</v>
      </c>
      <c r="U443" s="1">
        <v>150000</v>
      </c>
      <c r="V443" s="1" t="s">
        <v>1238</v>
      </c>
      <c r="W443" s="1" t="s">
        <v>1238</v>
      </c>
      <c r="X44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Prithvi Raj C S (1026246)</v>
      </c>
      <c r="Y443">
        <v>120000</v>
      </c>
      <c r="Z443" s="29">
        <f t="shared" ca="1" si="7"/>
        <v>40</v>
      </c>
      <c r="AA443">
        <f ca="1">IF(T_EMPLOYEES[[#This Row],[EMPLOYEE NUMBER]]="","",ROW(T_EMPLOYEES[[#This Row],[EMPLOYEE LABEL]])-ROW(T_EMPLOYEES[[#Headers],[EMPLOYEE LABEL]]))</f>
        <v>440</v>
      </c>
      <c r="AB443">
        <f ca="1">IF(T_EMPLOYEES[[#This Row],[EMPLOYEE NUMBER]]="","",IF(COUNTIF(T_EMPLOYEES[EMPLOYEE NUMBER],T_EMPLOYEES[[#This Row],[EMPLOYEE NUMBER]])&gt;1,1,0))</f>
        <v>0</v>
      </c>
      <c r="AC443">
        <f ca="1">IF(T_EMPLOYEES[[#This Row],[EMPLOYEE NUMBER]]="","",IF(AND(T_EMPLOYEES[[#This Row],[DATE OF BIRTH]]&gt;0,T_EMPLOYEES[[#This Row],[DATE OF BIRTH]]&lt;TODAY()),0,1))</f>
        <v>0</v>
      </c>
      <c r="AD443">
        <f ca="1">IF(T_EMPLOYEES[[#This Row],[EMPLOYEE NUMBER]]="","",IF(AND(T_EMPLOYEES[[#This Row],[START DATE]]&gt;0,T_EMPLOYEES[[#This Row],[START DATE]]&lt;TODAY()+60),0,1))</f>
        <v>0</v>
      </c>
      <c r="AE443">
        <f ca="1">IF(T_EMPLOYEES[[#This Row],[EMPLOYEE NUMBER]]="","",MATCH(T_EMPLOYEES[[#This Row],[GENDER]],L_GENDER,0))</f>
        <v>1</v>
      </c>
      <c r="AF443">
        <f ca="1">IF(T_EMPLOYEES[[#This Row],[EMPLOYEE NUMBER]]="","",MATCH(T_EMPLOYEES[[#This Row],[HIRE SOURCE]],L_HIRESOURCE,0))</f>
        <v>4</v>
      </c>
      <c r="AG443">
        <f ca="1">IF(T_EMPLOYEES[[#This Row],[EMPLOYEE NUMBER]]="","",MATCH(T_EMPLOYEES[[#This Row],[ETHNICITY]],L_ETHNICITY,0))</f>
        <v>3</v>
      </c>
      <c r="AH443">
        <f ca="1">IF(T_EMPLOYEES[[#This Row],[EMPLOYEE NUMBER]]="","",MATCH(T_EMPLOYEES[[#This Row],[LOCATION]],L_LOCATION,0))</f>
        <v>1</v>
      </c>
      <c r="AI443">
        <f ca="1">IF(T_EMPLOYEES[[#This Row],[EMPLOYEE NUMBER]]="","",MATCH(T_EMPLOYEES[[#This Row],[DEPARTMENT]],L_DEPARTMENT,0))</f>
        <v>2</v>
      </c>
      <c r="AJ443">
        <f ca="1">IF(T_EMPLOYEES[[#This Row],[EMPLOYEE NUMBER]]="","",MATCH(T_EMPLOYEES[[#This Row],[JOB TYPE]],L_JOBTYPE,0))</f>
        <v>2</v>
      </c>
      <c r="AK443">
        <f ca="1">IF(T_EMPLOYEES[[#This Row],[EMPLOYEE NUMBER]]="","",MATCH(T_EMPLOYEES[[#This Row],[JOB CATEGORY]],L_JOBCATEGORY,0))</f>
        <v>39</v>
      </c>
      <c r="AL443">
        <f ca="1">IF(T_EMPLOYEES[[#This Row],[EMPLOYEE NUMBER]]="","",MATCH(T_EMPLOYEES[[#This Row],[JOB LEVEL]],L_JOBLEVEL,0))</f>
        <v>2</v>
      </c>
      <c r="AM443">
        <f ca="1">IF(T_EMPLOYEES[[#This Row],[EMPLOYEE NUMBER]]="","",MATCH(T_EMPLOYEES[[#This Row],[JOB TITLE]],L_JOBTITLE,0))</f>
        <v>39</v>
      </c>
      <c r="AN443">
        <f ca="1">IF(T_EMPLOYEES[[#This Row],[EMPLOYEE NUMBER]]="","",MATCH(T_EMPLOYEES[[#This Row],[MANAGER]],L_EMPLABELS,0))</f>
        <v>132</v>
      </c>
      <c r="AO443">
        <f ca="1">IF(T_EMPLOYEES[[#This Row],[EMPLOYEE NUMBER]]="","",IF(T_EMPLOYEES[[#This Row],[ERROR]]="",0,1))</f>
        <v>0</v>
      </c>
      <c r="AP44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4" spans="1:42">
      <c r="A444" t="s">
        <v>1438</v>
      </c>
      <c r="B444" t="s">
        <v>1439</v>
      </c>
      <c r="C444">
        <v>1028935</v>
      </c>
      <c r="D444" t="s">
        <v>1440</v>
      </c>
      <c r="E444" s="26">
        <v>36333</v>
      </c>
      <c r="F444" s="26">
        <v>44677</v>
      </c>
      <c r="H444" t="s">
        <v>40</v>
      </c>
      <c r="I444" t="s">
        <v>54</v>
      </c>
      <c r="J444" t="s">
        <v>64</v>
      </c>
      <c r="K444" t="s">
        <v>77</v>
      </c>
      <c r="L444" s="27" t="s">
        <v>110</v>
      </c>
      <c r="M444" t="s">
        <v>46</v>
      </c>
      <c r="N444" t="s">
        <v>148</v>
      </c>
      <c r="O444" t="s">
        <v>48</v>
      </c>
      <c r="P444" t="s">
        <v>148</v>
      </c>
      <c r="Q444" t="s">
        <v>344</v>
      </c>
      <c r="R444" s="27">
        <v>4</v>
      </c>
      <c r="S444" s="1">
        <v>250000</v>
      </c>
      <c r="T444" s="1">
        <f ca="1">ROUND(T_EMPLOYEES[[#This Row],[EMP_CTC1]]/12, 0)</f>
        <v>20833</v>
      </c>
      <c r="U444" s="1">
        <v>150000</v>
      </c>
      <c r="V444" s="1" t="s">
        <v>1238</v>
      </c>
      <c r="W444" s="1" t="s">
        <v>1238</v>
      </c>
      <c r="X44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Chitturi Sriramya (1028935)</v>
      </c>
      <c r="Y444">
        <v>120000</v>
      </c>
      <c r="Z444" s="29">
        <f t="shared" ca="1" si="7"/>
        <v>40</v>
      </c>
      <c r="AA444">
        <f ca="1">IF(T_EMPLOYEES[[#This Row],[EMPLOYEE NUMBER]]="","",ROW(T_EMPLOYEES[[#This Row],[EMPLOYEE LABEL]])-ROW(T_EMPLOYEES[[#Headers],[EMPLOYEE LABEL]]))</f>
        <v>441</v>
      </c>
      <c r="AB444">
        <f ca="1">IF(T_EMPLOYEES[[#This Row],[EMPLOYEE NUMBER]]="","",IF(COUNTIF(T_EMPLOYEES[EMPLOYEE NUMBER],T_EMPLOYEES[[#This Row],[EMPLOYEE NUMBER]])&gt;1,1,0))</f>
        <v>0</v>
      </c>
      <c r="AC444">
        <f ca="1">IF(T_EMPLOYEES[[#This Row],[EMPLOYEE NUMBER]]="","",IF(AND(T_EMPLOYEES[[#This Row],[DATE OF BIRTH]]&gt;0,T_EMPLOYEES[[#This Row],[DATE OF BIRTH]]&lt;TODAY()),0,1))</f>
        <v>0</v>
      </c>
      <c r="AD444">
        <f ca="1">IF(T_EMPLOYEES[[#This Row],[EMPLOYEE NUMBER]]="","",IF(AND(T_EMPLOYEES[[#This Row],[START DATE]]&gt;0,T_EMPLOYEES[[#This Row],[START DATE]]&lt;TODAY()+60),0,1))</f>
        <v>0</v>
      </c>
      <c r="AE444">
        <f ca="1">IF(T_EMPLOYEES[[#This Row],[EMPLOYEE NUMBER]]="","",MATCH(T_EMPLOYEES[[#This Row],[GENDER]],L_GENDER,0))</f>
        <v>2</v>
      </c>
      <c r="AF444">
        <f ca="1">IF(T_EMPLOYEES[[#This Row],[EMPLOYEE NUMBER]]="","",MATCH(T_EMPLOYEES[[#This Row],[HIRE SOURCE]],L_HIRESOURCE,0))</f>
        <v>4</v>
      </c>
      <c r="AG444">
        <f ca="1">IF(T_EMPLOYEES[[#This Row],[EMPLOYEE NUMBER]]="","",MATCH(T_EMPLOYEES[[#This Row],[ETHNICITY]],L_ETHNICITY,0))</f>
        <v>3</v>
      </c>
      <c r="AH444">
        <f ca="1">IF(T_EMPLOYEES[[#This Row],[EMPLOYEE NUMBER]]="","",MATCH(T_EMPLOYEES[[#This Row],[LOCATION]],L_LOCATION,0))</f>
        <v>5</v>
      </c>
      <c r="AI444">
        <f ca="1">IF(T_EMPLOYEES[[#This Row],[EMPLOYEE NUMBER]]="","",MATCH(T_EMPLOYEES[[#This Row],[DEPARTMENT]],L_DEPARTMENT,0))</f>
        <v>10</v>
      </c>
      <c r="AJ444">
        <f ca="1">IF(T_EMPLOYEES[[#This Row],[EMPLOYEE NUMBER]]="","",MATCH(T_EMPLOYEES[[#This Row],[JOB TYPE]],L_JOBTYPE,0))</f>
        <v>2</v>
      </c>
      <c r="AK444">
        <f ca="1">IF(T_EMPLOYEES[[#This Row],[EMPLOYEE NUMBER]]="","",MATCH(T_EMPLOYEES[[#This Row],[JOB CATEGORY]],L_JOBCATEGORY,0))</f>
        <v>27</v>
      </c>
      <c r="AL444">
        <f ca="1">IF(T_EMPLOYEES[[#This Row],[EMPLOYEE NUMBER]]="","",MATCH(T_EMPLOYEES[[#This Row],[JOB LEVEL]],L_JOBLEVEL,0))</f>
        <v>2</v>
      </c>
      <c r="AM444">
        <f ca="1">IF(T_EMPLOYEES[[#This Row],[EMPLOYEE NUMBER]]="","",MATCH(T_EMPLOYEES[[#This Row],[JOB TITLE]],L_JOBTITLE,0))</f>
        <v>27</v>
      </c>
      <c r="AN444">
        <f ca="1">IF(T_EMPLOYEES[[#This Row],[EMPLOYEE NUMBER]]="","",MATCH(T_EMPLOYEES[[#This Row],[MANAGER]],L_EMPLABELS,0))</f>
        <v>12</v>
      </c>
      <c r="AO444">
        <f ca="1">IF(T_EMPLOYEES[[#This Row],[EMPLOYEE NUMBER]]="","",IF(T_EMPLOYEES[[#This Row],[ERROR]]="",0,1))</f>
        <v>0</v>
      </c>
      <c r="AP44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5" spans="1:42">
      <c r="A445" t="s">
        <v>1441</v>
      </c>
      <c r="B445" t="s">
        <v>1442</v>
      </c>
      <c r="C445">
        <v>1027411</v>
      </c>
      <c r="D445" t="s">
        <v>1443</v>
      </c>
      <c r="E445" s="26">
        <v>36334</v>
      </c>
      <c r="F445" s="26">
        <v>44531</v>
      </c>
      <c r="H445" t="s">
        <v>27</v>
      </c>
      <c r="I445" t="s">
        <v>54</v>
      </c>
      <c r="J445" t="s">
        <v>64</v>
      </c>
      <c r="K445" t="s">
        <v>30</v>
      </c>
      <c r="L445" s="27" t="s">
        <v>45</v>
      </c>
      <c r="M445" t="s">
        <v>46</v>
      </c>
      <c r="N445" t="s">
        <v>148</v>
      </c>
      <c r="O445" t="s">
        <v>48</v>
      </c>
      <c r="P445" t="s">
        <v>148</v>
      </c>
      <c r="Q445" t="s">
        <v>1231</v>
      </c>
      <c r="R445">
        <v>4</v>
      </c>
      <c r="S445" s="1">
        <v>250000</v>
      </c>
      <c r="T445" s="1">
        <f ca="1">ROUND(T_EMPLOYEES[[#This Row],[EMP_CTC1]]/12, 0)</f>
        <v>20833</v>
      </c>
      <c r="U445" s="1">
        <v>150000</v>
      </c>
      <c r="V445" s="1" t="s">
        <v>1238</v>
      </c>
      <c r="W445" s="1" t="s">
        <v>1238</v>
      </c>
      <c r="X44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Bishal  Kalita (1027411)</v>
      </c>
      <c r="Y445">
        <v>120000</v>
      </c>
      <c r="Z445" s="29">
        <f t="shared" ca="1" si="7"/>
        <v>40</v>
      </c>
      <c r="AA445">
        <f ca="1">IF(T_EMPLOYEES[[#This Row],[EMPLOYEE NUMBER]]="","",ROW(T_EMPLOYEES[[#This Row],[EMPLOYEE LABEL]])-ROW(T_EMPLOYEES[[#Headers],[EMPLOYEE LABEL]]))</f>
        <v>442</v>
      </c>
      <c r="AB445">
        <f ca="1">IF(T_EMPLOYEES[[#This Row],[EMPLOYEE NUMBER]]="","",IF(COUNTIF(T_EMPLOYEES[EMPLOYEE NUMBER],T_EMPLOYEES[[#This Row],[EMPLOYEE NUMBER]])&gt;1,1,0))</f>
        <v>0</v>
      </c>
      <c r="AC445">
        <f ca="1">IF(T_EMPLOYEES[[#This Row],[EMPLOYEE NUMBER]]="","",IF(AND(T_EMPLOYEES[[#This Row],[DATE OF BIRTH]]&gt;0,T_EMPLOYEES[[#This Row],[DATE OF BIRTH]]&lt;TODAY()),0,1))</f>
        <v>0</v>
      </c>
      <c r="AD445">
        <f ca="1">IF(T_EMPLOYEES[[#This Row],[EMPLOYEE NUMBER]]="","",IF(AND(T_EMPLOYEES[[#This Row],[START DATE]]&gt;0,T_EMPLOYEES[[#This Row],[START DATE]]&lt;TODAY()+60),0,1))</f>
        <v>0</v>
      </c>
      <c r="AE445">
        <f ca="1">IF(T_EMPLOYEES[[#This Row],[EMPLOYEE NUMBER]]="","",MATCH(T_EMPLOYEES[[#This Row],[GENDER]],L_GENDER,0))</f>
        <v>1</v>
      </c>
      <c r="AF445">
        <f ca="1">IF(T_EMPLOYEES[[#This Row],[EMPLOYEE NUMBER]]="","",MATCH(T_EMPLOYEES[[#This Row],[HIRE SOURCE]],L_HIRESOURCE,0))</f>
        <v>4</v>
      </c>
      <c r="AG445">
        <f ca="1">IF(T_EMPLOYEES[[#This Row],[EMPLOYEE NUMBER]]="","",MATCH(T_EMPLOYEES[[#This Row],[ETHNICITY]],L_ETHNICITY,0))</f>
        <v>3</v>
      </c>
      <c r="AH445">
        <f ca="1">IF(T_EMPLOYEES[[#This Row],[EMPLOYEE NUMBER]]="","",MATCH(T_EMPLOYEES[[#This Row],[LOCATION]],L_LOCATION,0))</f>
        <v>1</v>
      </c>
      <c r="AI445">
        <f ca="1">IF(T_EMPLOYEES[[#This Row],[EMPLOYEE NUMBER]]="","",MATCH(T_EMPLOYEES[[#This Row],[DEPARTMENT]],L_DEPARTMENT,0))</f>
        <v>2</v>
      </c>
      <c r="AJ445">
        <f ca="1">IF(T_EMPLOYEES[[#This Row],[EMPLOYEE NUMBER]]="","",MATCH(T_EMPLOYEES[[#This Row],[JOB TYPE]],L_JOBTYPE,0))</f>
        <v>2</v>
      </c>
      <c r="AK445">
        <f ca="1">IF(T_EMPLOYEES[[#This Row],[EMPLOYEE NUMBER]]="","",MATCH(T_EMPLOYEES[[#This Row],[JOB CATEGORY]],L_JOBCATEGORY,0))</f>
        <v>27</v>
      </c>
      <c r="AL445">
        <f ca="1">IF(T_EMPLOYEES[[#This Row],[EMPLOYEE NUMBER]]="","",MATCH(T_EMPLOYEES[[#This Row],[JOB LEVEL]],L_JOBLEVEL,0))</f>
        <v>2</v>
      </c>
      <c r="AM445">
        <f ca="1">IF(T_EMPLOYEES[[#This Row],[EMPLOYEE NUMBER]]="","",MATCH(T_EMPLOYEES[[#This Row],[JOB TITLE]],L_JOBTITLE,0))</f>
        <v>27</v>
      </c>
      <c r="AN445">
        <f ca="1">IF(T_EMPLOYEES[[#This Row],[EMPLOYEE NUMBER]]="","",MATCH(T_EMPLOYEES[[#This Row],[MANAGER]],L_EMPLABELS,0))</f>
        <v>270</v>
      </c>
      <c r="AO445">
        <f ca="1">IF(T_EMPLOYEES[[#This Row],[EMPLOYEE NUMBER]]="","",IF(T_EMPLOYEES[[#This Row],[ERROR]]="",0,1))</f>
        <v>0</v>
      </c>
      <c r="AP44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6" spans="1:42">
      <c r="A446" t="s">
        <v>1444</v>
      </c>
      <c r="B446" t="s">
        <v>1445</v>
      </c>
      <c r="C446">
        <v>1033575</v>
      </c>
      <c r="D446" t="s">
        <v>1446</v>
      </c>
      <c r="E446" s="26">
        <v>36347</v>
      </c>
      <c r="F446" s="26">
        <v>45189</v>
      </c>
      <c r="H446" t="s">
        <v>40</v>
      </c>
      <c r="I446" t="s">
        <v>54</v>
      </c>
      <c r="J446" t="s">
        <v>64</v>
      </c>
      <c r="K446" t="s">
        <v>30</v>
      </c>
      <c r="L446" s="27" t="s">
        <v>45</v>
      </c>
      <c r="M446" t="s">
        <v>46</v>
      </c>
      <c r="N446" t="s">
        <v>160</v>
      </c>
      <c r="O446" t="s">
        <v>48</v>
      </c>
      <c r="P446" t="s">
        <v>160</v>
      </c>
      <c r="Q446" t="s">
        <v>311</v>
      </c>
      <c r="R446" s="27">
        <v>4</v>
      </c>
      <c r="S446" s="1">
        <v>250000</v>
      </c>
      <c r="T446" s="1">
        <f ca="1">ROUND(T_EMPLOYEES[[#This Row],[EMP_CTC1]]/12, 0)</f>
        <v>20833</v>
      </c>
      <c r="U446" s="1">
        <v>150000</v>
      </c>
      <c r="V446" s="1" t="s">
        <v>1238</v>
      </c>
      <c r="W446" s="1" t="s">
        <v>1238</v>
      </c>
      <c r="X44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Pooja  Krishan (1033575)</v>
      </c>
      <c r="Y446">
        <v>120000</v>
      </c>
      <c r="Z446" s="29">
        <f t="shared" ca="1" si="7"/>
        <v>40</v>
      </c>
      <c r="AA446">
        <f ca="1">IF(T_EMPLOYEES[[#This Row],[EMPLOYEE NUMBER]]="","",ROW(T_EMPLOYEES[[#This Row],[EMPLOYEE LABEL]])-ROW(T_EMPLOYEES[[#Headers],[EMPLOYEE LABEL]]))</f>
        <v>443</v>
      </c>
      <c r="AB446">
        <f ca="1">IF(T_EMPLOYEES[[#This Row],[EMPLOYEE NUMBER]]="","",IF(COUNTIF(T_EMPLOYEES[EMPLOYEE NUMBER],T_EMPLOYEES[[#This Row],[EMPLOYEE NUMBER]])&gt;1,1,0))</f>
        <v>0</v>
      </c>
      <c r="AC446">
        <f ca="1">IF(T_EMPLOYEES[[#This Row],[EMPLOYEE NUMBER]]="","",IF(AND(T_EMPLOYEES[[#This Row],[DATE OF BIRTH]]&gt;0,T_EMPLOYEES[[#This Row],[DATE OF BIRTH]]&lt;TODAY()),0,1))</f>
        <v>0</v>
      </c>
      <c r="AD446">
        <f ca="1">IF(T_EMPLOYEES[[#This Row],[EMPLOYEE NUMBER]]="","",IF(AND(T_EMPLOYEES[[#This Row],[START DATE]]&gt;0,T_EMPLOYEES[[#This Row],[START DATE]]&lt;TODAY()+60),0,1))</f>
        <v>0</v>
      </c>
      <c r="AE446">
        <f ca="1">IF(T_EMPLOYEES[[#This Row],[EMPLOYEE NUMBER]]="","",MATCH(T_EMPLOYEES[[#This Row],[GENDER]],L_GENDER,0))</f>
        <v>2</v>
      </c>
      <c r="AF446">
        <f ca="1">IF(T_EMPLOYEES[[#This Row],[EMPLOYEE NUMBER]]="","",MATCH(T_EMPLOYEES[[#This Row],[HIRE SOURCE]],L_HIRESOURCE,0))</f>
        <v>4</v>
      </c>
      <c r="AG446">
        <f ca="1">IF(T_EMPLOYEES[[#This Row],[EMPLOYEE NUMBER]]="","",MATCH(T_EMPLOYEES[[#This Row],[ETHNICITY]],L_ETHNICITY,0))</f>
        <v>3</v>
      </c>
      <c r="AH446">
        <f ca="1">IF(T_EMPLOYEES[[#This Row],[EMPLOYEE NUMBER]]="","",MATCH(T_EMPLOYEES[[#This Row],[LOCATION]],L_LOCATION,0))</f>
        <v>1</v>
      </c>
      <c r="AI446">
        <f ca="1">IF(T_EMPLOYEES[[#This Row],[EMPLOYEE NUMBER]]="","",MATCH(T_EMPLOYEES[[#This Row],[DEPARTMENT]],L_DEPARTMENT,0))</f>
        <v>2</v>
      </c>
      <c r="AJ446">
        <f ca="1">IF(T_EMPLOYEES[[#This Row],[EMPLOYEE NUMBER]]="","",MATCH(T_EMPLOYEES[[#This Row],[JOB TYPE]],L_JOBTYPE,0))</f>
        <v>2</v>
      </c>
      <c r="AK446">
        <f ca="1">IF(T_EMPLOYEES[[#This Row],[EMPLOYEE NUMBER]]="","",MATCH(T_EMPLOYEES[[#This Row],[JOB CATEGORY]],L_JOBCATEGORY,0))</f>
        <v>39</v>
      </c>
      <c r="AL446">
        <f ca="1">IF(T_EMPLOYEES[[#This Row],[EMPLOYEE NUMBER]]="","",MATCH(T_EMPLOYEES[[#This Row],[JOB LEVEL]],L_JOBLEVEL,0))</f>
        <v>2</v>
      </c>
      <c r="AM446">
        <f ca="1">IF(T_EMPLOYEES[[#This Row],[EMPLOYEE NUMBER]]="","",MATCH(T_EMPLOYEES[[#This Row],[JOB TITLE]],L_JOBTITLE,0))</f>
        <v>39</v>
      </c>
      <c r="AN446">
        <f ca="1">IF(T_EMPLOYEES[[#This Row],[EMPLOYEE NUMBER]]="","",MATCH(T_EMPLOYEES[[#This Row],[MANAGER]],L_EMPLABELS,0))</f>
        <v>2</v>
      </c>
      <c r="AO446">
        <f ca="1">IF(T_EMPLOYEES[[#This Row],[EMPLOYEE NUMBER]]="","",IF(T_EMPLOYEES[[#This Row],[ERROR]]="",0,1))</f>
        <v>0</v>
      </c>
      <c r="AP44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7" spans="1:42">
      <c r="A447" t="s">
        <v>550</v>
      </c>
      <c r="B447" t="s">
        <v>1447</v>
      </c>
      <c r="C447">
        <v>1030259</v>
      </c>
      <c r="D447" t="s">
        <v>1448</v>
      </c>
      <c r="E447" s="26">
        <v>36351</v>
      </c>
      <c r="F447" s="26">
        <v>44819</v>
      </c>
      <c r="H447" t="s">
        <v>27</v>
      </c>
      <c r="I447" t="s">
        <v>54</v>
      </c>
      <c r="J447" t="s">
        <v>64</v>
      </c>
      <c r="K447" t="s">
        <v>30</v>
      </c>
      <c r="L447" s="27" t="s">
        <v>130</v>
      </c>
      <c r="M447" t="s">
        <v>46</v>
      </c>
      <c r="N447" t="s">
        <v>151</v>
      </c>
      <c r="O447" t="s">
        <v>36</v>
      </c>
      <c r="P447" t="s">
        <v>151</v>
      </c>
      <c r="Q447" t="s">
        <v>337</v>
      </c>
      <c r="R447">
        <v>0</v>
      </c>
      <c r="S447" s="1">
        <v>1200000</v>
      </c>
      <c r="T447" s="1">
        <f ca="1">ROUND(T_EMPLOYEES[[#This Row],[EMP_CTC1]]/12, 0)</f>
        <v>100000</v>
      </c>
      <c r="U447" s="1">
        <v>1000000</v>
      </c>
      <c r="V447" s="1" t="s">
        <v>1238</v>
      </c>
      <c r="W447" s="1" t="s">
        <v>1238</v>
      </c>
      <c r="X44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Abhishek Raj (1030259)</v>
      </c>
      <c r="Y447">
        <v>120000</v>
      </c>
      <c r="Z447" s="29">
        <f t="shared" ca="1" si="7"/>
        <v>16.666666666666664</v>
      </c>
      <c r="AA447">
        <f ca="1">IF(T_EMPLOYEES[[#This Row],[EMPLOYEE NUMBER]]="","",ROW(T_EMPLOYEES[[#This Row],[EMPLOYEE LABEL]])-ROW(T_EMPLOYEES[[#Headers],[EMPLOYEE LABEL]]))</f>
        <v>444</v>
      </c>
      <c r="AB447">
        <f ca="1">IF(T_EMPLOYEES[[#This Row],[EMPLOYEE NUMBER]]="","",IF(COUNTIF(T_EMPLOYEES[EMPLOYEE NUMBER],T_EMPLOYEES[[#This Row],[EMPLOYEE NUMBER]])&gt;1,1,0))</f>
        <v>0</v>
      </c>
      <c r="AC447">
        <f ca="1">IF(T_EMPLOYEES[[#This Row],[EMPLOYEE NUMBER]]="","",IF(AND(T_EMPLOYEES[[#This Row],[DATE OF BIRTH]]&gt;0,T_EMPLOYEES[[#This Row],[DATE OF BIRTH]]&lt;TODAY()),0,1))</f>
        <v>0</v>
      </c>
      <c r="AD447">
        <f ca="1">IF(T_EMPLOYEES[[#This Row],[EMPLOYEE NUMBER]]="","",IF(AND(T_EMPLOYEES[[#This Row],[START DATE]]&gt;0,T_EMPLOYEES[[#This Row],[START DATE]]&lt;TODAY()+60),0,1))</f>
        <v>0</v>
      </c>
      <c r="AE447">
        <f ca="1">IF(T_EMPLOYEES[[#This Row],[EMPLOYEE NUMBER]]="","",MATCH(T_EMPLOYEES[[#This Row],[GENDER]],L_GENDER,0))</f>
        <v>1</v>
      </c>
      <c r="AF447">
        <f ca="1">IF(T_EMPLOYEES[[#This Row],[EMPLOYEE NUMBER]]="","",MATCH(T_EMPLOYEES[[#This Row],[HIRE SOURCE]],L_HIRESOURCE,0))</f>
        <v>4</v>
      </c>
      <c r="AG447">
        <f ca="1">IF(T_EMPLOYEES[[#This Row],[EMPLOYEE NUMBER]]="","",MATCH(T_EMPLOYEES[[#This Row],[ETHNICITY]],L_ETHNICITY,0))</f>
        <v>3</v>
      </c>
      <c r="AH447">
        <f ca="1">IF(T_EMPLOYEES[[#This Row],[EMPLOYEE NUMBER]]="","",MATCH(T_EMPLOYEES[[#This Row],[LOCATION]],L_LOCATION,0))</f>
        <v>1</v>
      </c>
      <c r="AI447">
        <f ca="1">IF(T_EMPLOYEES[[#This Row],[EMPLOYEE NUMBER]]="","",MATCH(T_EMPLOYEES[[#This Row],[DEPARTMENT]],L_DEPARTMENT,0))</f>
        <v>16</v>
      </c>
      <c r="AJ447">
        <f ca="1">IF(T_EMPLOYEES[[#This Row],[EMPLOYEE NUMBER]]="","",MATCH(T_EMPLOYEES[[#This Row],[JOB TYPE]],L_JOBTYPE,0))</f>
        <v>2</v>
      </c>
      <c r="AK447">
        <f ca="1">IF(T_EMPLOYEES[[#This Row],[EMPLOYEE NUMBER]]="","",MATCH(T_EMPLOYEES[[#This Row],[JOB CATEGORY]],L_JOBCATEGORY,0))</f>
        <v>30</v>
      </c>
      <c r="AL447">
        <f ca="1">IF(T_EMPLOYEES[[#This Row],[EMPLOYEE NUMBER]]="","",MATCH(T_EMPLOYEES[[#This Row],[JOB LEVEL]],L_JOBLEVEL,0))</f>
        <v>1</v>
      </c>
      <c r="AM447">
        <f ca="1">IF(T_EMPLOYEES[[#This Row],[EMPLOYEE NUMBER]]="","",MATCH(T_EMPLOYEES[[#This Row],[JOB TITLE]],L_JOBTITLE,0))</f>
        <v>30</v>
      </c>
      <c r="AN447">
        <f ca="1">IF(T_EMPLOYEES[[#This Row],[EMPLOYEE NUMBER]]="","",MATCH(T_EMPLOYEES[[#This Row],[MANAGER]],L_EMPLABELS,0))</f>
        <v>48</v>
      </c>
      <c r="AO447">
        <f ca="1">IF(T_EMPLOYEES[[#This Row],[EMPLOYEE NUMBER]]="","",IF(T_EMPLOYEES[[#This Row],[ERROR]]="",0,1))</f>
        <v>0</v>
      </c>
      <c r="AP44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8" spans="1:42">
      <c r="A448" t="s">
        <v>1449</v>
      </c>
      <c r="B448" t="s">
        <v>1262</v>
      </c>
      <c r="C448">
        <v>1029890</v>
      </c>
      <c r="D448" t="s">
        <v>1450</v>
      </c>
      <c r="E448" s="26">
        <v>36353</v>
      </c>
      <c r="F448" s="26">
        <v>44791</v>
      </c>
      <c r="H448" t="s">
        <v>27</v>
      </c>
      <c r="I448" t="s">
        <v>54</v>
      </c>
      <c r="J448" t="s">
        <v>64</v>
      </c>
      <c r="K448" t="s">
        <v>30</v>
      </c>
      <c r="L448" s="27" t="s">
        <v>45</v>
      </c>
      <c r="M448" t="s">
        <v>46</v>
      </c>
      <c r="N448" t="s">
        <v>151</v>
      </c>
      <c r="O448" t="s">
        <v>36</v>
      </c>
      <c r="P448" t="s">
        <v>151</v>
      </c>
      <c r="Q448" t="s">
        <v>1312</v>
      </c>
      <c r="R448" s="27">
        <v>0</v>
      </c>
      <c r="S448" s="1">
        <v>1200000</v>
      </c>
      <c r="T448" s="1">
        <f ca="1">ROUND(T_EMPLOYEES[[#This Row],[EMP_CTC1]]/12, 0)</f>
        <v>100000</v>
      </c>
      <c r="U448" s="1">
        <v>1000000</v>
      </c>
      <c r="V448" s="1" t="s">
        <v>1238</v>
      </c>
      <c r="W448" s="1" t="s">
        <v>1238</v>
      </c>
      <c r="X44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Palemkota Naveen (1029890)</v>
      </c>
      <c r="Y448">
        <v>120000</v>
      </c>
      <c r="Z448" s="29">
        <f t="shared" ca="1" si="7"/>
        <v>16.666666666666664</v>
      </c>
      <c r="AA448">
        <f ca="1">IF(T_EMPLOYEES[[#This Row],[EMPLOYEE NUMBER]]="","",ROW(T_EMPLOYEES[[#This Row],[EMPLOYEE LABEL]])-ROW(T_EMPLOYEES[[#Headers],[EMPLOYEE LABEL]]))</f>
        <v>445</v>
      </c>
      <c r="AB448">
        <f ca="1">IF(T_EMPLOYEES[[#This Row],[EMPLOYEE NUMBER]]="","",IF(COUNTIF(T_EMPLOYEES[EMPLOYEE NUMBER],T_EMPLOYEES[[#This Row],[EMPLOYEE NUMBER]])&gt;1,1,0))</f>
        <v>0</v>
      </c>
      <c r="AC448">
        <f ca="1">IF(T_EMPLOYEES[[#This Row],[EMPLOYEE NUMBER]]="","",IF(AND(T_EMPLOYEES[[#This Row],[DATE OF BIRTH]]&gt;0,T_EMPLOYEES[[#This Row],[DATE OF BIRTH]]&lt;TODAY()),0,1))</f>
        <v>0</v>
      </c>
      <c r="AD448">
        <f ca="1">IF(T_EMPLOYEES[[#This Row],[EMPLOYEE NUMBER]]="","",IF(AND(T_EMPLOYEES[[#This Row],[START DATE]]&gt;0,T_EMPLOYEES[[#This Row],[START DATE]]&lt;TODAY()+60),0,1))</f>
        <v>0</v>
      </c>
      <c r="AE448">
        <f ca="1">IF(T_EMPLOYEES[[#This Row],[EMPLOYEE NUMBER]]="","",MATCH(T_EMPLOYEES[[#This Row],[GENDER]],L_GENDER,0))</f>
        <v>1</v>
      </c>
      <c r="AF448">
        <f ca="1">IF(T_EMPLOYEES[[#This Row],[EMPLOYEE NUMBER]]="","",MATCH(T_EMPLOYEES[[#This Row],[HIRE SOURCE]],L_HIRESOURCE,0))</f>
        <v>4</v>
      </c>
      <c r="AG448">
        <f ca="1">IF(T_EMPLOYEES[[#This Row],[EMPLOYEE NUMBER]]="","",MATCH(T_EMPLOYEES[[#This Row],[ETHNICITY]],L_ETHNICITY,0))</f>
        <v>3</v>
      </c>
      <c r="AH448">
        <f ca="1">IF(T_EMPLOYEES[[#This Row],[EMPLOYEE NUMBER]]="","",MATCH(T_EMPLOYEES[[#This Row],[LOCATION]],L_LOCATION,0))</f>
        <v>1</v>
      </c>
      <c r="AI448">
        <f ca="1">IF(T_EMPLOYEES[[#This Row],[EMPLOYEE NUMBER]]="","",MATCH(T_EMPLOYEES[[#This Row],[DEPARTMENT]],L_DEPARTMENT,0))</f>
        <v>2</v>
      </c>
      <c r="AJ448">
        <f ca="1">IF(T_EMPLOYEES[[#This Row],[EMPLOYEE NUMBER]]="","",MATCH(T_EMPLOYEES[[#This Row],[JOB TYPE]],L_JOBTYPE,0))</f>
        <v>2</v>
      </c>
      <c r="AK448">
        <f ca="1">IF(T_EMPLOYEES[[#This Row],[EMPLOYEE NUMBER]]="","",MATCH(T_EMPLOYEES[[#This Row],[JOB CATEGORY]],L_JOBCATEGORY,0))</f>
        <v>30</v>
      </c>
      <c r="AL448">
        <f ca="1">IF(T_EMPLOYEES[[#This Row],[EMPLOYEE NUMBER]]="","",MATCH(T_EMPLOYEES[[#This Row],[JOB LEVEL]],L_JOBLEVEL,0))</f>
        <v>1</v>
      </c>
      <c r="AM448">
        <f ca="1">IF(T_EMPLOYEES[[#This Row],[EMPLOYEE NUMBER]]="","",MATCH(T_EMPLOYEES[[#This Row],[JOB TITLE]],L_JOBTITLE,0))</f>
        <v>30</v>
      </c>
      <c r="AN448">
        <f ca="1">IF(T_EMPLOYEES[[#This Row],[EMPLOYEE NUMBER]]="","",MATCH(T_EMPLOYEES[[#This Row],[MANAGER]],L_EMPLABELS,0))</f>
        <v>144</v>
      </c>
      <c r="AO448">
        <f ca="1">IF(T_EMPLOYEES[[#This Row],[EMPLOYEE NUMBER]]="","",IF(T_EMPLOYEES[[#This Row],[ERROR]]="",0,1))</f>
        <v>0</v>
      </c>
      <c r="AP44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9" spans="1:42">
      <c r="A449" t="s">
        <v>1451</v>
      </c>
      <c r="B449" t="s">
        <v>1452</v>
      </c>
      <c r="C449">
        <v>1030909</v>
      </c>
      <c r="D449" t="s">
        <v>1453</v>
      </c>
      <c r="E449" s="26">
        <v>36356</v>
      </c>
      <c r="F449" s="26">
        <v>44876</v>
      </c>
      <c r="H449" t="s">
        <v>27</v>
      </c>
      <c r="I449" t="s">
        <v>54</v>
      </c>
      <c r="J449" t="s">
        <v>64</v>
      </c>
      <c r="K449" t="s">
        <v>30</v>
      </c>
      <c r="L449" t="s">
        <v>130</v>
      </c>
      <c r="M449" t="s">
        <v>46</v>
      </c>
      <c r="N449" t="s">
        <v>151</v>
      </c>
      <c r="O449" t="s">
        <v>36</v>
      </c>
      <c r="P449" t="s">
        <v>151</v>
      </c>
      <c r="Q449" t="s">
        <v>337</v>
      </c>
      <c r="R449">
        <v>0</v>
      </c>
      <c r="S449" s="1">
        <v>1200000</v>
      </c>
      <c r="T449" s="1">
        <f ca="1">ROUND(T_EMPLOYEES[[#This Row],[EMP_CTC1]]/12, 0)</f>
        <v>100000</v>
      </c>
      <c r="U449" s="1">
        <v>1000000</v>
      </c>
      <c r="V449" s="1" t="s">
        <v>1238</v>
      </c>
      <c r="W449" s="1" t="s">
        <v>1238</v>
      </c>
      <c r="X44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Nakkanabone Sunil  (1030909)</v>
      </c>
      <c r="Y449">
        <v>120000</v>
      </c>
      <c r="Z449" s="29">
        <f t="shared" ca="1" si="7"/>
        <v>16.666666666666664</v>
      </c>
      <c r="AA449">
        <f ca="1">IF(T_EMPLOYEES[[#This Row],[EMPLOYEE NUMBER]]="","",ROW(T_EMPLOYEES[[#This Row],[EMPLOYEE LABEL]])-ROW(T_EMPLOYEES[[#Headers],[EMPLOYEE LABEL]]))</f>
        <v>446</v>
      </c>
      <c r="AB449">
        <f ca="1">IF(T_EMPLOYEES[[#This Row],[EMPLOYEE NUMBER]]="","",IF(COUNTIF(T_EMPLOYEES[EMPLOYEE NUMBER],T_EMPLOYEES[[#This Row],[EMPLOYEE NUMBER]])&gt;1,1,0))</f>
        <v>0</v>
      </c>
      <c r="AC449">
        <f ca="1">IF(T_EMPLOYEES[[#This Row],[EMPLOYEE NUMBER]]="","",IF(AND(T_EMPLOYEES[[#This Row],[DATE OF BIRTH]]&gt;0,T_EMPLOYEES[[#This Row],[DATE OF BIRTH]]&lt;TODAY()),0,1))</f>
        <v>0</v>
      </c>
      <c r="AD449">
        <f ca="1">IF(T_EMPLOYEES[[#This Row],[EMPLOYEE NUMBER]]="","",IF(AND(T_EMPLOYEES[[#This Row],[START DATE]]&gt;0,T_EMPLOYEES[[#This Row],[START DATE]]&lt;TODAY()+60),0,1))</f>
        <v>0</v>
      </c>
      <c r="AE449">
        <f ca="1">IF(T_EMPLOYEES[[#This Row],[EMPLOYEE NUMBER]]="","",MATCH(T_EMPLOYEES[[#This Row],[GENDER]],L_GENDER,0))</f>
        <v>1</v>
      </c>
      <c r="AF449">
        <f ca="1">IF(T_EMPLOYEES[[#This Row],[EMPLOYEE NUMBER]]="","",MATCH(T_EMPLOYEES[[#This Row],[HIRE SOURCE]],L_HIRESOURCE,0))</f>
        <v>4</v>
      </c>
      <c r="AG449">
        <f ca="1">IF(T_EMPLOYEES[[#This Row],[EMPLOYEE NUMBER]]="","",MATCH(T_EMPLOYEES[[#This Row],[ETHNICITY]],L_ETHNICITY,0))</f>
        <v>3</v>
      </c>
      <c r="AH449">
        <f ca="1">IF(T_EMPLOYEES[[#This Row],[EMPLOYEE NUMBER]]="","",MATCH(T_EMPLOYEES[[#This Row],[LOCATION]],L_LOCATION,0))</f>
        <v>1</v>
      </c>
      <c r="AI449">
        <f ca="1">IF(T_EMPLOYEES[[#This Row],[EMPLOYEE NUMBER]]="","",MATCH(T_EMPLOYEES[[#This Row],[DEPARTMENT]],L_DEPARTMENT,0))</f>
        <v>16</v>
      </c>
      <c r="AJ449">
        <f ca="1">IF(T_EMPLOYEES[[#This Row],[EMPLOYEE NUMBER]]="","",MATCH(T_EMPLOYEES[[#This Row],[JOB TYPE]],L_JOBTYPE,0))</f>
        <v>2</v>
      </c>
      <c r="AK449">
        <f ca="1">IF(T_EMPLOYEES[[#This Row],[EMPLOYEE NUMBER]]="","",MATCH(T_EMPLOYEES[[#This Row],[JOB CATEGORY]],L_JOBCATEGORY,0))</f>
        <v>30</v>
      </c>
      <c r="AL449">
        <f ca="1">IF(T_EMPLOYEES[[#This Row],[EMPLOYEE NUMBER]]="","",MATCH(T_EMPLOYEES[[#This Row],[JOB LEVEL]],L_JOBLEVEL,0))</f>
        <v>1</v>
      </c>
      <c r="AM449">
        <f ca="1">IF(T_EMPLOYEES[[#This Row],[EMPLOYEE NUMBER]]="","",MATCH(T_EMPLOYEES[[#This Row],[JOB TITLE]],L_JOBTITLE,0))</f>
        <v>30</v>
      </c>
      <c r="AN449">
        <f ca="1">IF(T_EMPLOYEES[[#This Row],[EMPLOYEE NUMBER]]="","",MATCH(T_EMPLOYEES[[#This Row],[MANAGER]],L_EMPLABELS,0))</f>
        <v>48</v>
      </c>
      <c r="AO449">
        <f ca="1">IF(T_EMPLOYEES[[#This Row],[EMPLOYEE NUMBER]]="","",IF(T_EMPLOYEES[[#This Row],[ERROR]]="",0,1))</f>
        <v>0</v>
      </c>
      <c r="AP44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0" spans="1:42">
      <c r="A450" t="s">
        <v>1454</v>
      </c>
      <c r="B450" t="s">
        <v>1455</v>
      </c>
      <c r="C450">
        <v>1027409</v>
      </c>
      <c r="D450" t="s">
        <v>1456</v>
      </c>
      <c r="E450" s="26">
        <v>36360</v>
      </c>
      <c r="F450" s="26">
        <v>44531</v>
      </c>
      <c r="H450" t="s">
        <v>27</v>
      </c>
      <c r="I450" t="s">
        <v>54</v>
      </c>
      <c r="J450" t="s">
        <v>64</v>
      </c>
      <c r="K450" t="s">
        <v>30</v>
      </c>
      <c r="L450" s="27" t="s">
        <v>114</v>
      </c>
      <c r="M450" t="s">
        <v>46</v>
      </c>
      <c r="N450" t="s">
        <v>160</v>
      </c>
      <c r="O450" t="s">
        <v>48</v>
      </c>
      <c r="P450" t="s">
        <v>160</v>
      </c>
      <c r="Q450" t="s">
        <v>505</v>
      </c>
      <c r="R450" s="27">
        <v>4</v>
      </c>
      <c r="S450" s="1">
        <v>1200000</v>
      </c>
      <c r="T450" s="1">
        <f ca="1">ROUND(T_EMPLOYEES[[#This Row],[EMP_CTC1]]/12, 0)</f>
        <v>100000</v>
      </c>
      <c r="U450" s="1">
        <v>1000000</v>
      </c>
      <c r="V450" s="1" t="s">
        <v>1238</v>
      </c>
      <c r="W450" s="1" t="s">
        <v>1238</v>
      </c>
      <c r="X45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John Alsten Tauro (1027409)</v>
      </c>
      <c r="Y450">
        <v>120000</v>
      </c>
      <c r="Z450" s="29">
        <f t="shared" ca="1" si="7"/>
        <v>16.666666666666664</v>
      </c>
      <c r="AA450">
        <f ca="1">IF(T_EMPLOYEES[[#This Row],[EMPLOYEE NUMBER]]="","",ROW(T_EMPLOYEES[[#This Row],[EMPLOYEE LABEL]])-ROW(T_EMPLOYEES[[#Headers],[EMPLOYEE LABEL]]))</f>
        <v>447</v>
      </c>
      <c r="AB450">
        <f ca="1">IF(T_EMPLOYEES[[#This Row],[EMPLOYEE NUMBER]]="","",IF(COUNTIF(T_EMPLOYEES[EMPLOYEE NUMBER],T_EMPLOYEES[[#This Row],[EMPLOYEE NUMBER]])&gt;1,1,0))</f>
        <v>0</v>
      </c>
      <c r="AC450">
        <f ca="1">IF(T_EMPLOYEES[[#This Row],[EMPLOYEE NUMBER]]="","",IF(AND(T_EMPLOYEES[[#This Row],[DATE OF BIRTH]]&gt;0,T_EMPLOYEES[[#This Row],[DATE OF BIRTH]]&lt;TODAY()),0,1))</f>
        <v>0</v>
      </c>
      <c r="AD450">
        <f ca="1">IF(T_EMPLOYEES[[#This Row],[EMPLOYEE NUMBER]]="","",IF(AND(T_EMPLOYEES[[#This Row],[START DATE]]&gt;0,T_EMPLOYEES[[#This Row],[START DATE]]&lt;TODAY()+60),0,1))</f>
        <v>0</v>
      </c>
      <c r="AE450">
        <f ca="1">IF(T_EMPLOYEES[[#This Row],[EMPLOYEE NUMBER]]="","",MATCH(T_EMPLOYEES[[#This Row],[GENDER]],L_GENDER,0))</f>
        <v>1</v>
      </c>
      <c r="AF450">
        <f ca="1">IF(T_EMPLOYEES[[#This Row],[EMPLOYEE NUMBER]]="","",MATCH(T_EMPLOYEES[[#This Row],[HIRE SOURCE]],L_HIRESOURCE,0))</f>
        <v>4</v>
      </c>
      <c r="AG450">
        <f ca="1">IF(T_EMPLOYEES[[#This Row],[EMPLOYEE NUMBER]]="","",MATCH(T_EMPLOYEES[[#This Row],[ETHNICITY]],L_ETHNICITY,0))</f>
        <v>3</v>
      </c>
      <c r="AH450">
        <f ca="1">IF(T_EMPLOYEES[[#This Row],[EMPLOYEE NUMBER]]="","",MATCH(T_EMPLOYEES[[#This Row],[LOCATION]],L_LOCATION,0))</f>
        <v>1</v>
      </c>
      <c r="AI450">
        <f ca="1">IF(T_EMPLOYEES[[#This Row],[EMPLOYEE NUMBER]]="","",MATCH(T_EMPLOYEES[[#This Row],[DEPARTMENT]],L_DEPARTMENT,0))</f>
        <v>11</v>
      </c>
      <c r="AJ450">
        <f ca="1">IF(T_EMPLOYEES[[#This Row],[EMPLOYEE NUMBER]]="","",MATCH(T_EMPLOYEES[[#This Row],[JOB TYPE]],L_JOBTYPE,0))</f>
        <v>2</v>
      </c>
      <c r="AK450">
        <f ca="1">IF(T_EMPLOYEES[[#This Row],[EMPLOYEE NUMBER]]="","",MATCH(T_EMPLOYEES[[#This Row],[JOB CATEGORY]],L_JOBCATEGORY,0))</f>
        <v>39</v>
      </c>
      <c r="AL450">
        <f ca="1">IF(T_EMPLOYEES[[#This Row],[EMPLOYEE NUMBER]]="","",MATCH(T_EMPLOYEES[[#This Row],[JOB LEVEL]],L_JOBLEVEL,0))</f>
        <v>2</v>
      </c>
      <c r="AM450">
        <f ca="1">IF(T_EMPLOYEES[[#This Row],[EMPLOYEE NUMBER]]="","",MATCH(T_EMPLOYEES[[#This Row],[JOB TITLE]],L_JOBTITLE,0))</f>
        <v>39</v>
      </c>
      <c r="AN450">
        <f ca="1">IF(T_EMPLOYEES[[#This Row],[EMPLOYEE NUMBER]]="","",MATCH(T_EMPLOYEES[[#This Row],[MANAGER]],L_EMPLABELS,0))</f>
        <v>57</v>
      </c>
      <c r="AO450">
        <f ca="1">IF(T_EMPLOYEES[[#This Row],[EMPLOYEE NUMBER]]="","",IF(T_EMPLOYEES[[#This Row],[ERROR]]="",0,1))</f>
        <v>0</v>
      </c>
      <c r="AP45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1" spans="1:42">
      <c r="A451" t="s">
        <v>1457</v>
      </c>
      <c r="B451" t="s">
        <v>1458</v>
      </c>
      <c r="C451">
        <v>1026967</v>
      </c>
      <c r="D451" t="s">
        <v>1459</v>
      </c>
      <c r="E451" s="26">
        <v>36372</v>
      </c>
      <c r="F451" s="26">
        <v>44494</v>
      </c>
      <c r="H451" t="s">
        <v>40</v>
      </c>
      <c r="I451" t="s">
        <v>54</v>
      </c>
      <c r="J451" t="s">
        <v>64</v>
      </c>
      <c r="K451" t="s">
        <v>30</v>
      </c>
      <c r="L451" s="27" t="s">
        <v>45</v>
      </c>
      <c r="M451" t="s">
        <v>46</v>
      </c>
      <c r="N451" t="s">
        <v>148</v>
      </c>
      <c r="O451" t="s">
        <v>48</v>
      </c>
      <c r="P451" t="s">
        <v>148</v>
      </c>
      <c r="Q451" t="s">
        <v>778</v>
      </c>
      <c r="R451">
        <v>4</v>
      </c>
      <c r="S451" s="1">
        <v>1200000</v>
      </c>
      <c r="T451" s="1">
        <f ca="1">ROUND(T_EMPLOYEES[[#This Row],[EMP_CTC1]]/12, 0)</f>
        <v>100000</v>
      </c>
      <c r="U451" s="1">
        <v>1000000</v>
      </c>
      <c r="V451" s="1" t="s">
        <v>1238</v>
      </c>
      <c r="W451" s="1" t="s">
        <v>1238</v>
      </c>
      <c r="X45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Soundarya Ramachandr Kamble (1026967)</v>
      </c>
      <c r="Y451">
        <v>120000</v>
      </c>
      <c r="Z451" s="29">
        <f t="shared" ca="1" si="7"/>
        <v>16.666666666666664</v>
      </c>
      <c r="AA451">
        <f ca="1">IF(T_EMPLOYEES[[#This Row],[EMPLOYEE NUMBER]]="","",ROW(T_EMPLOYEES[[#This Row],[EMPLOYEE LABEL]])-ROW(T_EMPLOYEES[[#Headers],[EMPLOYEE LABEL]]))</f>
        <v>448</v>
      </c>
      <c r="AB451">
        <f ca="1">IF(T_EMPLOYEES[[#This Row],[EMPLOYEE NUMBER]]="","",IF(COUNTIF(T_EMPLOYEES[EMPLOYEE NUMBER],T_EMPLOYEES[[#This Row],[EMPLOYEE NUMBER]])&gt;1,1,0))</f>
        <v>0</v>
      </c>
      <c r="AC451">
        <f ca="1">IF(T_EMPLOYEES[[#This Row],[EMPLOYEE NUMBER]]="","",IF(AND(T_EMPLOYEES[[#This Row],[DATE OF BIRTH]]&gt;0,T_EMPLOYEES[[#This Row],[DATE OF BIRTH]]&lt;TODAY()),0,1))</f>
        <v>0</v>
      </c>
      <c r="AD451">
        <f ca="1">IF(T_EMPLOYEES[[#This Row],[EMPLOYEE NUMBER]]="","",IF(AND(T_EMPLOYEES[[#This Row],[START DATE]]&gt;0,T_EMPLOYEES[[#This Row],[START DATE]]&lt;TODAY()+60),0,1))</f>
        <v>0</v>
      </c>
      <c r="AE451">
        <f ca="1">IF(T_EMPLOYEES[[#This Row],[EMPLOYEE NUMBER]]="","",MATCH(T_EMPLOYEES[[#This Row],[GENDER]],L_GENDER,0))</f>
        <v>2</v>
      </c>
      <c r="AF451">
        <f ca="1">IF(T_EMPLOYEES[[#This Row],[EMPLOYEE NUMBER]]="","",MATCH(T_EMPLOYEES[[#This Row],[HIRE SOURCE]],L_HIRESOURCE,0))</f>
        <v>4</v>
      </c>
      <c r="AG451">
        <f ca="1">IF(T_EMPLOYEES[[#This Row],[EMPLOYEE NUMBER]]="","",MATCH(T_EMPLOYEES[[#This Row],[ETHNICITY]],L_ETHNICITY,0))</f>
        <v>3</v>
      </c>
      <c r="AH451">
        <f ca="1">IF(T_EMPLOYEES[[#This Row],[EMPLOYEE NUMBER]]="","",MATCH(T_EMPLOYEES[[#This Row],[LOCATION]],L_LOCATION,0))</f>
        <v>1</v>
      </c>
      <c r="AI451">
        <f ca="1">IF(T_EMPLOYEES[[#This Row],[EMPLOYEE NUMBER]]="","",MATCH(T_EMPLOYEES[[#This Row],[DEPARTMENT]],L_DEPARTMENT,0))</f>
        <v>2</v>
      </c>
      <c r="AJ451">
        <f ca="1">IF(T_EMPLOYEES[[#This Row],[EMPLOYEE NUMBER]]="","",MATCH(T_EMPLOYEES[[#This Row],[JOB TYPE]],L_JOBTYPE,0))</f>
        <v>2</v>
      </c>
      <c r="AK451">
        <f ca="1">IF(T_EMPLOYEES[[#This Row],[EMPLOYEE NUMBER]]="","",MATCH(T_EMPLOYEES[[#This Row],[JOB CATEGORY]],L_JOBCATEGORY,0))</f>
        <v>27</v>
      </c>
      <c r="AL451">
        <f ca="1">IF(T_EMPLOYEES[[#This Row],[EMPLOYEE NUMBER]]="","",MATCH(T_EMPLOYEES[[#This Row],[JOB LEVEL]],L_JOBLEVEL,0))</f>
        <v>2</v>
      </c>
      <c r="AM451">
        <f ca="1">IF(T_EMPLOYEES[[#This Row],[EMPLOYEE NUMBER]]="","",MATCH(T_EMPLOYEES[[#This Row],[JOB TITLE]],L_JOBTITLE,0))</f>
        <v>27</v>
      </c>
      <c r="AN451">
        <f ca="1">IF(T_EMPLOYEES[[#This Row],[EMPLOYEE NUMBER]]="","",MATCH(T_EMPLOYEES[[#This Row],[MANAGER]],L_EMPLABELS,0))</f>
        <v>198</v>
      </c>
      <c r="AO451">
        <f ca="1">IF(T_EMPLOYEES[[#This Row],[EMPLOYEE NUMBER]]="","",IF(T_EMPLOYEES[[#This Row],[ERROR]]="",0,1))</f>
        <v>0</v>
      </c>
      <c r="AP45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2" spans="1:42">
      <c r="A452" t="s">
        <v>1460</v>
      </c>
      <c r="B452" t="s">
        <v>1461</v>
      </c>
      <c r="C452">
        <v>1029885</v>
      </c>
      <c r="D452" t="s">
        <v>1462</v>
      </c>
      <c r="E452" s="26">
        <v>36373</v>
      </c>
      <c r="F452" s="26">
        <v>44791</v>
      </c>
      <c r="H452" t="s">
        <v>27</v>
      </c>
      <c r="I452" t="s">
        <v>54</v>
      </c>
      <c r="J452" t="s">
        <v>64</v>
      </c>
      <c r="K452" t="s">
        <v>30</v>
      </c>
      <c r="L452" s="27" t="s">
        <v>114</v>
      </c>
      <c r="M452" t="s">
        <v>46</v>
      </c>
      <c r="N452" t="s">
        <v>151</v>
      </c>
      <c r="O452" t="s">
        <v>36</v>
      </c>
      <c r="P452" t="s">
        <v>151</v>
      </c>
      <c r="Q452" t="s">
        <v>468</v>
      </c>
      <c r="R452" s="27">
        <v>0</v>
      </c>
      <c r="S452" s="1">
        <v>1200000</v>
      </c>
      <c r="T452" s="1">
        <f ca="1">ROUND(T_EMPLOYEES[[#This Row],[EMP_CTC1]]/12, 0)</f>
        <v>100000</v>
      </c>
      <c r="U452" s="1">
        <v>1000000</v>
      </c>
      <c r="V452" s="1" t="s">
        <v>1238</v>
      </c>
      <c r="W452" s="1" t="s">
        <v>1238</v>
      </c>
      <c r="X45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Kummari Yeshwanth (1029885)</v>
      </c>
      <c r="Y452">
        <v>120000</v>
      </c>
      <c r="Z452" s="29">
        <f t="shared" ca="1" si="7"/>
        <v>16.666666666666664</v>
      </c>
      <c r="AA452">
        <f ca="1">IF(T_EMPLOYEES[[#This Row],[EMPLOYEE NUMBER]]="","",ROW(T_EMPLOYEES[[#This Row],[EMPLOYEE LABEL]])-ROW(T_EMPLOYEES[[#Headers],[EMPLOYEE LABEL]]))</f>
        <v>449</v>
      </c>
      <c r="AB452">
        <f ca="1">IF(T_EMPLOYEES[[#This Row],[EMPLOYEE NUMBER]]="","",IF(COUNTIF(T_EMPLOYEES[EMPLOYEE NUMBER],T_EMPLOYEES[[#This Row],[EMPLOYEE NUMBER]])&gt;1,1,0))</f>
        <v>0</v>
      </c>
      <c r="AC452">
        <f ca="1">IF(T_EMPLOYEES[[#This Row],[EMPLOYEE NUMBER]]="","",IF(AND(T_EMPLOYEES[[#This Row],[DATE OF BIRTH]]&gt;0,T_EMPLOYEES[[#This Row],[DATE OF BIRTH]]&lt;TODAY()),0,1))</f>
        <v>0</v>
      </c>
      <c r="AD452">
        <f ca="1">IF(T_EMPLOYEES[[#This Row],[EMPLOYEE NUMBER]]="","",IF(AND(T_EMPLOYEES[[#This Row],[START DATE]]&gt;0,T_EMPLOYEES[[#This Row],[START DATE]]&lt;TODAY()+60),0,1))</f>
        <v>0</v>
      </c>
      <c r="AE452">
        <f ca="1">IF(T_EMPLOYEES[[#This Row],[EMPLOYEE NUMBER]]="","",MATCH(T_EMPLOYEES[[#This Row],[GENDER]],L_GENDER,0))</f>
        <v>1</v>
      </c>
      <c r="AF452">
        <f ca="1">IF(T_EMPLOYEES[[#This Row],[EMPLOYEE NUMBER]]="","",MATCH(T_EMPLOYEES[[#This Row],[HIRE SOURCE]],L_HIRESOURCE,0))</f>
        <v>4</v>
      </c>
      <c r="AG452">
        <f ca="1">IF(T_EMPLOYEES[[#This Row],[EMPLOYEE NUMBER]]="","",MATCH(T_EMPLOYEES[[#This Row],[ETHNICITY]],L_ETHNICITY,0))</f>
        <v>3</v>
      </c>
      <c r="AH452">
        <f ca="1">IF(T_EMPLOYEES[[#This Row],[EMPLOYEE NUMBER]]="","",MATCH(T_EMPLOYEES[[#This Row],[LOCATION]],L_LOCATION,0))</f>
        <v>1</v>
      </c>
      <c r="AI452">
        <f ca="1">IF(T_EMPLOYEES[[#This Row],[EMPLOYEE NUMBER]]="","",MATCH(T_EMPLOYEES[[#This Row],[DEPARTMENT]],L_DEPARTMENT,0))</f>
        <v>11</v>
      </c>
      <c r="AJ452">
        <f ca="1">IF(T_EMPLOYEES[[#This Row],[EMPLOYEE NUMBER]]="","",MATCH(T_EMPLOYEES[[#This Row],[JOB TYPE]],L_JOBTYPE,0))</f>
        <v>2</v>
      </c>
      <c r="AK452">
        <f ca="1">IF(T_EMPLOYEES[[#This Row],[EMPLOYEE NUMBER]]="","",MATCH(T_EMPLOYEES[[#This Row],[JOB CATEGORY]],L_JOBCATEGORY,0))</f>
        <v>30</v>
      </c>
      <c r="AL452">
        <f ca="1">IF(T_EMPLOYEES[[#This Row],[EMPLOYEE NUMBER]]="","",MATCH(T_EMPLOYEES[[#This Row],[JOB LEVEL]],L_JOBLEVEL,0))</f>
        <v>1</v>
      </c>
      <c r="AM452">
        <f ca="1">IF(T_EMPLOYEES[[#This Row],[EMPLOYEE NUMBER]]="","",MATCH(T_EMPLOYEES[[#This Row],[JOB TITLE]],L_JOBTITLE,0))</f>
        <v>30</v>
      </c>
      <c r="AN452">
        <f ca="1">IF(T_EMPLOYEES[[#This Row],[EMPLOYEE NUMBER]]="","",MATCH(T_EMPLOYEES[[#This Row],[MANAGER]],L_EMPLABELS,0))</f>
        <v>56</v>
      </c>
      <c r="AO452">
        <f ca="1">IF(T_EMPLOYEES[[#This Row],[EMPLOYEE NUMBER]]="","",IF(T_EMPLOYEES[[#This Row],[ERROR]]="",0,1))</f>
        <v>0</v>
      </c>
      <c r="AP45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3" spans="1:42">
      <c r="A453" t="s">
        <v>1463</v>
      </c>
      <c r="B453" t="s">
        <v>1464</v>
      </c>
      <c r="C453">
        <v>1027424</v>
      </c>
      <c r="D453" t="s">
        <v>1465</v>
      </c>
      <c r="E453" s="26">
        <v>36378</v>
      </c>
      <c r="F453" s="26">
        <v>44531</v>
      </c>
      <c r="H453" t="s">
        <v>40</v>
      </c>
      <c r="I453" t="s">
        <v>54</v>
      </c>
      <c r="J453" t="s">
        <v>64</v>
      </c>
      <c r="K453" t="s">
        <v>30</v>
      </c>
      <c r="L453" s="27" t="s">
        <v>114</v>
      </c>
      <c r="M453" t="s">
        <v>46</v>
      </c>
      <c r="N453" t="s">
        <v>160</v>
      </c>
      <c r="O453" t="s">
        <v>48</v>
      </c>
      <c r="P453" t="s">
        <v>160</v>
      </c>
      <c r="Q453" t="s">
        <v>206</v>
      </c>
      <c r="R453">
        <v>4</v>
      </c>
      <c r="S453" s="1">
        <v>1200000</v>
      </c>
      <c r="T453" s="1">
        <f ca="1">ROUND(T_EMPLOYEES[[#This Row],[EMP_CTC1]]/12, 0)</f>
        <v>100000</v>
      </c>
      <c r="U453" s="1">
        <v>1000000</v>
      </c>
      <c r="V453" s="1" t="s">
        <v>1238</v>
      </c>
      <c r="W453" s="1" t="s">
        <v>1238</v>
      </c>
      <c r="X45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Kakara  Deepthi (1027424)</v>
      </c>
      <c r="Y453">
        <v>120000</v>
      </c>
      <c r="Z453" s="29">
        <f t="shared" ca="1" si="7"/>
        <v>16.666666666666664</v>
      </c>
      <c r="AA453">
        <f ca="1">IF(T_EMPLOYEES[[#This Row],[EMPLOYEE NUMBER]]="","",ROW(T_EMPLOYEES[[#This Row],[EMPLOYEE LABEL]])-ROW(T_EMPLOYEES[[#Headers],[EMPLOYEE LABEL]]))</f>
        <v>450</v>
      </c>
      <c r="AB453">
        <f ca="1">IF(T_EMPLOYEES[[#This Row],[EMPLOYEE NUMBER]]="","",IF(COUNTIF(T_EMPLOYEES[EMPLOYEE NUMBER],T_EMPLOYEES[[#This Row],[EMPLOYEE NUMBER]])&gt;1,1,0))</f>
        <v>0</v>
      </c>
      <c r="AC453">
        <f ca="1">IF(T_EMPLOYEES[[#This Row],[EMPLOYEE NUMBER]]="","",IF(AND(T_EMPLOYEES[[#This Row],[DATE OF BIRTH]]&gt;0,T_EMPLOYEES[[#This Row],[DATE OF BIRTH]]&lt;TODAY()),0,1))</f>
        <v>0</v>
      </c>
      <c r="AD453">
        <f ca="1">IF(T_EMPLOYEES[[#This Row],[EMPLOYEE NUMBER]]="","",IF(AND(T_EMPLOYEES[[#This Row],[START DATE]]&gt;0,T_EMPLOYEES[[#This Row],[START DATE]]&lt;TODAY()+60),0,1))</f>
        <v>0</v>
      </c>
      <c r="AE453">
        <f ca="1">IF(T_EMPLOYEES[[#This Row],[EMPLOYEE NUMBER]]="","",MATCH(T_EMPLOYEES[[#This Row],[GENDER]],L_GENDER,0))</f>
        <v>2</v>
      </c>
      <c r="AF453">
        <f ca="1">IF(T_EMPLOYEES[[#This Row],[EMPLOYEE NUMBER]]="","",MATCH(T_EMPLOYEES[[#This Row],[HIRE SOURCE]],L_HIRESOURCE,0))</f>
        <v>4</v>
      </c>
      <c r="AG453">
        <f ca="1">IF(T_EMPLOYEES[[#This Row],[EMPLOYEE NUMBER]]="","",MATCH(T_EMPLOYEES[[#This Row],[ETHNICITY]],L_ETHNICITY,0))</f>
        <v>3</v>
      </c>
      <c r="AH453">
        <f ca="1">IF(T_EMPLOYEES[[#This Row],[EMPLOYEE NUMBER]]="","",MATCH(T_EMPLOYEES[[#This Row],[LOCATION]],L_LOCATION,0))</f>
        <v>1</v>
      </c>
      <c r="AI453">
        <f ca="1">IF(T_EMPLOYEES[[#This Row],[EMPLOYEE NUMBER]]="","",MATCH(T_EMPLOYEES[[#This Row],[DEPARTMENT]],L_DEPARTMENT,0))</f>
        <v>11</v>
      </c>
      <c r="AJ453">
        <f ca="1">IF(T_EMPLOYEES[[#This Row],[EMPLOYEE NUMBER]]="","",MATCH(T_EMPLOYEES[[#This Row],[JOB TYPE]],L_JOBTYPE,0))</f>
        <v>2</v>
      </c>
      <c r="AK453">
        <f ca="1">IF(T_EMPLOYEES[[#This Row],[EMPLOYEE NUMBER]]="","",MATCH(T_EMPLOYEES[[#This Row],[JOB CATEGORY]],L_JOBCATEGORY,0))</f>
        <v>39</v>
      </c>
      <c r="AL453">
        <f ca="1">IF(T_EMPLOYEES[[#This Row],[EMPLOYEE NUMBER]]="","",MATCH(T_EMPLOYEES[[#This Row],[JOB LEVEL]],L_JOBLEVEL,0))</f>
        <v>2</v>
      </c>
      <c r="AM453">
        <f ca="1">IF(T_EMPLOYEES[[#This Row],[EMPLOYEE NUMBER]]="","",MATCH(T_EMPLOYEES[[#This Row],[JOB TITLE]],L_JOBTITLE,0))</f>
        <v>39</v>
      </c>
      <c r="AN453">
        <f ca="1">IF(T_EMPLOYEES[[#This Row],[EMPLOYEE NUMBER]]="","",MATCH(T_EMPLOYEES[[#This Row],[MANAGER]],L_EMPLABELS,0))</f>
        <v>6</v>
      </c>
      <c r="AO453">
        <f ca="1">IF(T_EMPLOYEES[[#This Row],[EMPLOYEE NUMBER]]="","",IF(T_EMPLOYEES[[#This Row],[ERROR]]="",0,1))</f>
        <v>0</v>
      </c>
      <c r="AP45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4" spans="1:42">
      <c r="A454" t="s">
        <v>550</v>
      </c>
      <c r="B454" t="s">
        <v>1466</v>
      </c>
      <c r="C454">
        <v>1030922</v>
      </c>
      <c r="D454" t="s">
        <v>1467</v>
      </c>
      <c r="E454" s="26">
        <v>36389</v>
      </c>
      <c r="F454" s="26">
        <v>44876</v>
      </c>
      <c r="H454" t="s">
        <v>27</v>
      </c>
      <c r="I454" t="s">
        <v>54</v>
      </c>
      <c r="J454" t="s">
        <v>64</v>
      </c>
      <c r="K454" t="s">
        <v>30</v>
      </c>
      <c r="L454" s="27" t="s">
        <v>114</v>
      </c>
      <c r="M454" t="s">
        <v>46</v>
      </c>
      <c r="N454" t="s">
        <v>151</v>
      </c>
      <c r="O454" t="s">
        <v>36</v>
      </c>
      <c r="P454" t="s">
        <v>151</v>
      </c>
      <c r="Q454" t="s">
        <v>206</v>
      </c>
      <c r="R454" s="27">
        <v>0</v>
      </c>
      <c r="S454" s="1">
        <v>1200000</v>
      </c>
      <c r="T454" s="1">
        <f ca="1">ROUND(T_EMPLOYEES[[#This Row],[EMP_CTC1]]/12, 0)</f>
        <v>100000</v>
      </c>
      <c r="U454" s="1">
        <v>1000000</v>
      </c>
      <c r="V454" s="1" t="s">
        <v>1238</v>
      </c>
      <c r="W454" s="1" t="s">
        <v>1238</v>
      </c>
      <c r="X45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Abhishek Dansena (1030922)</v>
      </c>
      <c r="Y454">
        <v>120000</v>
      </c>
      <c r="Z454" s="29">
        <f t="shared" ref="Z454:Z517" ca="1" si="8">(S454 - U454)/S454 * 100</f>
        <v>16.666666666666664</v>
      </c>
      <c r="AA454">
        <f ca="1">IF(T_EMPLOYEES[[#This Row],[EMPLOYEE NUMBER]]="","",ROW(T_EMPLOYEES[[#This Row],[EMPLOYEE LABEL]])-ROW(T_EMPLOYEES[[#Headers],[EMPLOYEE LABEL]]))</f>
        <v>451</v>
      </c>
      <c r="AB454">
        <f ca="1">IF(T_EMPLOYEES[[#This Row],[EMPLOYEE NUMBER]]="","",IF(COUNTIF(T_EMPLOYEES[EMPLOYEE NUMBER],T_EMPLOYEES[[#This Row],[EMPLOYEE NUMBER]])&gt;1,1,0))</f>
        <v>0</v>
      </c>
      <c r="AC454">
        <f ca="1">IF(T_EMPLOYEES[[#This Row],[EMPLOYEE NUMBER]]="","",IF(AND(T_EMPLOYEES[[#This Row],[DATE OF BIRTH]]&gt;0,T_EMPLOYEES[[#This Row],[DATE OF BIRTH]]&lt;TODAY()),0,1))</f>
        <v>0</v>
      </c>
      <c r="AD454">
        <f ca="1">IF(T_EMPLOYEES[[#This Row],[EMPLOYEE NUMBER]]="","",IF(AND(T_EMPLOYEES[[#This Row],[START DATE]]&gt;0,T_EMPLOYEES[[#This Row],[START DATE]]&lt;TODAY()+60),0,1))</f>
        <v>0</v>
      </c>
      <c r="AE454">
        <f ca="1">IF(T_EMPLOYEES[[#This Row],[EMPLOYEE NUMBER]]="","",MATCH(T_EMPLOYEES[[#This Row],[GENDER]],L_GENDER,0))</f>
        <v>1</v>
      </c>
      <c r="AF454">
        <f ca="1">IF(T_EMPLOYEES[[#This Row],[EMPLOYEE NUMBER]]="","",MATCH(T_EMPLOYEES[[#This Row],[HIRE SOURCE]],L_HIRESOURCE,0))</f>
        <v>4</v>
      </c>
      <c r="AG454">
        <f ca="1">IF(T_EMPLOYEES[[#This Row],[EMPLOYEE NUMBER]]="","",MATCH(T_EMPLOYEES[[#This Row],[ETHNICITY]],L_ETHNICITY,0))</f>
        <v>3</v>
      </c>
      <c r="AH454">
        <f ca="1">IF(T_EMPLOYEES[[#This Row],[EMPLOYEE NUMBER]]="","",MATCH(T_EMPLOYEES[[#This Row],[LOCATION]],L_LOCATION,0))</f>
        <v>1</v>
      </c>
      <c r="AI454">
        <f ca="1">IF(T_EMPLOYEES[[#This Row],[EMPLOYEE NUMBER]]="","",MATCH(T_EMPLOYEES[[#This Row],[DEPARTMENT]],L_DEPARTMENT,0))</f>
        <v>11</v>
      </c>
      <c r="AJ454">
        <f ca="1">IF(T_EMPLOYEES[[#This Row],[EMPLOYEE NUMBER]]="","",MATCH(T_EMPLOYEES[[#This Row],[JOB TYPE]],L_JOBTYPE,0))</f>
        <v>2</v>
      </c>
      <c r="AK454">
        <f ca="1">IF(T_EMPLOYEES[[#This Row],[EMPLOYEE NUMBER]]="","",MATCH(T_EMPLOYEES[[#This Row],[JOB CATEGORY]],L_JOBCATEGORY,0))</f>
        <v>30</v>
      </c>
      <c r="AL454">
        <f ca="1">IF(T_EMPLOYEES[[#This Row],[EMPLOYEE NUMBER]]="","",MATCH(T_EMPLOYEES[[#This Row],[JOB LEVEL]],L_JOBLEVEL,0))</f>
        <v>1</v>
      </c>
      <c r="AM454">
        <f ca="1">IF(T_EMPLOYEES[[#This Row],[EMPLOYEE NUMBER]]="","",MATCH(T_EMPLOYEES[[#This Row],[JOB TITLE]],L_JOBTITLE,0))</f>
        <v>30</v>
      </c>
      <c r="AN454">
        <f ca="1">IF(T_EMPLOYEES[[#This Row],[EMPLOYEE NUMBER]]="","",MATCH(T_EMPLOYEES[[#This Row],[MANAGER]],L_EMPLABELS,0))</f>
        <v>6</v>
      </c>
      <c r="AO454">
        <f ca="1">IF(T_EMPLOYEES[[#This Row],[EMPLOYEE NUMBER]]="","",IF(T_EMPLOYEES[[#This Row],[ERROR]]="",0,1))</f>
        <v>0</v>
      </c>
      <c r="AP45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5" spans="1:42">
      <c r="A455" t="s">
        <v>1468</v>
      </c>
      <c r="B455" t="s">
        <v>1469</v>
      </c>
      <c r="C455">
        <v>1030908</v>
      </c>
      <c r="D455" t="s">
        <v>1470</v>
      </c>
      <c r="E455" s="26">
        <v>36397</v>
      </c>
      <c r="F455" s="26">
        <v>44876</v>
      </c>
      <c r="H455" t="s">
        <v>27</v>
      </c>
      <c r="I455" t="s">
        <v>54</v>
      </c>
      <c r="J455" t="s">
        <v>64</v>
      </c>
      <c r="K455" t="s">
        <v>30</v>
      </c>
      <c r="L455" s="27" t="s">
        <v>114</v>
      </c>
      <c r="M455" t="s">
        <v>46</v>
      </c>
      <c r="N455" t="s">
        <v>151</v>
      </c>
      <c r="O455" t="s">
        <v>36</v>
      </c>
      <c r="P455" t="s">
        <v>151</v>
      </c>
      <c r="Q455" t="s">
        <v>468</v>
      </c>
      <c r="R455">
        <v>0</v>
      </c>
      <c r="S455" s="1">
        <v>1200000</v>
      </c>
      <c r="T455" s="1">
        <f ca="1">ROUND(T_EMPLOYEES[[#This Row],[EMP_CTC1]]/12, 0)</f>
        <v>100000</v>
      </c>
      <c r="U455" s="1">
        <v>1000000</v>
      </c>
      <c r="V455" s="1" t="s">
        <v>1238</v>
      </c>
      <c r="W455" s="1" t="s">
        <v>1238</v>
      </c>
      <c r="X45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Gaurav Jha (1030908)</v>
      </c>
      <c r="Y455">
        <v>120000</v>
      </c>
      <c r="Z455" s="29">
        <f t="shared" ca="1" si="8"/>
        <v>16.666666666666664</v>
      </c>
      <c r="AA455">
        <f ca="1">IF(T_EMPLOYEES[[#This Row],[EMPLOYEE NUMBER]]="","",ROW(T_EMPLOYEES[[#This Row],[EMPLOYEE LABEL]])-ROW(T_EMPLOYEES[[#Headers],[EMPLOYEE LABEL]]))</f>
        <v>452</v>
      </c>
      <c r="AB455">
        <f ca="1">IF(T_EMPLOYEES[[#This Row],[EMPLOYEE NUMBER]]="","",IF(COUNTIF(T_EMPLOYEES[EMPLOYEE NUMBER],T_EMPLOYEES[[#This Row],[EMPLOYEE NUMBER]])&gt;1,1,0))</f>
        <v>0</v>
      </c>
      <c r="AC455">
        <f ca="1">IF(T_EMPLOYEES[[#This Row],[EMPLOYEE NUMBER]]="","",IF(AND(T_EMPLOYEES[[#This Row],[DATE OF BIRTH]]&gt;0,T_EMPLOYEES[[#This Row],[DATE OF BIRTH]]&lt;TODAY()),0,1))</f>
        <v>0</v>
      </c>
      <c r="AD455">
        <f ca="1">IF(T_EMPLOYEES[[#This Row],[EMPLOYEE NUMBER]]="","",IF(AND(T_EMPLOYEES[[#This Row],[START DATE]]&gt;0,T_EMPLOYEES[[#This Row],[START DATE]]&lt;TODAY()+60),0,1))</f>
        <v>0</v>
      </c>
      <c r="AE455">
        <f ca="1">IF(T_EMPLOYEES[[#This Row],[EMPLOYEE NUMBER]]="","",MATCH(T_EMPLOYEES[[#This Row],[GENDER]],L_GENDER,0))</f>
        <v>1</v>
      </c>
      <c r="AF455">
        <f ca="1">IF(T_EMPLOYEES[[#This Row],[EMPLOYEE NUMBER]]="","",MATCH(T_EMPLOYEES[[#This Row],[HIRE SOURCE]],L_HIRESOURCE,0))</f>
        <v>4</v>
      </c>
      <c r="AG455">
        <f ca="1">IF(T_EMPLOYEES[[#This Row],[EMPLOYEE NUMBER]]="","",MATCH(T_EMPLOYEES[[#This Row],[ETHNICITY]],L_ETHNICITY,0))</f>
        <v>3</v>
      </c>
      <c r="AH455">
        <f ca="1">IF(T_EMPLOYEES[[#This Row],[EMPLOYEE NUMBER]]="","",MATCH(T_EMPLOYEES[[#This Row],[LOCATION]],L_LOCATION,0))</f>
        <v>1</v>
      </c>
      <c r="AI455">
        <f ca="1">IF(T_EMPLOYEES[[#This Row],[EMPLOYEE NUMBER]]="","",MATCH(T_EMPLOYEES[[#This Row],[DEPARTMENT]],L_DEPARTMENT,0))</f>
        <v>11</v>
      </c>
      <c r="AJ455">
        <f ca="1">IF(T_EMPLOYEES[[#This Row],[EMPLOYEE NUMBER]]="","",MATCH(T_EMPLOYEES[[#This Row],[JOB TYPE]],L_JOBTYPE,0))</f>
        <v>2</v>
      </c>
      <c r="AK455">
        <f ca="1">IF(T_EMPLOYEES[[#This Row],[EMPLOYEE NUMBER]]="","",MATCH(T_EMPLOYEES[[#This Row],[JOB CATEGORY]],L_JOBCATEGORY,0))</f>
        <v>30</v>
      </c>
      <c r="AL455">
        <f ca="1">IF(T_EMPLOYEES[[#This Row],[EMPLOYEE NUMBER]]="","",MATCH(T_EMPLOYEES[[#This Row],[JOB LEVEL]],L_JOBLEVEL,0))</f>
        <v>1</v>
      </c>
      <c r="AM455">
        <f ca="1">IF(T_EMPLOYEES[[#This Row],[EMPLOYEE NUMBER]]="","",MATCH(T_EMPLOYEES[[#This Row],[JOB TITLE]],L_JOBTITLE,0))</f>
        <v>30</v>
      </c>
      <c r="AN455">
        <f ca="1">IF(T_EMPLOYEES[[#This Row],[EMPLOYEE NUMBER]]="","",MATCH(T_EMPLOYEES[[#This Row],[MANAGER]],L_EMPLABELS,0))</f>
        <v>56</v>
      </c>
      <c r="AO455">
        <f ca="1">IF(T_EMPLOYEES[[#This Row],[EMPLOYEE NUMBER]]="","",IF(T_EMPLOYEES[[#This Row],[ERROR]]="",0,1))</f>
        <v>0</v>
      </c>
      <c r="AP45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6" spans="1:42">
      <c r="A456" t="s">
        <v>1471</v>
      </c>
      <c r="B456" t="s">
        <v>1472</v>
      </c>
      <c r="C456">
        <v>1033268</v>
      </c>
      <c r="D456" t="s">
        <v>1473</v>
      </c>
      <c r="E456" s="26">
        <v>36397</v>
      </c>
      <c r="F456" s="26">
        <v>45155</v>
      </c>
      <c r="H456" t="s">
        <v>27</v>
      </c>
      <c r="I456" t="s">
        <v>54</v>
      </c>
      <c r="J456" t="s">
        <v>64</v>
      </c>
      <c r="K456" t="s">
        <v>30</v>
      </c>
      <c r="L456" s="27" t="s">
        <v>45</v>
      </c>
      <c r="M456" t="s">
        <v>46</v>
      </c>
      <c r="N456" t="s">
        <v>151</v>
      </c>
      <c r="O456" t="s">
        <v>36</v>
      </c>
      <c r="P456" t="s">
        <v>151</v>
      </c>
      <c r="Q456" t="s">
        <v>246</v>
      </c>
      <c r="R456" s="27">
        <v>0</v>
      </c>
      <c r="S456" s="1">
        <v>1200000</v>
      </c>
      <c r="T456" s="1">
        <f ca="1">ROUND(T_EMPLOYEES[[#This Row],[EMP_CTC1]]/12, 0)</f>
        <v>100000</v>
      </c>
      <c r="U456" s="1">
        <v>1000000</v>
      </c>
      <c r="V456" s="1" t="s">
        <v>1238</v>
      </c>
      <c r="W456" s="1" t="s">
        <v>1238</v>
      </c>
      <c r="X45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Ranju Hansda (1033268)</v>
      </c>
      <c r="Y456">
        <v>120000</v>
      </c>
      <c r="Z456" s="29">
        <f t="shared" ca="1" si="8"/>
        <v>16.666666666666664</v>
      </c>
      <c r="AA456">
        <f ca="1">IF(T_EMPLOYEES[[#This Row],[EMPLOYEE NUMBER]]="","",ROW(T_EMPLOYEES[[#This Row],[EMPLOYEE LABEL]])-ROW(T_EMPLOYEES[[#Headers],[EMPLOYEE LABEL]]))</f>
        <v>453</v>
      </c>
      <c r="AB456">
        <f ca="1">IF(T_EMPLOYEES[[#This Row],[EMPLOYEE NUMBER]]="","",IF(COUNTIF(T_EMPLOYEES[EMPLOYEE NUMBER],T_EMPLOYEES[[#This Row],[EMPLOYEE NUMBER]])&gt;1,1,0))</f>
        <v>0</v>
      </c>
      <c r="AC456">
        <f ca="1">IF(T_EMPLOYEES[[#This Row],[EMPLOYEE NUMBER]]="","",IF(AND(T_EMPLOYEES[[#This Row],[DATE OF BIRTH]]&gt;0,T_EMPLOYEES[[#This Row],[DATE OF BIRTH]]&lt;TODAY()),0,1))</f>
        <v>0</v>
      </c>
      <c r="AD456">
        <f ca="1">IF(T_EMPLOYEES[[#This Row],[EMPLOYEE NUMBER]]="","",IF(AND(T_EMPLOYEES[[#This Row],[START DATE]]&gt;0,T_EMPLOYEES[[#This Row],[START DATE]]&lt;TODAY()+60),0,1))</f>
        <v>0</v>
      </c>
      <c r="AE456">
        <f ca="1">IF(T_EMPLOYEES[[#This Row],[EMPLOYEE NUMBER]]="","",MATCH(T_EMPLOYEES[[#This Row],[GENDER]],L_GENDER,0))</f>
        <v>1</v>
      </c>
      <c r="AF456">
        <f ca="1">IF(T_EMPLOYEES[[#This Row],[EMPLOYEE NUMBER]]="","",MATCH(T_EMPLOYEES[[#This Row],[HIRE SOURCE]],L_HIRESOURCE,0))</f>
        <v>4</v>
      </c>
      <c r="AG456">
        <f ca="1">IF(T_EMPLOYEES[[#This Row],[EMPLOYEE NUMBER]]="","",MATCH(T_EMPLOYEES[[#This Row],[ETHNICITY]],L_ETHNICITY,0))</f>
        <v>3</v>
      </c>
      <c r="AH456">
        <f ca="1">IF(T_EMPLOYEES[[#This Row],[EMPLOYEE NUMBER]]="","",MATCH(T_EMPLOYEES[[#This Row],[LOCATION]],L_LOCATION,0))</f>
        <v>1</v>
      </c>
      <c r="AI456">
        <f ca="1">IF(T_EMPLOYEES[[#This Row],[EMPLOYEE NUMBER]]="","",MATCH(T_EMPLOYEES[[#This Row],[DEPARTMENT]],L_DEPARTMENT,0))</f>
        <v>2</v>
      </c>
      <c r="AJ456">
        <f ca="1">IF(T_EMPLOYEES[[#This Row],[EMPLOYEE NUMBER]]="","",MATCH(T_EMPLOYEES[[#This Row],[JOB TYPE]],L_JOBTYPE,0))</f>
        <v>2</v>
      </c>
      <c r="AK456">
        <f ca="1">IF(T_EMPLOYEES[[#This Row],[EMPLOYEE NUMBER]]="","",MATCH(T_EMPLOYEES[[#This Row],[JOB CATEGORY]],L_JOBCATEGORY,0))</f>
        <v>30</v>
      </c>
      <c r="AL456">
        <f ca="1">IF(T_EMPLOYEES[[#This Row],[EMPLOYEE NUMBER]]="","",MATCH(T_EMPLOYEES[[#This Row],[JOB LEVEL]],L_JOBLEVEL,0))</f>
        <v>1</v>
      </c>
      <c r="AM456">
        <f ca="1">IF(T_EMPLOYEES[[#This Row],[EMPLOYEE NUMBER]]="","",MATCH(T_EMPLOYEES[[#This Row],[JOB TITLE]],L_JOBTITLE,0))</f>
        <v>30</v>
      </c>
      <c r="AN456">
        <f ca="1">IF(T_EMPLOYEES[[#This Row],[EMPLOYEE NUMBER]]="","",MATCH(T_EMPLOYEES[[#This Row],[MANAGER]],L_EMPLABELS,0))</f>
        <v>68</v>
      </c>
      <c r="AO456">
        <f ca="1">IF(T_EMPLOYEES[[#This Row],[EMPLOYEE NUMBER]]="","",IF(T_EMPLOYEES[[#This Row],[ERROR]]="",0,1))</f>
        <v>0</v>
      </c>
      <c r="AP45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7" spans="1:42">
      <c r="A457" t="s">
        <v>1474</v>
      </c>
      <c r="B457" t="s">
        <v>1475</v>
      </c>
      <c r="C457">
        <v>1027026</v>
      </c>
      <c r="D457" t="s">
        <v>1476</v>
      </c>
      <c r="E457" s="26">
        <v>36404</v>
      </c>
      <c r="F457" s="26">
        <v>44498</v>
      </c>
      <c r="H457" t="s">
        <v>27</v>
      </c>
      <c r="I457" t="s">
        <v>54</v>
      </c>
      <c r="J457" t="s">
        <v>64</v>
      </c>
      <c r="K457" t="s">
        <v>43</v>
      </c>
      <c r="L457" s="27" t="s">
        <v>110</v>
      </c>
      <c r="M457" t="s">
        <v>46</v>
      </c>
      <c r="N457" t="s">
        <v>148</v>
      </c>
      <c r="O457" t="s">
        <v>48</v>
      </c>
      <c r="P457" t="s">
        <v>148</v>
      </c>
      <c r="Q457" t="s">
        <v>861</v>
      </c>
      <c r="R457">
        <v>4</v>
      </c>
      <c r="S457" s="1">
        <v>1200000</v>
      </c>
      <c r="T457" s="1">
        <f ca="1">ROUND(T_EMPLOYEES[[#This Row],[EMP_CTC1]]/12, 0)</f>
        <v>100000</v>
      </c>
      <c r="U457" s="1">
        <v>1000000</v>
      </c>
      <c r="V457" s="1" t="s">
        <v>1238</v>
      </c>
      <c r="W457" s="1" t="s">
        <v>1238</v>
      </c>
      <c r="X45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Lohit Narayan Bhasme (1027026)</v>
      </c>
      <c r="Y457">
        <v>120000</v>
      </c>
      <c r="Z457" s="29">
        <f t="shared" ca="1" si="8"/>
        <v>16.666666666666664</v>
      </c>
      <c r="AA457">
        <f ca="1">IF(T_EMPLOYEES[[#This Row],[EMPLOYEE NUMBER]]="","",ROW(T_EMPLOYEES[[#This Row],[EMPLOYEE LABEL]])-ROW(T_EMPLOYEES[[#Headers],[EMPLOYEE LABEL]]))</f>
        <v>454</v>
      </c>
      <c r="AB457">
        <f ca="1">IF(T_EMPLOYEES[[#This Row],[EMPLOYEE NUMBER]]="","",IF(COUNTIF(T_EMPLOYEES[EMPLOYEE NUMBER],T_EMPLOYEES[[#This Row],[EMPLOYEE NUMBER]])&gt;1,1,0))</f>
        <v>0</v>
      </c>
      <c r="AC457">
        <f ca="1">IF(T_EMPLOYEES[[#This Row],[EMPLOYEE NUMBER]]="","",IF(AND(T_EMPLOYEES[[#This Row],[DATE OF BIRTH]]&gt;0,T_EMPLOYEES[[#This Row],[DATE OF BIRTH]]&lt;TODAY()),0,1))</f>
        <v>0</v>
      </c>
      <c r="AD457">
        <f ca="1">IF(T_EMPLOYEES[[#This Row],[EMPLOYEE NUMBER]]="","",IF(AND(T_EMPLOYEES[[#This Row],[START DATE]]&gt;0,T_EMPLOYEES[[#This Row],[START DATE]]&lt;TODAY()+60),0,1))</f>
        <v>0</v>
      </c>
      <c r="AE457">
        <f ca="1">IF(T_EMPLOYEES[[#This Row],[EMPLOYEE NUMBER]]="","",MATCH(T_EMPLOYEES[[#This Row],[GENDER]],L_GENDER,0))</f>
        <v>1</v>
      </c>
      <c r="AF457">
        <f ca="1">IF(T_EMPLOYEES[[#This Row],[EMPLOYEE NUMBER]]="","",MATCH(T_EMPLOYEES[[#This Row],[HIRE SOURCE]],L_HIRESOURCE,0))</f>
        <v>4</v>
      </c>
      <c r="AG457">
        <f ca="1">IF(T_EMPLOYEES[[#This Row],[EMPLOYEE NUMBER]]="","",MATCH(T_EMPLOYEES[[#This Row],[ETHNICITY]],L_ETHNICITY,0))</f>
        <v>3</v>
      </c>
      <c r="AH457">
        <f ca="1">IF(T_EMPLOYEES[[#This Row],[EMPLOYEE NUMBER]]="","",MATCH(T_EMPLOYEES[[#This Row],[LOCATION]],L_LOCATION,0))</f>
        <v>2</v>
      </c>
      <c r="AI457">
        <f ca="1">IF(T_EMPLOYEES[[#This Row],[EMPLOYEE NUMBER]]="","",MATCH(T_EMPLOYEES[[#This Row],[DEPARTMENT]],L_DEPARTMENT,0))</f>
        <v>10</v>
      </c>
      <c r="AJ457">
        <f ca="1">IF(T_EMPLOYEES[[#This Row],[EMPLOYEE NUMBER]]="","",MATCH(T_EMPLOYEES[[#This Row],[JOB TYPE]],L_JOBTYPE,0))</f>
        <v>2</v>
      </c>
      <c r="AK457">
        <f ca="1">IF(T_EMPLOYEES[[#This Row],[EMPLOYEE NUMBER]]="","",MATCH(T_EMPLOYEES[[#This Row],[JOB CATEGORY]],L_JOBCATEGORY,0))</f>
        <v>27</v>
      </c>
      <c r="AL457">
        <f ca="1">IF(T_EMPLOYEES[[#This Row],[EMPLOYEE NUMBER]]="","",MATCH(T_EMPLOYEES[[#This Row],[JOB LEVEL]],L_JOBLEVEL,0))</f>
        <v>2</v>
      </c>
      <c r="AM457">
        <f ca="1">IF(T_EMPLOYEES[[#This Row],[EMPLOYEE NUMBER]]="","",MATCH(T_EMPLOYEES[[#This Row],[JOB TITLE]],L_JOBTITLE,0))</f>
        <v>27</v>
      </c>
      <c r="AN457">
        <f ca="1">IF(T_EMPLOYEES[[#This Row],[EMPLOYEE NUMBER]]="","",MATCH(T_EMPLOYEES[[#This Row],[MANAGER]],L_EMPLABELS,0))</f>
        <v>130</v>
      </c>
      <c r="AO457">
        <f ca="1">IF(T_EMPLOYEES[[#This Row],[EMPLOYEE NUMBER]]="","",IF(T_EMPLOYEES[[#This Row],[ERROR]]="",0,1))</f>
        <v>0</v>
      </c>
      <c r="AP45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8" spans="1:42">
      <c r="A458" t="s">
        <v>1477</v>
      </c>
      <c r="B458" t="s">
        <v>1478</v>
      </c>
      <c r="C458">
        <v>1029526</v>
      </c>
      <c r="D458" t="s">
        <v>1479</v>
      </c>
      <c r="E458" s="26">
        <v>36412</v>
      </c>
      <c r="F458" s="26">
        <v>44757</v>
      </c>
      <c r="H458" t="s">
        <v>27</v>
      </c>
      <c r="I458" t="s">
        <v>54</v>
      </c>
      <c r="J458" t="s">
        <v>64</v>
      </c>
      <c r="K458" t="s">
        <v>30</v>
      </c>
      <c r="L458" s="27" t="s">
        <v>45</v>
      </c>
      <c r="M458" t="s">
        <v>46</v>
      </c>
      <c r="N458" t="s">
        <v>151</v>
      </c>
      <c r="O458" t="s">
        <v>36</v>
      </c>
      <c r="P458" t="s">
        <v>151</v>
      </c>
      <c r="Q458" t="s">
        <v>321</v>
      </c>
      <c r="R458" s="27">
        <v>0</v>
      </c>
      <c r="S458" s="1">
        <v>1200000</v>
      </c>
      <c r="T458" s="1">
        <f ca="1">ROUND(T_EMPLOYEES[[#This Row],[EMP_CTC1]]/12, 0)</f>
        <v>100000</v>
      </c>
      <c r="U458" s="1">
        <v>1000000</v>
      </c>
      <c r="V458" s="1" t="s">
        <v>1238</v>
      </c>
      <c r="W458" s="1" t="s">
        <v>1238</v>
      </c>
      <c r="X45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Sai Praveen Ippili (1029526)</v>
      </c>
      <c r="Y458">
        <v>120000</v>
      </c>
      <c r="Z458" s="29">
        <f t="shared" ca="1" si="8"/>
        <v>16.666666666666664</v>
      </c>
      <c r="AA458">
        <f ca="1">IF(T_EMPLOYEES[[#This Row],[EMPLOYEE NUMBER]]="","",ROW(T_EMPLOYEES[[#This Row],[EMPLOYEE LABEL]])-ROW(T_EMPLOYEES[[#Headers],[EMPLOYEE LABEL]]))</f>
        <v>455</v>
      </c>
      <c r="AB458">
        <f ca="1">IF(T_EMPLOYEES[[#This Row],[EMPLOYEE NUMBER]]="","",IF(COUNTIF(T_EMPLOYEES[EMPLOYEE NUMBER],T_EMPLOYEES[[#This Row],[EMPLOYEE NUMBER]])&gt;1,1,0))</f>
        <v>0</v>
      </c>
      <c r="AC458">
        <f ca="1">IF(T_EMPLOYEES[[#This Row],[EMPLOYEE NUMBER]]="","",IF(AND(T_EMPLOYEES[[#This Row],[DATE OF BIRTH]]&gt;0,T_EMPLOYEES[[#This Row],[DATE OF BIRTH]]&lt;TODAY()),0,1))</f>
        <v>0</v>
      </c>
      <c r="AD458">
        <f ca="1">IF(T_EMPLOYEES[[#This Row],[EMPLOYEE NUMBER]]="","",IF(AND(T_EMPLOYEES[[#This Row],[START DATE]]&gt;0,T_EMPLOYEES[[#This Row],[START DATE]]&lt;TODAY()+60),0,1))</f>
        <v>0</v>
      </c>
      <c r="AE458">
        <f ca="1">IF(T_EMPLOYEES[[#This Row],[EMPLOYEE NUMBER]]="","",MATCH(T_EMPLOYEES[[#This Row],[GENDER]],L_GENDER,0))</f>
        <v>1</v>
      </c>
      <c r="AF458">
        <f ca="1">IF(T_EMPLOYEES[[#This Row],[EMPLOYEE NUMBER]]="","",MATCH(T_EMPLOYEES[[#This Row],[HIRE SOURCE]],L_HIRESOURCE,0))</f>
        <v>4</v>
      </c>
      <c r="AG458">
        <f ca="1">IF(T_EMPLOYEES[[#This Row],[EMPLOYEE NUMBER]]="","",MATCH(T_EMPLOYEES[[#This Row],[ETHNICITY]],L_ETHNICITY,0))</f>
        <v>3</v>
      </c>
      <c r="AH458">
        <f ca="1">IF(T_EMPLOYEES[[#This Row],[EMPLOYEE NUMBER]]="","",MATCH(T_EMPLOYEES[[#This Row],[LOCATION]],L_LOCATION,0))</f>
        <v>1</v>
      </c>
      <c r="AI458">
        <f ca="1">IF(T_EMPLOYEES[[#This Row],[EMPLOYEE NUMBER]]="","",MATCH(T_EMPLOYEES[[#This Row],[DEPARTMENT]],L_DEPARTMENT,0))</f>
        <v>2</v>
      </c>
      <c r="AJ458">
        <f ca="1">IF(T_EMPLOYEES[[#This Row],[EMPLOYEE NUMBER]]="","",MATCH(T_EMPLOYEES[[#This Row],[JOB TYPE]],L_JOBTYPE,0))</f>
        <v>2</v>
      </c>
      <c r="AK458">
        <f ca="1">IF(T_EMPLOYEES[[#This Row],[EMPLOYEE NUMBER]]="","",MATCH(T_EMPLOYEES[[#This Row],[JOB CATEGORY]],L_JOBCATEGORY,0))</f>
        <v>30</v>
      </c>
      <c r="AL458">
        <f ca="1">IF(T_EMPLOYEES[[#This Row],[EMPLOYEE NUMBER]]="","",MATCH(T_EMPLOYEES[[#This Row],[JOB LEVEL]],L_JOBLEVEL,0))</f>
        <v>1</v>
      </c>
      <c r="AM458">
        <f ca="1">IF(T_EMPLOYEES[[#This Row],[EMPLOYEE NUMBER]]="","",MATCH(T_EMPLOYEES[[#This Row],[JOB TITLE]],L_JOBTITLE,0))</f>
        <v>30</v>
      </c>
      <c r="AN458">
        <f ca="1">IF(T_EMPLOYEES[[#This Row],[EMPLOYEE NUMBER]]="","",MATCH(T_EMPLOYEES[[#This Row],[MANAGER]],L_EMPLABELS,0))</f>
        <v>3</v>
      </c>
      <c r="AO458">
        <f ca="1">IF(T_EMPLOYEES[[#This Row],[EMPLOYEE NUMBER]]="","",IF(T_EMPLOYEES[[#This Row],[ERROR]]="",0,1))</f>
        <v>0</v>
      </c>
      <c r="AP45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9" spans="1:42">
      <c r="A459" t="s">
        <v>1480</v>
      </c>
      <c r="B459" t="s">
        <v>1481</v>
      </c>
      <c r="C459">
        <v>1031094</v>
      </c>
      <c r="D459" t="s">
        <v>1482</v>
      </c>
      <c r="E459" s="26">
        <v>36412</v>
      </c>
      <c r="F459" s="26">
        <v>44889</v>
      </c>
      <c r="H459" t="s">
        <v>27</v>
      </c>
      <c r="I459" t="s">
        <v>54</v>
      </c>
      <c r="J459" t="s">
        <v>64</v>
      </c>
      <c r="K459" t="s">
        <v>30</v>
      </c>
      <c r="L459" s="27" t="s">
        <v>114</v>
      </c>
      <c r="M459" t="s">
        <v>46</v>
      </c>
      <c r="N459" t="s">
        <v>151</v>
      </c>
      <c r="O459" t="s">
        <v>36</v>
      </c>
      <c r="P459" t="s">
        <v>151</v>
      </c>
      <c r="Q459" t="s">
        <v>206</v>
      </c>
      <c r="R459">
        <v>0</v>
      </c>
      <c r="S459" s="1">
        <v>1200000</v>
      </c>
      <c r="T459" s="1">
        <f ca="1">ROUND(T_EMPLOYEES[[#This Row],[EMP_CTC1]]/12, 0)</f>
        <v>100000</v>
      </c>
      <c r="U459" s="1">
        <v>1000000</v>
      </c>
      <c r="V459" s="1" t="s">
        <v>1238</v>
      </c>
      <c r="W459" s="1" t="s">
        <v>1238</v>
      </c>
      <c r="X45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Makrand Eknath Gangurde (1031094)</v>
      </c>
      <c r="Y459">
        <v>120000</v>
      </c>
      <c r="Z459" s="29">
        <f t="shared" ca="1" si="8"/>
        <v>16.666666666666664</v>
      </c>
      <c r="AA459">
        <f ca="1">IF(T_EMPLOYEES[[#This Row],[EMPLOYEE NUMBER]]="","",ROW(T_EMPLOYEES[[#This Row],[EMPLOYEE LABEL]])-ROW(T_EMPLOYEES[[#Headers],[EMPLOYEE LABEL]]))</f>
        <v>456</v>
      </c>
      <c r="AB459">
        <f ca="1">IF(T_EMPLOYEES[[#This Row],[EMPLOYEE NUMBER]]="","",IF(COUNTIF(T_EMPLOYEES[EMPLOYEE NUMBER],T_EMPLOYEES[[#This Row],[EMPLOYEE NUMBER]])&gt;1,1,0))</f>
        <v>0</v>
      </c>
      <c r="AC459">
        <f ca="1">IF(T_EMPLOYEES[[#This Row],[EMPLOYEE NUMBER]]="","",IF(AND(T_EMPLOYEES[[#This Row],[DATE OF BIRTH]]&gt;0,T_EMPLOYEES[[#This Row],[DATE OF BIRTH]]&lt;TODAY()),0,1))</f>
        <v>0</v>
      </c>
      <c r="AD459">
        <f ca="1">IF(T_EMPLOYEES[[#This Row],[EMPLOYEE NUMBER]]="","",IF(AND(T_EMPLOYEES[[#This Row],[START DATE]]&gt;0,T_EMPLOYEES[[#This Row],[START DATE]]&lt;TODAY()+60),0,1))</f>
        <v>0</v>
      </c>
      <c r="AE459">
        <f ca="1">IF(T_EMPLOYEES[[#This Row],[EMPLOYEE NUMBER]]="","",MATCH(T_EMPLOYEES[[#This Row],[GENDER]],L_GENDER,0))</f>
        <v>1</v>
      </c>
      <c r="AF459">
        <f ca="1">IF(T_EMPLOYEES[[#This Row],[EMPLOYEE NUMBER]]="","",MATCH(T_EMPLOYEES[[#This Row],[HIRE SOURCE]],L_HIRESOURCE,0))</f>
        <v>4</v>
      </c>
      <c r="AG459">
        <f ca="1">IF(T_EMPLOYEES[[#This Row],[EMPLOYEE NUMBER]]="","",MATCH(T_EMPLOYEES[[#This Row],[ETHNICITY]],L_ETHNICITY,0))</f>
        <v>3</v>
      </c>
      <c r="AH459">
        <f ca="1">IF(T_EMPLOYEES[[#This Row],[EMPLOYEE NUMBER]]="","",MATCH(T_EMPLOYEES[[#This Row],[LOCATION]],L_LOCATION,0))</f>
        <v>1</v>
      </c>
      <c r="AI459">
        <f ca="1">IF(T_EMPLOYEES[[#This Row],[EMPLOYEE NUMBER]]="","",MATCH(T_EMPLOYEES[[#This Row],[DEPARTMENT]],L_DEPARTMENT,0))</f>
        <v>11</v>
      </c>
      <c r="AJ459">
        <f ca="1">IF(T_EMPLOYEES[[#This Row],[EMPLOYEE NUMBER]]="","",MATCH(T_EMPLOYEES[[#This Row],[JOB TYPE]],L_JOBTYPE,0))</f>
        <v>2</v>
      </c>
      <c r="AK459">
        <f ca="1">IF(T_EMPLOYEES[[#This Row],[EMPLOYEE NUMBER]]="","",MATCH(T_EMPLOYEES[[#This Row],[JOB CATEGORY]],L_JOBCATEGORY,0))</f>
        <v>30</v>
      </c>
      <c r="AL459">
        <f ca="1">IF(T_EMPLOYEES[[#This Row],[EMPLOYEE NUMBER]]="","",MATCH(T_EMPLOYEES[[#This Row],[JOB LEVEL]],L_JOBLEVEL,0))</f>
        <v>1</v>
      </c>
      <c r="AM459">
        <f ca="1">IF(T_EMPLOYEES[[#This Row],[EMPLOYEE NUMBER]]="","",MATCH(T_EMPLOYEES[[#This Row],[JOB TITLE]],L_JOBTITLE,0))</f>
        <v>30</v>
      </c>
      <c r="AN459">
        <f ca="1">IF(T_EMPLOYEES[[#This Row],[EMPLOYEE NUMBER]]="","",MATCH(T_EMPLOYEES[[#This Row],[MANAGER]],L_EMPLABELS,0))</f>
        <v>6</v>
      </c>
      <c r="AO459">
        <f ca="1">IF(T_EMPLOYEES[[#This Row],[EMPLOYEE NUMBER]]="","",IF(T_EMPLOYEES[[#This Row],[ERROR]]="",0,1))</f>
        <v>0</v>
      </c>
      <c r="AP45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0" spans="1:42">
      <c r="A460" t="s">
        <v>1483</v>
      </c>
      <c r="B460" t="s">
        <v>1484</v>
      </c>
      <c r="C460">
        <v>1029908</v>
      </c>
      <c r="D460" t="s">
        <v>1485</v>
      </c>
      <c r="E460" s="26">
        <v>36426</v>
      </c>
      <c r="F460" s="26">
        <v>44791</v>
      </c>
      <c r="H460" t="s">
        <v>40</v>
      </c>
      <c r="I460" t="s">
        <v>54</v>
      </c>
      <c r="J460" t="s">
        <v>64</v>
      </c>
      <c r="K460" t="s">
        <v>30</v>
      </c>
      <c r="L460" s="27" t="s">
        <v>114</v>
      </c>
      <c r="M460" t="s">
        <v>46</v>
      </c>
      <c r="N460" t="s">
        <v>151</v>
      </c>
      <c r="O460" t="s">
        <v>36</v>
      </c>
      <c r="P460" t="s">
        <v>151</v>
      </c>
      <c r="Q460" t="s">
        <v>206</v>
      </c>
      <c r="R460" s="27">
        <v>0</v>
      </c>
      <c r="S460" s="1">
        <v>1200000</v>
      </c>
      <c r="T460" s="1">
        <f ca="1">ROUND(T_EMPLOYEES[[#This Row],[EMP_CTC1]]/12, 0)</f>
        <v>100000</v>
      </c>
      <c r="U460" s="1">
        <v>1000000</v>
      </c>
      <c r="V460" s="1" t="s">
        <v>1238</v>
      </c>
      <c r="W460" s="1" t="s">
        <v>1238</v>
      </c>
      <c r="X46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Naragani Lakshmi Durga Sravani (1029908)</v>
      </c>
      <c r="Y460">
        <v>120000</v>
      </c>
      <c r="Z460" s="29">
        <f t="shared" ca="1" si="8"/>
        <v>16.666666666666664</v>
      </c>
      <c r="AA460">
        <f ca="1">IF(T_EMPLOYEES[[#This Row],[EMPLOYEE NUMBER]]="","",ROW(T_EMPLOYEES[[#This Row],[EMPLOYEE LABEL]])-ROW(T_EMPLOYEES[[#Headers],[EMPLOYEE LABEL]]))</f>
        <v>457</v>
      </c>
      <c r="AB460">
        <f ca="1">IF(T_EMPLOYEES[[#This Row],[EMPLOYEE NUMBER]]="","",IF(COUNTIF(T_EMPLOYEES[EMPLOYEE NUMBER],T_EMPLOYEES[[#This Row],[EMPLOYEE NUMBER]])&gt;1,1,0))</f>
        <v>0</v>
      </c>
      <c r="AC460">
        <f ca="1">IF(T_EMPLOYEES[[#This Row],[EMPLOYEE NUMBER]]="","",IF(AND(T_EMPLOYEES[[#This Row],[DATE OF BIRTH]]&gt;0,T_EMPLOYEES[[#This Row],[DATE OF BIRTH]]&lt;TODAY()),0,1))</f>
        <v>0</v>
      </c>
      <c r="AD460">
        <f ca="1">IF(T_EMPLOYEES[[#This Row],[EMPLOYEE NUMBER]]="","",IF(AND(T_EMPLOYEES[[#This Row],[START DATE]]&gt;0,T_EMPLOYEES[[#This Row],[START DATE]]&lt;TODAY()+60),0,1))</f>
        <v>0</v>
      </c>
      <c r="AE460">
        <f ca="1">IF(T_EMPLOYEES[[#This Row],[EMPLOYEE NUMBER]]="","",MATCH(T_EMPLOYEES[[#This Row],[GENDER]],L_GENDER,0))</f>
        <v>2</v>
      </c>
      <c r="AF460">
        <f ca="1">IF(T_EMPLOYEES[[#This Row],[EMPLOYEE NUMBER]]="","",MATCH(T_EMPLOYEES[[#This Row],[HIRE SOURCE]],L_HIRESOURCE,0))</f>
        <v>4</v>
      </c>
      <c r="AG460">
        <f ca="1">IF(T_EMPLOYEES[[#This Row],[EMPLOYEE NUMBER]]="","",MATCH(T_EMPLOYEES[[#This Row],[ETHNICITY]],L_ETHNICITY,0))</f>
        <v>3</v>
      </c>
      <c r="AH460">
        <f ca="1">IF(T_EMPLOYEES[[#This Row],[EMPLOYEE NUMBER]]="","",MATCH(T_EMPLOYEES[[#This Row],[LOCATION]],L_LOCATION,0))</f>
        <v>1</v>
      </c>
      <c r="AI460">
        <f ca="1">IF(T_EMPLOYEES[[#This Row],[EMPLOYEE NUMBER]]="","",MATCH(T_EMPLOYEES[[#This Row],[DEPARTMENT]],L_DEPARTMENT,0))</f>
        <v>11</v>
      </c>
      <c r="AJ460">
        <f ca="1">IF(T_EMPLOYEES[[#This Row],[EMPLOYEE NUMBER]]="","",MATCH(T_EMPLOYEES[[#This Row],[JOB TYPE]],L_JOBTYPE,0))</f>
        <v>2</v>
      </c>
      <c r="AK460">
        <f ca="1">IF(T_EMPLOYEES[[#This Row],[EMPLOYEE NUMBER]]="","",MATCH(T_EMPLOYEES[[#This Row],[JOB CATEGORY]],L_JOBCATEGORY,0))</f>
        <v>30</v>
      </c>
      <c r="AL460">
        <f ca="1">IF(T_EMPLOYEES[[#This Row],[EMPLOYEE NUMBER]]="","",MATCH(T_EMPLOYEES[[#This Row],[JOB LEVEL]],L_JOBLEVEL,0))</f>
        <v>1</v>
      </c>
      <c r="AM460">
        <f ca="1">IF(T_EMPLOYEES[[#This Row],[EMPLOYEE NUMBER]]="","",MATCH(T_EMPLOYEES[[#This Row],[JOB TITLE]],L_JOBTITLE,0))</f>
        <v>30</v>
      </c>
      <c r="AN460">
        <f ca="1">IF(T_EMPLOYEES[[#This Row],[EMPLOYEE NUMBER]]="","",MATCH(T_EMPLOYEES[[#This Row],[MANAGER]],L_EMPLABELS,0))</f>
        <v>6</v>
      </c>
      <c r="AO460">
        <f ca="1">IF(T_EMPLOYEES[[#This Row],[EMPLOYEE NUMBER]]="","",IF(T_EMPLOYEES[[#This Row],[ERROR]]="",0,1))</f>
        <v>0</v>
      </c>
      <c r="AP46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1" spans="1:42">
      <c r="A461" t="s">
        <v>1486</v>
      </c>
      <c r="B461" t="s">
        <v>1487</v>
      </c>
      <c r="C461">
        <v>1030946</v>
      </c>
      <c r="D461" t="s">
        <v>1488</v>
      </c>
      <c r="E461" s="26">
        <v>36429</v>
      </c>
      <c r="F461" s="26">
        <v>44876</v>
      </c>
      <c r="H461" t="s">
        <v>27</v>
      </c>
      <c r="I461" t="s">
        <v>54</v>
      </c>
      <c r="J461" t="s">
        <v>64</v>
      </c>
      <c r="K461" t="s">
        <v>43</v>
      </c>
      <c r="L461" s="27" t="s">
        <v>45</v>
      </c>
      <c r="M461" t="s">
        <v>46</v>
      </c>
      <c r="N461" t="s">
        <v>151</v>
      </c>
      <c r="O461" t="s">
        <v>36</v>
      </c>
      <c r="P461" t="s">
        <v>151</v>
      </c>
      <c r="Q461" t="s">
        <v>218</v>
      </c>
      <c r="R461">
        <v>0</v>
      </c>
      <c r="S461" s="1">
        <v>1200000</v>
      </c>
      <c r="T461" s="1">
        <f ca="1">ROUND(T_EMPLOYEES[[#This Row],[EMP_CTC1]]/12, 0)</f>
        <v>100000</v>
      </c>
      <c r="U461" s="1">
        <v>1000000</v>
      </c>
      <c r="V461" s="1" t="s">
        <v>1238</v>
      </c>
      <c r="W461" s="1" t="s">
        <v>1238</v>
      </c>
      <c r="X46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Deeti Chandu  (1030946)</v>
      </c>
      <c r="Y461">
        <v>120000</v>
      </c>
      <c r="Z461" s="29">
        <f t="shared" ca="1" si="8"/>
        <v>16.666666666666664</v>
      </c>
      <c r="AA461">
        <f ca="1">IF(T_EMPLOYEES[[#This Row],[EMPLOYEE NUMBER]]="","",ROW(T_EMPLOYEES[[#This Row],[EMPLOYEE LABEL]])-ROW(T_EMPLOYEES[[#Headers],[EMPLOYEE LABEL]]))</f>
        <v>458</v>
      </c>
      <c r="AB461">
        <f ca="1">IF(T_EMPLOYEES[[#This Row],[EMPLOYEE NUMBER]]="","",IF(COUNTIF(T_EMPLOYEES[EMPLOYEE NUMBER],T_EMPLOYEES[[#This Row],[EMPLOYEE NUMBER]])&gt;1,1,0))</f>
        <v>0</v>
      </c>
      <c r="AC461">
        <f ca="1">IF(T_EMPLOYEES[[#This Row],[EMPLOYEE NUMBER]]="","",IF(AND(T_EMPLOYEES[[#This Row],[DATE OF BIRTH]]&gt;0,T_EMPLOYEES[[#This Row],[DATE OF BIRTH]]&lt;TODAY()),0,1))</f>
        <v>0</v>
      </c>
      <c r="AD461">
        <f ca="1">IF(T_EMPLOYEES[[#This Row],[EMPLOYEE NUMBER]]="","",IF(AND(T_EMPLOYEES[[#This Row],[START DATE]]&gt;0,T_EMPLOYEES[[#This Row],[START DATE]]&lt;TODAY()+60),0,1))</f>
        <v>0</v>
      </c>
      <c r="AE461">
        <f ca="1">IF(T_EMPLOYEES[[#This Row],[EMPLOYEE NUMBER]]="","",MATCH(T_EMPLOYEES[[#This Row],[GENDER]],L_GENDER,0))</f>
        <v>1</v>
      </c>
      <c r="AF461">
        <f ca="1">IF(T_EMPLOYEES[[#This Row],[EMPLOYEE NUMBER]]="","",MATCH(T_EMPLOYEES[[#This Row],[HIRE SOURCE]],L_HIRESOURCE,0))</f>
        <v>4</v>
      </c>
      <c r="AG461">
        <f ca="1">IF(T_EMPLOYEES[[#This Row],[EMPLOYEE NUMBER]]="","",MATCH(T_EMPLOYEES[[#This Row],[ETHNICITY]],L_ETHNICITY,0))</f>
        <v>3</v>
      </c>
      <c r="AH461">
        <f ca="1">IF(T_EMPLOYEES[[#This Row],[EMPLOYEE NUMBER]]="","",MATCH(T_EMPLOYEES[[#This Row],[LOCATION]],L_LOCATION,0))</f>
        <v>2</v>
      </c>
      <c r="AI461">
        <f ca="1">IF(T_EMPLOYEES[[#This Row],[EMPLOYEE NUMBER]]="","",MATCH(T_EMPLOYEES[[#This Row],[DEPARTMENT]],L_DEPARTMENT,0))</f>
        <v>2</v>
      </c>
      <c r="AJ461">
        <f ca="1">IF(T_EMPLOYEES[[#This Row],[EMPLOYEE NUMBER]]="","",MATCH(T_EMPLOYEES[[#This Row],[JOB TYPE]],L_JOBTYPE,0))</f>
        <v>2</v>
      </c>
      <c r="AK461">
        <f ca="1">IF(T_EMPLOYEES[[#This Row],[EMPLOYEE NUMBER]]="","",MATCH(T_EMPLOYEES[[#This Row],[JOB CATEGORY]],L_JOBCATEGORY,0))</f>
        <v>30</v>
      </c>
      <c r="AL461">
        <f ca="1">IF(T_EMPLOYEES[[#This Row],[EMPLOYEE NUMBER]]="","",MATCH(T_EMPLOYEES[[#This Row],[JOB LEVEL]],L_JOBLEVEL,0))</f>
        <v>1</v>
      </c>
      <c r="AM461">
        <f ca="1">IF(T_EMPLOYEES[[#This Row],[EMPLOYEE NUMBER]]="","",MATCH(T_EMPLOYEES[[#This Row],[JOB TITLE]],L_JOBTITLE,0))</f>
        <v>30</v>
      </c>
      <c r="AN461">
        <f ca="1">IF(T_EMPLOYEES[[#This Row],[EMPLOYEE NUMBER]]="","",MATCH(T_EMPLOYEES[[#This Row],[MANAGER]],L_EMPLABELS,0))</f>
        <v>43</v>
      </c>
      <c r="AO461">
        <f ca="1">IF(T_EMPLOYEES[[#This Row],[EMPLOYEE NUMBER]]="","",IF(T_EMPLOYEES[[#This Row],[ERROR]]="",0,1))</f>
        <v>0</v>
      </c>
      <c r="AP46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2" spans="1:42">
      <c r="A462" t="s">
        <v>1489</v>
      </c>
      <c r="B462" t="s">
        <v>1490</v>
      </c>
      <c r="C462">
        <v>1031095</v>
      </c>
      <c r="D462" t="s">
        <v>1491</v>
      </c>
      <c r="E462" s="26">
        <v>36456</v>
      </c>
      <c r="F462" s="26">
        <v>44889</v>
      </c>
      <c r="H462" t="s">
        <v>27</v>
      </c>
      <c r="I462" t="s">
        <v>54</v>
      </c>
      <c r="J462" t="s">
        <v>64</v>
      </c>
      <c r="K462" t="s">
        <v>43</v>
      </c>
      <c r="L462" s="27" t="s">
        <v>114</v>
      </c>
      <c r="M462" t="s">
        <v>46</v>
      </c>
      <c r="N462" t="s">
        <v>151</v>
      </c>
      <c r="O462" t="s">
        <v>36</v>
      </c>
      <c r="P462" t="s">
        <v>151</v>
      </c>
      <c r="Q462" t="s">
        <v>468</v>
      </c>
      <c r="R462" s="27">
        <v>0</v>
      </c>
      <c r="S462" s="1">
        <v>1200000</v>
      </c>
      <c r="T462" s="1">
        <f ca="1">ROUND(T_EMPLOYEES[[#This Row],[EMP_CTC1]]/12, 0)</f>
        <v>100000</v>
      </c>
      <c r="U462" s="1">
        <v>1000000</v>
      </c>
      <c r="V462" s="1" t="s">
        <v>1238</v>
      </c>
      <c r="W462" s="1" t="s">
        <v>1238</v>
      </c>
      <c r="X46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Darshan Balu Gade (1031095)</v>
      </c>
      <c r="Y462">
        <v>120000</v>
      </c>
      <c r="Z462" s="29">
        <f t="shared" ca="1" si="8"/>
        <v>16.666666666666664</v>
      </c>
      <c r="AA462">
        <f ca="1">IF(T_EMPLOYEES[[#This Row],[EMPLOYEE NUMBER]]="","",ROW(T_EMPLOYEES[[#This Row],[EMPLOYEE LABEL]])-ROW(T_EMPLOYEES[[#Headers],[EMPLOYEE LABEL]]))</f>
        <v>459</v>
      </c>
      <c r="AB462">
        <f ca="1">IF(T_EMPLOYEES[[#This Row],[EMPLOYEE NUMBER]]="","",IF(COUNTIF(T_EMPLOYEES[EMPLOYEE NUMBER],T_EMPLOYEES[[#This Row],[EMPLOYEE NUMBER]])&gt;1,1,0))</f>
        <v>0</v>
      </c>
      <c r="AC462">
        <f ca="1">IF(T_EMPLOYEES[[#This Row],[EMPLOYEE NUMBER]]="","",IF(AND(T_EMPLOYEES[[#This Row],[DATE OF BIRTH]]&gt;0,T_EMPLOYEES[[#This Row],[DATE OF BIRTH]]&lt;TODAY()),0,1))</f>
        <v>0</v>
      </c>
      <c r="AD462">
        <f ca="1">IF(T_EMPLOYEES[[#This Row],[EMPLOYEE NUMBER]]="","",IF(AND(T_EMPLOYEES[[#This Row],[START DATE]]&gt;0,T_EMPLOYEES[[#This Row],[START DATE]]&lt;TODAY()+60),0,1))</f>
        <v>0</v>
      </c>
      <c r="AE462">
        <f ca="1">IF(T_EMPLOYEES[[#This Row],[EMPLOYEE NUMBER]]="","",MATCH(T_EMPLOYEES[[#This Row],[GENDER]],L_GENDER,0))</f>
        <v>1</v>
      </c>
      <c r="AF462">
        <f ca="1">IF(T_EMPLOYEES[[#This Row],[EMPLOYEE NUMBER]]="","",MATCH(T_EMPLOYEES[[#This Row],[HIRE SOURCE]],L_HIRESOURCE,0))</f>
        <v>4</v>
      </c>
      <c r="AG462">
        <f ca="1">IF(T_EMPLOYEES[[#This Row],[EMPLOYEE NUMBER]]="","",MATCH(T_EMPLOYEES[[#This Row],[ETHNICITY]],L_ETHNICITY,0))</f>
        <v>3</v>
      </c>
      <c r="AH462">
        <f ca="1">IF(T_EMPLOYEES[[#This Row],[EMPLOYEE NUMBER]]="","",MATCH(T_EMPLOYEES[[#This Row],[LOCATION]],L_LOCATION,0))</f>
        <v>2</v>
      </c>
      <c r="AI462">
        <f ca="1">IF(T_EMPLOYEES[[#This Row],[EMPLOYEE NUMBER]]="","",MATCH(T_EMPLOYEES[[#This Row],[DEPARTMENT]],L_DEPARTMENT,0))</f>
        <v>11</v>
      </c>
      <c r="AJ462">
        <f ca="1">IF(T_EMPLOYEES[[#This Row],[EMPLOYEE NUMBER]]="","",MATCH(T_EMPLOYEES[[#This Row],[JOB TYPE]],L_JOBTYPE,0))</f>
        <v>2</v>
      </c>
      <c r="AK462">
        <f ca="1">IF(T_EMPLOYEES[[#This Row],[EMPLOYEE NUMBER]]="","",MATCH(T_EMPLOYEES[[#This Row],[JOB CATEGORY]],L_JOBCATEGORY,0))</f>
        <v>30</v>
      </c>
      <c r="AL462">
        <f ca="1">IF(T_EMPLOYEES[[#This Row],[EMPLOYEE NUMBER]]="","",MATCH(T_EMPLOYEES[[#This Row],[JOB LEVEL]],L_JOBLEVEL,0))</f>
        <v>1</v>
      </c>
      <c r="AM462">
        <f ca="1">IF(T_EMPLOYEES[[#This Row],[EMPLOYEE NUMBER]]="","",MATCH(T_EMPLOYEES[[#This Row],[JOB TITLE]],L_JOBTITLE,0))</f>
        <v>30</v>
      </c>
      <c r="AN462">
        <f ca="1">IF(T_EMPLOYEES[[#This Row],[EMPLOYEE NUMBER]]="","",MATCH(T_EMPLOYEES[[#This Row],[MANAGER]],L_EMPLABELS,0))</f>
        <v>56</v>
      </c>
      <c r="AO462">
        <f ca="1">IF(T_EMPLOYEES[[#This Row],[EMPLOYEE NUMBER]]="","",IF(T_EMPLOYEES[[#This Row],[ERROR]]="",0,1))</f>
        <v>0</v>
      </c>
      <c r="AP46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3" spans="1:42">
      <c r="A463" t="s">
        <v>639</v>
      </c>
      <c r="B463" t="s">
        <v>1492</v>
      </c>
      <c r="C463">
        <v>1029531</v>
      </c>
      <c r="D463" t="s">
        <v>1493</v>
      </c>
      <c r="E463" s="26">
        <v>36458</v>
      </c>
      <c r="F463" s="26">
        <v>44757</v>
      </c>
      <c r="H463" t="s">
        <v>40</v>
      </c>
      <c r="I463" t="s">
        <v>54</v>
      </c>
      <c r="J463" t="s">
        <v>64</v>
      </c>
      <c r="K463" t="s">
        <v>43</v>
      </c>
      <c r="L463" s="27" t="s">
        <v>114</v>
      </c>
      <c r="M463" t="s">
        <v>46</v>
      </c>
      <c r="N463" t="s">
        <v>151</v>
      </c>
      <c r="O463" t="s">
        <v>36</v>
      </c>
      <c r="P463" t="s">
        <v>151</v>
      </c>
      <c r="Q463" t="s">
        <v>206</v>
      </c>
      <c r="R463">
        <v>0</v>
      </c>
      <c r="S463" s="1">
        <v>1200000</v>
      </c>
      <c r="T463" s="1">
        <f ca="1">ROUND(T_EMPLOYEES[[#This Row],[EMP_CTC1]]/12, 0)</f>
        <v>100000</v>
      </c>
      <c r="U463" s="1">
        <v>1000000</v>
      </c>
      <c r="V463" s="1" t="s">
        <v>1238</v>
      </c>
      <c r="W463" s="1" t="s">
        <v>1238</v>
      </c>
      <c r="X46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Shaik Shahida (1029531)</v>
      </c>
      <c r="Y463">
        <v>120000</v>
      </c>
      <c r="Z463" s="29">
        <f t="shared" ca="1" si="8"/>
        <v>16.666666666666664</v>
      </c>
      <c r="AA463">
        <f ca="1">IF(T_EMPLOYEES[[#This Row],[EMPLOYEE NUMBER]]="","",ROW(T_EMPLOYEES[[#This Row],[EMPLOYEE LABEL]])-ROW(T_EMPLOYEES[[#Headers],[EMPLOYEE LABEL]]))</f>
        <v>460</v>
      </c>
      <c r="AB463">
        <f ca="1">IF(T_EMPLOYEES[[#This Row],[EMPLOYEE NUMBER]]="","",IF(COUNTIF(T_EMPLOYEES[EMPLOYEE NUMBER],T_EMPLOYEES[[#This Row],[EMPLOYEE NUMBER]])&gt;1,1,0))</f>
        <v>0</v>
      </c>
      <c r="AC463">
        <f ca="1">IF(T_EMPLOYEES[[#This Row],[EMPLOYEE NUMBER]]="","",IF(AND(T_EMPLOYEES[[#This Row],[DATE OF BIRTH]]&gt;0,T_EMPLOYEES[[#This Row],[DATE OF BIRTH]]&lt;TODAY()),0,1))</f>
        <v>0</v>
      </c>
      <c r="AD463">
        <f ca="1">IF(T_EMPLOYEES[[#This Row],[EMPLOYEE NUMBER]]="","",IF(AND(T_EMPLOYEES[[#This Row],[START DATE]]&gt;0,T_EMPLOYEES[[#This Row],[START DATE]]&lt;TODAY()+60),0,1))</f>
        <v>0</v>
      </c>
      <c r="AE463">
        <f ca="1">IF(T_EMPLOYEES[[#This Row],[EMPLOYEE NUMBER]]="","",MATCH(T_EMPLOYEES[[#This Row],[GENDER]],L_GENDER,0))</f>
        <v>2</v>
      </c>
      <c r="AF463">
        <f ca="1">IF(T_EMPLOYEES[[#This Row],[EMPLOYEE NUMBER]]="","",MATCH(T_EMPLOYEES[[#This Row],[HIRE SOURCE]],L_HIRESOURCE,0))</f>
        <v>4</v>
      </c>
      <c r="AG463">
        <f ca="1">IF(T_EMPLOYEES[[#This Row],[EMPLOYEE NUMBER]]="","",MATCH(T_EMPLOYEES[[#This Row],[ETHNICITY]],L_ETHNICITY,0))</f>
        <v>3</v>
      </c>
      <c r="AH463">
        <f ca="1">IF(T_EMPLOYEES[[#This Row],[EMPLOYEE NUMBER]]="","",MATCH(T_EMPLOYEES[[#This Row],[LOCATION]],L_LOCATION,0))</f>
        <v>2</v>
      </c>
      <c r="AI463">
        <f ca="1">IF(T_EMPLOYEES[[#This Row],[EMPLOYEE NUMBER]]="","",MATCH(T_EMPLOYEES[[#This Row],[DEPARTMENT]],L_DEPARTMENT,0))</f>
        <v>11</v>
      </c>
      <c r="AJ463">
        <f ca="1">IF(T_EMPLOYEES[[#This Row],[EMPLOYEE NUMBER]]="","",MATCH(T_EMPLOYEES[[#This Row],[JOB TYPE]],L_JOBTYPE,0))</f>
        <v>2</v>
      </c>
      <c r="AK463">
        <f ca="1">IF(T_EMPLOYEES[[#This Row],[EMPLOYEE NUMBER]]="","",MATCH(T_EMPLOYEES[[#This Row],[JOB CATEGORY]],L_JOBCATEGORY,0))</f>
        <v>30</v>
      </c>
      <c r="AL463">
        <f ca="1">IF(T_EMPLOYEES[[#This Row],[EMPLOYEE NUMBER]]="","",MATCH(T_EMPLOYEES[[#This Row],[JOB LEVEL]],L_JOBLEVEL,0))</f>
        <v>1</v>
      </c>
      <c r="AM463">
        <f ca="1">IF(T_EMPLOYEES[[#This Row],[EMPLOYEE NUMBER]]="","",MATCH(T_EMPLOYEES[[#This Row],[JOB TITLE]],L_JOBTITLE,0))</f>
        <v>30</v>
      </c>
      <c r="AN463">
        <f ca="1">IF(T_EMPLOYEES[[#This Row],[EMPLOYEE NUMBER]]="","",MATCH(T_EMPLOYEES[[#This Row],[MANAGER]],L_EMPLABELS,0))</f>
        <v>6</v>
      </c>
      <c r="AO463">
        <f ca="1">IF(T_EMPLOYEES[[#This Row],[EMPLOYEE NUMBER]]="","",IF(T_EMPLOYEES[[#This Row],[ERROR]]="",0,1))</f>
        <v>0</v>
      </c>
      <c r="AP46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4" spans="1:42">
      <c r="A464" t="s">
        <v>1494</v>
      </c>
      <c r="B464" t="s">
        <v>1495</v>
      </c>
      <c r="C464">
        <v>1026156</v>
      </c>
      <c r="D464" t="s">
        <v>1496</v>
      </c>
      <c r="E464" s="26">
        <v>36467</v>
      </c>
      <c r="F464" s="26">
        <v>44425</v>
      </c>
      <c r="H464" t="s">
        <v>27</v>
      </c>
      <c r="I464" t="s">
        <v>54</v>
      </c>
      <c r="J464" t="s">
        <v>64</v>
      </c>
      <c r="K464" t="s">
        <v>30</v>
      </c>
      <c r="L464" s="27" t="s">
        <v>45</v>
      </c>
      <c r="M464" t="s">
        <v>46</v>
      </c>
      <c r="N464" t="s">
        <v>160</v>
      </c>
      <c r="O464" t="s">
        <v>48</v>
      </c>
      <c r="P464" t="s">
        <v>160</v>
      </c>
      <c r="Q464" t="s">
        <v>608</v>
      </c>
      <c r="R464" s="27">
        <v>4</v>
      </c>
      <c r="S464" s="1">
        <v>1200000</v>
      </c>
      <c r="T464" s="1">
        <f ca="1">ROUND(T_EMPLOYEES[[#This Row],[EMP_CTC1]]/12, 0)</f>
        <v>100000</v>
      </c>
      <c r="U464" s="1">
        <v>1000000</v>
      </c>
      <c r="V464" s="1" t="s">
        <v>1238</v>
      </c>
      <c r="W464" s="1" t="s">
        <v>1238</v>
      </c>
      <c r="X46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Tata Nara Sai Mukesh (1026156)</v>
      </c>
      <c r="Y464">
        <v>120000</v>
      </c>
      <c r="Z464" s="29">
        <f t="shared" ca="1" si="8"/>
        <v>16.666666666666664</v>
      </c>
      <c r="AA464">
        <f ca="1">IF(T_EMPLOYEES[[#This Row],[EMPLOYEE NUMBER]]="","",ROW(T_EMPLOYEES[[#This Row],[EMPLOYEE LABEL]])-ROW(T_EMPLOYEES[[#Headers],[EMPLOYEE LABEL]]))</f>
        <v>461</v>
      </c>
      <c r="AB464">
        <f ca="1">IF(T_EMPLOYEES[[#This Row],[EMPLOYEE NUMBER]]="","",IF(COUNTIF(T_EMPLOYEES[EMPLOYEE NUMBER],T_EMPLOYEES[[#This Row],[EMPLOYEE NUMBER]])&gt;1,1,0))</f>
        <v>0</v>
      </c>
      <c r="AC464">
        <f ca="1">IF(T_EMPLOYEES[[#This Row],[EMPLOYEE NUMBER]]="","",IF(AND(T_EMPLOYEES[[#This Row],[DATE OF BIRTH]]&gt;0,T_EMPLOYEES[[#This Row],[DATE OF BIRTH]]&lt;TODAY()),0,1))</f>
        <v>0</v>
      </c>
      <c r="AD464">
        <f ca="1">IF(T_EMPLOYEES[[#This Row],[EMPLOYEE NUMBER]]="","",IF(AND(T_EMPLOYEES[[#This Row],[START DATE]]&gt;0,T_EMPLOYEES[[#This Row],[START DATE]]&lt;TODAY()+60),0,1))</f>
        <v>0</v>
      </c>
      <c r="AE464">
        <f ca="1">IF(T_EMPLOYEES[[#This Row],[EMPLOYEE NUMBER]]="","",MATCH(T_EMPLOYEES[[#This Row],[GENDER]],L_GENDER,0))</f>
        <v>1</v>
      </c>
      <c r="AF464">
        <f ca="1">IF(T_EMPLOYEES[[#This Row],[EMPLOYEE NUMBER]]="","",MATCH(T_EMPLOYEES[[#This Row],[HIRE SOURCE]],L_HIRESOURCE,0))</f>
        <v>4</v>
      </c>
      <c r="AG464">
        <f ca="1">IF(T_EMPLOYEES[[#This Row],[EMPLOYEE NUMBER]]="","",MATCH(T_EMPLOYEES[[#This Row],[ETHNICITY]],L_ETHNICITY,0))</f>
        <v>3</v>
      </c>
      <c r="AH464">
        <f ca="1">IF(T_EMPLOYEES[[#This Row],[EMPLOYEE NUMBER]]="","",MATCH(T_EMPLOYEES[[#This Row],[LOCATION]],L_LOCATION,0))</f>
        <v>1</v>
      </c>
      <c r="AI464">
        <f ca="1">IF(T_EMPLOYEES[[#This Row],[EMPLOYEE NUMBER]]="","",MATCH(T_EMPLOYEES[[#This Row],[DEPARTMENT]],L_DEPARTMENT,0))</f>
        <v>2</v>
      </c>
      <c r="AJ464">
        <f ca="1">IF(T_EMPLOYEES[[#This Row],[EMPLOYEE NUMBER]]="","",MATCH(T_EMPLOYEES[[#This Row],[JOB TYPE]],L_JOBTYPE,0))</f>
        <v>2</v>
      </c>
      <c r="AK464">
        <f ca="1">IF(T_EMPLOYEES[[#This Row],[EMPLOYEE NUMBER]]="","",MATCH(T_EMPLOYEES[[#This Row],[JOB CATEGORY]],L_JOBCATEGORY,0))</f>
        <v>39</v>
      </c>
      <c r="AL464">
        <f ca="1">IF(T_EMPLOYEES[[#This Row],[EMPLOYEE NUMBER]]="","",MATCH(T_EMPLOYEES[[#This Row],[JOB LEVEL]],L_JOBLEVEL,0))</f>
        <v>2</v>
      </c>
      <c r="AM464">
        <f ca="1">IF(T_EMPLOYEES[[#This Row],[EMPLOYEE NUMBER]]="","",MATCH(T_EMPLOYEES[[#This Row],[JOB TITLE]],L_JOBTITLE,0))</f>
        <v>39</v>
      </c>
      <c r="AN464">
        <f ca="1">IF(T_EMPLOYEES[[#This Row],[EMPLOYEE NUMBER]]="","",MATCH(T_EMPLOYEES[[#This Row],[MANAGER]],L_EMPLABELS,0))</f>
        <v>105</v>
      </c>
      <c r="AO464">
        <f ca="1">IF(T_EMPLOYEES[[#This Row],[EMPLOYEE NUMBER]]="","",IF(T_EMPLOYEES[[#This Row],[ERROR]]="",0,1))</f>
        <v>0</v>
      </c>
      <c r="AP46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5" spans="1:42">
      <c r="A465" t="s">
        <v>1497</v>
      </c>
      <c r="B465" t="s">
        <v>1498</v>
      </c>
      <c r="C465">
        <v>1028547</v>
      </c>
      <c r="D465" t="s">
        <v>1499</v>
      </c>
      <c r="E465" s="26">
        <v>36471</v>
      </c>
      <c r="F465" s="26">
        <v>44629</v>
      </c>
      <c r="H465" t="s">
        <v>40</v>
      </c>
      <c r="I465" t="s">
        <v>54</v>
      </c>
      <c r="J465" t="s">
        <v>64</v>
      </c>
      <c r="K465" t="s">
        <v>43</v>
      </c>
      <c r="L465" s="27" t="s">
        <v>45</v>
      </c>
      <c r="M465" t="s">
        <v>46</v>
      </c>
      <c r="N465" t="s">
        <v>148</v>
      </c>
      <c r="O465" t="s">
        <v>48</v>
      </c>
      <c r="P465" t="s">
        <v>148</v>
      </c>
      <c r="Q465" t="s">
        <v>222</v>
      </c>
      <c r="R465">
        <v>4</v>
      </c>
      <c r="S465" s="1">
        <v>1200000</v>
      </c>
      <c r="T465" s="1">
        <f ca="1">ROUND(T_EMPLOYEES[[#This Row],[EMP_CTC1]]/12, 0)</f>
        <v>100000</v>
      </c>
      <c r="U465" s="1">
        <v>1000000</v>
      </c>
      <c r="V465" s="1" t="s">
        <v>1238</v>
      </c>
      <c r="W465" s="1" t="s">
        <v>1238</v>
      </c>
      <c r="X46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Batchu Sri Sai Priya  (1028547)</v>
      </c>
      <c r="Y465">
        <v>120000</v>
      </c>
      <c r="Z465" s="29">
        <f t="shared" ca="1" si="8"/>
        <v>16.666666666666664</v>
      </c>
      <c r="AA465">
        <f ca="1">IF(T_EMPLOYEES[[#This Row],[EMPLOYEE NUMBER]]="","",ROW(T_EMPLOYEES[[#This Row],[EMPLOYEE LABEL]])-ROW(T_EMPLOYEES[[#Headers],[EMPLOYEE LABEL]]))</f>
        <v>462</v>
      </c>
      <c r="AB465">
        <f ca="1">IF(T_EMPLOYEES[[#This Row],[EMPLOYEE NUMBER]]="","",IF(COUNTIF(T_EMPLOYEES[EMPLOYEE NUMBER],T_EMPLOYEES[[#This Row],[EMPLOYEE NUMBER]])&gt;1,1,0))</f>
        <v>0</v>
      </c>
      <c r="AC465">
        <f ca="1">IF(T_EMPLOYEES[[#This Row],[EMPLOYEE NUMBER]]="","",IF(AND(T_EMPLOYEES[[#This Row],[DATE OF BIRTH]]&gt;0,T_EMPLOYEES[[#This Row],[DATE OF BIRTH]]&lt;TODAY()),0,1))</f>
        <v>0</v>
      </c>
      <c r="AD465">
        <f ca="1">IF(T_EMPLOYEES[[#This Row],[EMPLOYEE NUMBER]]="","",IF(AND(T_EMPLOYEES[[#This Row],[START DATE]]&gt;0,T_EMPLOYEES[[#This Row],[START DATE]]&lt;TODAY()+60),0,1))</f>
        <v>0</v>
      </c>
      <c r="AE465">
        <f ca="1">IF(T_EMPLOYEES[[#This Row],[EMPLOYEE NUMBER]]="","",MATCH(T_EMPLOYEES[[#This Row],[GENDER]],L_GENDER,0))</f>
        <v>2</v>
      </c>
      <c r="AF465">
        <f ca="1">IF(T_EMPLOYEES[[#This Row],[EMPLOYEE NUMBER]]="","",MATCH(T_EMPLOYEES[[#This Row],[HIRE SOURCE]],L_HIRESOURCE,0))</f>
        <v>4</v>
      </c>
      <c r="AG465">
        <f ca="1">IF(T_EMPLOYEES[[#This Row],[EMPLOYEE NUMBER]]="","",MATCH(T_EMPLOYEES[[#This Row],[ETHNICITY]],L_ETHNICITY,0))</f>
        <v>3</v>
      </c>
      <c r="AH465">
        <f ca="1">IF(T_EMPLOYEES[[#This Row],[EMPLOYEE NUMBER]]="","",MATCH(T_EMPLOYEES[[#This Row],[LOCATION]],L_LOCATION,0))</f>
        <v>2</v>
      </c>
      <c r="AI465">
        <f ca="1">IF(T_EMPLOYEES[[#This Row],[EMPLOYEE NUMBER]]="","",MATCH(T_EMPLOYEES[[#This Row],[DEPARTMENT]],L_DEPARTMENT,0))</f>
        <v>2</v>
      </c>
      <c r="AJ465">
        <f ca="1">IF(T_EMPLOYEES[[#This Row],[EMPLOYEE NUMBER]]="","",MATCH(T_EMPLOYEES[[#This Row],[JOB TYPE]],L_JOBTYPE,0))</f>
        <v>2</v>
      </c>
      <c r="AK465">
        <f ca="1">IF(T_EMPLOYEES[[#This Row],[EMPLOYEE NUMBER]]="","",MATCH(T_EMPLOYEES[[#This Row],[JOB CATEGORY]],L_JOBCATEGORY,0))</f>
        <v>27</v>
      </c>
      <c r="AL465">
        <f ca="1">IF(T_EMPLOYEES[[#This Row],[EMPLOYEE NUMBER]]="","",MATCH(T_EMPLOYEES[[#This Row],[JOB LEVEL]],L_JOBLEVEL,0))</f>
        <v>2</v>
      </c>
      <c r="AM465">
        <f ca="1">IF(T_EMPLOYEES[[#This Row],[EMPLOYEE NUMBER]]="","",MATCH(T_EMPLOYEES[[#This Row],[JOB TITLE]],L_JOBTITLE,0))</f>
        <v>27</v>
      </c>
      <c r="AN465">
        <f ca="1">IF(T_EMPLOYEES[[#This Row],[EMPLOYEE NUMBER]]="","",MATCH(T_EMPLOYEES[[#This Row],[MANAGER]],L_EMPLABELS,0))</f>
        <v>69</v>
      </c>
      <c r="AO465">
        <f ca="1">IF(T_EMPLOYEES[[#This Row],[EMPLOYEE NUMBER]]="","",IF(T_EMPLOYEES[[#This Row],[ERROR]]="",0,1))</f>
        <v>0</v>
      </c>
      <c r="AP46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6" spans="1:42">
      <c r="A466" t="s">
        <v>1072</v>
      </c>
      <c r="B466" t="s">
        <v>1188</v>
      </c>
      <c r="C466">
        <v>1027024</v>
      </c>
      <c r="D466" t="s">
        <v>1500</v>
      </c>
      <c r="E466" s="26">
        <v>36476</v>
      </c>
      <c r="F466" s="26">
        <v>44498</v>
      </c>
      <c r="H466" t="s">
        <v>27</v>
      </c>
      <c r="I466" t="s">
        <v>54</v>
      </c>
      <c r="J466" t="s">
        <v>64</v>
      </c>
      <c r="K466" t="s">
        <v>30</v>
      </c>
      <c r="L466" s="27" t="s">
        <v>114</v>
      </c>
      <c r="M466" t="s">
        <v>46</v>
      </c>
      <c r="N466" t="s">
        <v>148</v>
      </c>
      <c r="O466" t="s">
        <v>48</v>
      </c>
      <c r="P466" t="s">
        <v>148</v>
      </c>
      <c r="Q466" t="s">
        <v>206</v>
      </c>
      <c r="R466" s="27">
        <v>4</v>
      </c>
      <c r="S466" s="1">
        <v>1200000</v>
      </c>
      <c r="T466" s="1">
        <f ca="1">ROUND(T_EMPLOYEES[[#This Row],[EMP_CTC1]]/12, 0)</f>
        <v>100000</v>
      </c>
      <c r="U466" s="1">
        <v>1000000</v>
      </c>
      <c r="V466" s="1" t="s">
        <v>1238</v>
      </c>
      <c r="W466" s="1" t="s">
        <v>1238</v>
      </c>
      <c r="X46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Yogesh Prakash (1027024)</v>
      </c>
      <c r="Y466">
        <v>120000</v>
      </c>
      <c r="Z466" s="29">
        <f t="shared" ca="1" si="8"/>
        <v>16.666666666666664</v>
      </c>
      <c r="AA466">
        <f ca="1">IF(T_EMPLOYEES[[#This Row],[EMPLOYEE NUMBER]]="","",ROW(T_EMPLOYEES[[#This Row],[EMPLOYEE LABEL]])-ROW(T_EMPLOYEES[[#Headers],[EMPLOYEE LABEL]]))</f>
        <v>463</v>
      </c>
      <c r="AB466">
        <f ca="1">IF(T_EMPLOYEES[[#This Row],[EMPLOYEE NUMBER]]="","",IF(COUNTIF(T_EMPLOYEES[EMPLOYEE NUMBER],T_EMPLOYEES[[#This Row],[EMPLOYEE NUMBER]])&gt;1,1,0))</f>
        <v>0</v>
      </c>
      <c r="AC466">
        <f ca="1">IF(T_EMPLOYEES[[#This Row],[EMPLOYEE NUMBER]]="","",IF(AND(T_EMPLOYEES[[#This Row],[DATE OF BIRTH]]&gt;0,T_EMPLOYEES[[#This Row],[DATE OF BIRTH]]&lt;TODAY()),0,1))</f>
        <v>0</v>
      </c>
      <c r="AD466">
        <f ca="1">IF(T_EMPLOYEES[[#This Row],[EMPLOYEE NUMBER]]="","",IF(AND(T_EMPLOYEES[[#This Row],[START DATE]]&gt;0,T_EMPLOYEES[[#This Row],[START DATE]]&lt;TODAY()+60),0,1))</f>
        <v>0</v>
      </c>
      <c r="AE466">
        <f ca="1">IF(T_EMPLOYEES[[#This Row],[EMPLOYEE NUMBER]]="","",MATCH(T_EMPLOYEES[[#This Row],[GENDER]],L_GENDER,0))</f>
        <v>1</v>
      </c>
      <c r="AF466">
        <f ca="1">IF(T_EMPLOYEES[[#This Row],[EMPLOYEE NUMBER]]="","",MATCH(T_EMPLOYEES[[#This Row],[HIRE SOURCE]],L_HIRESOURCE,0))</f>
        <v>4</v>
      </c>
      <c r="AG466">
        <f ca="1">IF(T_EMPLOYEES[[#This Row],[EMPLOYEE NUMBER]]="","",MATCH(T_EMPLOYEES[[#This Row],[ETHNICITY]],L_ETHNICITY,0))</f>
        <v>3</v>
      </c>
      <c r="AH466">
        <f ca="1">IF(T_EMPLOYEES[[#This Row],[EMPLOYEE NUMBER]]="","",MATCH(T_EMPLOYEES[[#This Row],[LOCATION]],L_LOCATION,0))</f>
        <v>1</v>
      </c>
      <c r="AI466">
        <f ca="1">IF(T_EMPLOYEES[[#This Row],[EMPLOYEE NUMBER]]="","",MATCH(T_EMPLOYEES[[#This Row],[DEPARTMENT]],L_DEPARTMENT,0))</f>
        <v>11</v>
      </c>
      <c r="AJ466">
        <f ca="1">IF(T_EMPLOYEES[[#This Row],[EMPLOYEE NUMBER]]="","",MATCH(T_EMPLOYEES[[#This Row],[JOB TYPE]],L_JOBTYPE,0))</f>
        <v>2</v>
      </c>
      <c r="AK466">
        <f ca="1">IF(T_EMPLOYEES[[#This Row],[EMPLOYEE NUMBER]]="","",MATCH(T_EMPLOYEES[[#This Row],[JOB CATEGORY]],L_JOBCATEGORY,0))</f>
        <v>27</v>
      </c>
      <c r="AL466">
        <f ca="1">IF(T_EMPLOYEES[[#This Row],[EMPLOYEE NUMBER]]="","",MATCH(T_EMPLOYEES[[#This Row],[JOB LEVEL]],L_JOBLEVEL,0))</f>
        <v>2</v>
      </c>
      <c r="AM466">
        <f ca="1">IF(T_EMPLOYEES[[#This Row],[EMPLOYEE NUMBER]]="","",MATCH(T_EMPLOYEES[[#This Row],[JOB TITLE]],L_JOBTITLE,0))</f>
        <v>27</v>
      </c>
      <c r="AN466">
        <f ca="1">IF(T_EMPLOYEES[[#This Row],[EMPLOYEE NUMBER]]="","",MATCH(T_EMPLOYEES[[#This Row],[MANAGER]],L_EMPLABELS,0))</f>
        <v>6</v>
      </c>
      <c r="AO466">
        <f ca="1">IF(T_EMPLOYEES[[#This Row],[EMPLOYEE NUMBER]]="","",IF(T_EMPLOYEES[[#This Row],[ERROR]]="",0,1))</f>
        <v>0</v>
      </c>
      <c r="AP46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7" spans="1:42">
      <c r="A467" t="s">
        <v>1501</v>
      </c>
      <c r="B467" t="s">
        <v>1502</v>
      </c>
      <c r="C467">
        <v>1033211</v>
      </c>
      <c r="D467" t="s">
        <v>1503</v>
      </c>
      <c r="E467" s="26">
        <v>36514</v>
      </c>
      <c r="F467" s="26">
        <v>45155</v>
      </c>
      <c r="H467" t="s">
        <v>27</v>
      </c>
      <c r="I467" t="s">
        <v>54</v>
      </c>
      <c r="J467" t="s">
        <v>64</v>
      </c>
      <c r="K467" t="s">
        <v>30</v>
      </c>
      <c r="L467" s="27" t="s">
        <v>114</v>
      </c>
      <c r="M467" t="s">
        <v>46</v>
      </c>
      <c r="N467" t="s">
        <v>151</v>
      </c>
      <c r="O467" t="s">
        <v>36</v>
      </c>
      <c r="P467" t="s">
        <v>151</v>
      </c>
      <c r="Q467" t="s">
        <v>468</v>
      </c>
      <c r="R467">
        <v>0</v>
      </c>
      <c r="S467" s="1">
        <v>1200000</v>
      </c>
      <c r="T467" s="1">
        <f ca="1">ROUND(T_EMPLOYEES[[#This Row],[EMP_CTC1]]/12, 0)</f>
        <v>100000</v>
      </c>
      <c r="U467" s="1">
        <v>1000000</v>
      </c>
      <c r="V467" s="1" t="s">
        <v>1238</v>
      </c>
      <c r="W467" s="1" t="s">
        <v>1238</v>
      </c>
      <c r="X46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Kaushik Sarkar (1033211)</v>
      </c>
      <c r="Y467">
        <v>120000</v>
      </c>
      <c r="Z467" s="29">
        <f t="shared" ca="1" si="8"/>
        <v>16.666666666666664</v>
      </c>
      <c r="AA467">
        <f ca="1">IF(T_EMPLOYEES[[#This Row],[EMPLOYEE NUMBER]]="","",ROW(T_EMPLOYEES[[#This Row],[EMPLOYEE LABEL]])-ROW(T_EMPLOYEES[[#Headers],[EMPLOYEE LABEL]]))</f>
        <v>464</v>
      </c>
      <c r="AB467">
        <f ca="1">IF(T_EMPLOYEES[[#This Row],[EMPLOYEE NUMBER]]="","",IF(COUNTIF(T_EMPLOYEES[EMPLOYEE NUMBER],T_EMPLOYEES[[#This Row],[EMPLOYEE NUMBER]])&gt;1,1,0))</f>
        <v>0</v>
      </c>
      <c r="AC467">
        <f ca="1">IF(T_EMPLOYEES[[#This Row],[EMPLOYEE NUMBER]]="","",IF(AND(T_EMPLOYEES[[#This Row],[DATE OF BIRTH]]&gt;0,T_EMPLOYEES[[#This Row],[DATE OF BIRTH]]&lt;TODAY()),0,1))</f>
        <v>0</v>
      </c>
      <c r="AD467">
        <f ca="1">IF(T_EMPLOYEES[[#This Row],[EMPLOYEE NUMBER]]="","",IF(AND(T_EMPLOYEES[[#This Row],[START DATE]]&gt;0,T_EMPLOYEES[[#This Row],[START DATE]]&lt;TODAY()+60),0,1))</f>
        <v>0</v>
      </c>
      <c r="AE467">
        <f ca="1">IF(T_EMPLOYEES[[#This Row],[EMPLOYEE NUMBER]]="","",MATCH(T_EMPLOYEES[[#This Row],[GENDER]],L_GENDER,0))</f>
        <v>1</v>
      </c>
      <c r="AF467">
        <f ca="1">IF(T_EMPLOYEES[[#This Row],[EMPLOYEE NUMBER]]="","",MATCH(T_EMPLOYEES[[#This Row],[HIRE SOURCE]],L_HIRESOURCE,0))</f>
        <v>4</v>
      </c>
      <c r="AG467">
        <f ca="1">IF(T_EMPLOYEES[[#This Row],[EMPLOYEE NUMBER]]="","",MATCH(T_EMPLOYEES[[#This Row],[ETHNICITY]],L_ETHNICITY,0))</f>
        <v>3</v>
      </c>
      <c r="AH467">
        <f ca="1">IF(T_EMPLOYEES[[#This Row],[EMPLOYEE NUMBER]]="","",MATCH(T_EMPLOYEES[[#This Row],[LOCATION]],L_LOCATION,0))</f>
        <v>1</v>
      </c>
      <c r="AI467">
        <f ca="1">IF(T_EMPLOYEES[[#This Row],[EMPLOYEE NUMBER]]="","",MATCH(T_EMPLOYEES[[#This Row],[DEPARTMENT]],L_DEPARTMENT,0))</f>
        <v>11</v>
      </c>
      <c r="AJ467">
        <f ca="1">IF(T_EMPLOYEES[[#This Row],[EMPLOYEE NUMBER]]="","",MATCH(T_EMPLOYEES[[#This Row],[JOB TYPE]],L_JOBTYPE,0))</f>
        <v>2</v>
      </c>
      <c r="AK467">
        <f ca="1">IF(T_EMPLOYEES[[#This Row],[EMPLOYEE NUMBER]]="","",MATCH(T_EMPLOYEES[[#This Row],[JOB CATEGORY]],L_JOBCATEGORY,0))</f>
        <v>30</v>
      </c>
      <c r="AL467">
        <f ca="1">IF(T_EMPLOYEES[[#This Row],[EMPLOYEE NUMBER]]="","",MATCH(T_EMPLOYEES[[#This Row],[JOB LEVEL]],L_JOBLEVEL,0))</f>
        <v>1</v>
      </c>
      <c r="AM467">
        <f ca="1">IF(T_EMPLOYEES[[#This Row],[EMPLOYEE NUMBER]]="","",MATCH(T_EMPLOYEES[[#This Row],[JOB TITLE]],L_JOBTITLE,0))</f>
        <v>30</v>
      </c>
      <c r="AN467">
        <f ca="1">IF(T_EMPLOYEES[[#This Row],[EMPLOYEE NUMBER]]="","",MATCH(T_EMPLOYEES[[#This Row],[MANAGER]],L_EMPLABELS,0))</f>
        <v>56</v>
      </c>
      <c r="AO467">
        <f ca="1">IF(T_EMPLOYEES[[#This Row],[EMPLOYEE NUMBER]]="","",IF(T_EMPLOYEES[[#This Row],[ERROR]]="",0,1))</f>
        <v>0</v>
      </c>
      <c r="AP46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8" spans="1:42">
      <c r="A468" t="s">
        <v>1504</v>
      </c>
      <c r="B468" t="s">
        <v>1505</v>
      </c>
      <c r="C468">
        <v>1028029</v>
      </c>
      <c r="D468" t="s">
        <v>1506</v>
      </c>
      <c r="E468" s="26">
        <v>36520</v>
      </c>
      <c r="F468" s="26">
        <v>44574</v>
      </c>
      <c r="H468" t="s">
        <v>40</v>
      </c>
      <c r="I468" t="s">
        <v>54</v>
      </c>
      <c r="J468" t="s">
        <v>64</v>
      </c>
      <c r="K468" t="s">
        <v>30</v>
      </c>
      <c r="L468" s="27" t="s">
        <v>114</v>
      </c>
      <c r="M468" t="s">
        <v>46</v>
      </c>
      <c r="N468" t="s">
        <v>160</v>
      </c>
      <c r="O468" t="s">
        <v>48</v>
      </c>
      <c r="P468" t="s">
        <v>160</v>
      </c>
      <c r="Q468" t="s">
        <v>505</v>
      </c>
      <c r="R468" s="27">
        <v>4</v>
      </c>
      <c r="S468" s="1">
        <v>1200000</v>
      </c>
      <c r="T468" s="1">
        <f ca="1">ROUND(T_EMPLOYEES[[#This Row],[EMP_CTC1]]/12, 0)</f>
        <v>100000</v>
      </c>
      <c r="U468" s="1">
        <v>1000000</v>
      </c>
      <c r="V468" s="1" t="s">
        <v>1238</v>
      </c>
      <c r="W468" s="1" t="s">
        <v>1238</v>
      </c>
      <c r="X46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Shrushti Manisekar (1028029)</v>
      </c>
      <c r="Y468">
        <v>120000</v>
      </c>
      <c r="Z468" s="29">
        <f t="shared" ca="1" si="8"/>
        <v>16.666666666666664</v>
      </c>
      <c r="AA468">
        <f ca="1">IF(T_EMPLOYEES[[#This Row],[EMPLOYEE NUMBER]]="","",ROW(T_EMPLOYEES[[#This Row],[EMPLOYEE LABEL]])-ROW(T_EMPLOYEES[[#Headers],[EMPLOYEE LABEL]]))</f>
        <v>465</v>
      </c>
      <c r="AB468">
        <f ca="1">IF(T_EMPLOYEES[[#This Row],[EMPLOYEE NUMBER]]="","",IF(COUNTIF(T_EMPLOYEES[EMPLOYEE NUMBER],T_EMPLOYEES[[#This Row],[EMPLOYEE NUMBER]])&gt;1,1,0))</f>
        <v>0</v>
      </c>
      <c r="AC468">
        <f ca="1">IF(T_EMPLOYEES[[#This Row],[EMPLOYEE NUMBER]]="","",IF(AND(T_EMPLOYEES[[#This Row],[DATE OF BIRTH]]&gt;0,T_EMPLOYEES[[#This Row],[DATE OF BIRTH]]&lt;TODAY()),0,1))</f>
        <v>0</v>
      </c>
      <c r="AD468">
        <f ca="1">IF(T_EMPLOYEES[[#This Row],[EMPLOYEE NUMBER]]="","",IF(AND(T_EMPLOYEES[[#This Row],[START DATE]]&gt;0,T_EMPLOYEES[[#This Row],[START DATE]]&lt;TODAY()+60),0,1))</f>
        <v>0</v>
      </c>
      <c r="AE468">
        <f ca="1">IF(T_EMPLOYEES[[#This Row],[EMPLOYEE NUMBER]]="","",MATCH(T_EMPLOYEES[[#This Row],[GENDER]],L_GENDER,0))</f>
        <v>2</v>
      </c>
      <c r="AF468">
        <f ca="1">IF(T_EMPLOYEES[[#This Row],[EMPLOYEE NUMBER]]="","",MATCH(T_EMPLOYEES[[#This Row],[HIRE SOURCE]],L_HIRESOURCE,0))</f>
        <v>4</v>
      </c>
      <c r="AG468">
        <f ca="1">IF(T_EMPLOYEES[[#This Row],[EMPLOYEE NUMBER]]="","",MATCH(T_EMPLOYEES[[#This Row],[ETHNICITY]],L_ETHNICITY,0))</f>
        <v>3</v>
      </c>
      <c r="AH468">
        <f ca="1">IF(T_EMPLOYEES[[#This Row],[EMPLOYEE NUMBER]]="","",MATCH(T_EMPLOYEES[[#This Row],[LOCATION]],L_LOCATION,0))</f>
        <v>1</v>
      </c>
      <c r="AI468">
        <f ca="1">IF(T_EMPLOYEES[[#This Row],[EMPLOYEE NUMBER]]="","",MATCH(T_EMPLOYEES[[#This Row],[DEPARTMENT]],L_DEPARTMENT,0))</f>
        <v>11</v>
      </c>
      <c r="AJ468">
        <f ca="1">IF(T_EMPLOYEES[[#This Row],[EMPLOYEE NUMBER]]="","",MATCH(T_EMPLOYEES[[#This Row],[JOB TYPE]],L_JOBTYPE,0))</f>
        <v>2</v>
      </c>
      <c r="AK468">
        <f ca="1">IF(T_EMPLOYEES[[#This Row],[EMPLOYEE NUMBER]]="","",MATCH(T_EMPLOYEES[[#This Row],[JOB CATEGORY]],L_JOBCATEGORY,0))</f>
        <v>39</v>
      </c>
      <c r="AL468">
        <f ca="1">IF(T_EMPLOYEES[[#This Row],[EMPLOYEE NUMBER]]="","",MATCH(T_EMPLOYEES[[#This Row],[JOB LEVEL]],L_JOBLEVEL,0))</f>
        <v>2</v>
      </c>
      <c r="AM468">
        <f ca="1">IF(T_EMPLOYEES[[#This Row],[EMPLOYEE NUMBER]]="","",MATCH(T_EMPLOYEES[[#This Row],[JOB TITLE]],L_JOBTITLE,0))</f>
        <v>39</v>
      </c>
      <c r="AN468">
        <f ca="1">IF(T_EMPLOYEES[[#This Row],[EMPLOYEE NUMBER]]="","",MATCH(T_EMPLOYEES[[#This Row],[MANAGER]],L_EMPLABELS,0))</f>
        <v>57</v>
      </c>
      <c r="AO468">
        <f ca="1">IF(T_EMPLOYEES[[#This Row],[EMPLOYEE NUMBER]]="","",IF(T_EMPLOYEES[[#This Row],[ERROR]]="",0,1))</f>
        <v>0</v>
      </c>
      <c r="AP46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9" spans="1:42">
      <c r="A469" t="s">
        <v>1139</v>
      </c>
      <c r="B469" t="s">
        <v>1507</v>
      </c>
      <c r="C469">
        <v>1026160</v>
      </c>
      <c r="D469" t="s">
        <v>1508</v>
      </c>
      <c r="E469" s="26">
        <v>36521</v>
      </c>
      <c r="F469" s="26">
        <v>44425</v>
      </c>
      <c r="H469" t="s">
        <v>27</v>
      </c>
      <c r="I469" t="s">
        <v>54</v>
      </c>
      <c r="J469" t="s">
        <v>64</v>
      </c>
      <c r="K469" t="s">
        <v>30</v>
      </c>
      <c r="L469" s="27" t="s">
        <v>45</v>
      </c>
      <c r="M469" t="s">
        <v>46</v>
      </c>
      <c r="N469" t="s">
        <v>160</v>
      </c>
      <c r="O469" t="s">
        <v>48</v>
      </c>
      <c r="P469" t="s">
        <v>160</v>
      </c>
      <c r="Q469" t="s">
        <v>549</v>
      </c>
      <c r="R469">
        <v>4</v>
      </c>
      <c r="S469" s="1">
        <v>1200000</v>
      </c>
      <c r="T469" s="1">
        <f ca="1">ROUND(T_EMPLOYEES[[#This Row],[EMP_CTC1]]/12, 0)</f>
        <v>100000</v>
      </c>
      <c r="U469" s="1">
        <v>1000000</v>
      </c>
      <c r="V469" s="1" t="s">
        <v>1238</v>
      </c>
      <c r="W469" s="1" t="s">
        <v>1238</v>
      </c>
      <c r="X46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Akash S Tonse (1026160)</v>
      </c>
      <c r="Y469">
        <v>120000</v>
      </c>
      <c r="Z469" s="29">
        <f t="shared" ca="1" si="8"/>
        <v>16.666666666666664</v>
      </c>
      <c r="AA469">
        <f ca="1">IF(T_EMPLOYEES[[#This Row],[EMPLOYEE NUMBER]]="","",ROW(T_EMPLOYEES[[#This Row],[EMPLOYEE LABEL]])-ROW(T_EMPLOYEES[[#Headers],[EMPLOYEE LABEL]]))</f>
        <v>466</v>
      </c>
      <c r="AB469">
        <f ca="1">IF(T_EMPLOYEES[[#This Row],[EMPLOYEE NUMBER]]="","",IF(COUNTIF(T_EMPLOYEES[EMPLOYEE NUMBER],T_EMPLOYEES[[#This Row],[EMPLOYEE NUMBER]])&gt;1,1,0))</f>
        <v>0</v>
      </c>
      <c r="AC469">
        <f ca="1">IF(T_EMPLOYEES[[#This Row],[EMPLOYEE NUMBER]]="","",IF(AND(T_EMPLOYEES[[#This Row],[DATE OF BIRTH]]&gt;0,T_EMPLOYEES[[#This Row],[DATE OF BIRTH]]&lt;TODAY()),0,1))</f>
        <v>0</v>
      </c>
      <c r="AD469">
        <f ca="1">IF(T_EMPLOYEES[[#This Row],[EMPLOYEE NUMBER]]="","",IF(AND(T_EMPLOYEES[[#This Row],[START DATE]]&gt;0,T_EMPLOYEES[[#This Row],[START DATE]]&lt;TODAY()+60),0,1))</f>
        <v>0</v>
      </c>
      <c r="AE469">
        <f ca="1">IF(T_EMPLOYEES[[#This Row],[EMPLOYEE NUMBER]]="","",MATCH(T_EMPLOYEES[[#This Row],[GENDER]],L_GENDER,0))</f>
        <v>1</v>
      </c>
      <c r="AF469">
        <f ca="1">IF(T_EMPLOYEES[[#This Row],[EMPLOYEE NUMBER]]="","",MATCH(T_EMPLOYEES[[#This Row],[HIRE SOURCE]],L_HIRESOURCE,0))</f>
        <v>4</v>
      </c>
      <c r="AG469">
        <f ca="1">IF(T_EMPLOYEES[[#This Row],[EMPLOYEE NUMBER]]="","",MATCH(T_EMPLOYEES[[#This Row],[ETHNICITY]],L_ETHNICITY,0))</f>
        <v>3</v>
      </c>
      <c r="AH469">
        <f ca="1">IF(T_EMPLOYEES[[#This Row],[EMPLOYEE NUMBER]]="","",MATCH(T_EMPLOYEES[[#This Row],[LOCATION]],L_LOCATION,0))</f>
        <v>1</v>
      </c>
      <c r="AI469">
        <f ca="1">IF(T_EMPLOYEES[[#This Row],[EMPLOYEE NUMBER]]="","",MATCH(T_EMPLOYEES[[#This Row],[DEPARTMENT]],L_DEPARTMENT,0))</f>
        <v>2</v>
      </c>
      <c r="AJ469">
        <f ca="1">IF(T_EMPLOYEES[[#This Row],[EMPLOYEE NUMBER]]="","",MATCH(T_EMPLOYEES[[#This Row],[JOB TYPE]],L_JOBTYPE,0))</f>
        <v>2</v>
      </c>
      <c r="AK469">
        <f ca="1">IF(T_EMPLOYEES[[#This Row],[EMPLOYEE NUMBER]]="","",MATCH(T_EMPLOYEES[[#This Row],[JOB CATEGORY]],L_JOBCATEGORY,0))</f>
        <v>39</v>
      </c>
      <c r="AL469">
        <f ca="1">IF(T_EMPLOYEES[[#This Row],[EMPLOYEE NUMBER]]="","",MATCH(T_EMPLOYEES[[#This Row],[JOB LEVEL]],L_JOBLEVEL,0))</f>
        <v>2</v>
      </c>
      <c r="AM469">
        <f ca="1">IF(T_EMPLOYEES[[#This Row],[EMPLOYEE NUMBER]]="","",MATCH(T_EMPLOYEES[[#This Row],[JOB TITLE]],L_JOBTITLE,0))</f>
        <v>39</v>
      </c>
      <c r="AN469">
        <f ca="1">IF(T_EMPLOYEES[[#This Row],[EMPLOYEE NUMBER]]="","",MATCH(T_EMPLOYEES[[#This Row],[MANAGER]],L_EMPLABELS,0))</f>
        <v>50</v>
      </c>
      <c r="AO469">
        <f ca="1">IF(T_EMPLOYEES[[#This Row],[EMPLOYEE NUMBER]]="","",IF(T_EMPLOYEES[[#This Row],[ERROR]]="",0,1))</f>
        <v>0</v>
      </c>
      <c r="AP46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0" spans="1:42">
      <c r="A470" t="s">
        <v>74</v>
      </c>
      <c r="B470" t="s">
        <v>1509</v>
      </c>
      <c r="C470">
        <v>1026938</v>
      </c>
      <c r="D470" t="s">
        <v>1510</v>
      </c>
      <c r="E470" s="26">
        <v>36526</v>
      </c>
      <c r="F470" s="26">
        <v>44491</v>
      </c>
      <c r="H470" t="s">
        <v>27</v>
      </c>
      <c r="I470" t="s">
        <v>54</v>
      </c>
      <c r="J470" t="s">
        <v>64</v>
      </c>
      <c r="K470" t="s">
        <v>30</v>
      </c>
      <c r="L470" s="27" t="s">
        <v>45</v>
      </c>
      <c r="M470" t="s">
        <v>46</v>
      </c>
      <c r="N470" t="s">
        <v>148</v>
      </c>
      <c r="O470" t="s">
        <v>48</v>
      </c>
      <c r="P470" t="s">
        <v>148</v>
      </c>
      <c r="Q470" t="s">
        <v>259</v>
      </c>
      <c r="R470" s="27">
        <v>4</v>
      </c>
      <c r="S470" s="1">
        <v>1200000</v>
      </c>
      <c r="T470" s="1">
        <f ca="1">ROUND(T_EMPLOYEES[[#This Row],[EMP_CTC1]]/12, 0)</f>
        <v>100000</v>
      </c>
      <c r="U470" s="1">
        <v>1000000</v>
      </c>
      <c r="V470" s="1" t="s">
        <v>1238</v>
      </c>
      <c r="W470" s="1" t="s">
        <v>1238</v>
      </c>
      <c r="X47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 Thulasi (1026938)</v>
      </c>
      <c r="Y470">
        <v>120000</v>
      </c>
      <c r="Z470" s="29">
        <f t="shared" ca="1" si="8"/>
        <v>16.666666666666664</v>
      </c>
      <c r="AA470">
        <f ca="1">IF(T_EMPLOYEES[[#This Row],[EMPLOYEE NUMBER]]="","",ROW(T_EMPLOYEES[[#This Row],[EMPLOYEE LABEL]])-ROW(T_EMPLOYEES[[#Headers],[EMPLOYEE LABEL]]))</f>
        <v>467</v>
      </c>
      <c r="AB470">
        <f ca="1">IF(T_EMPLOYEES[[#This Row],[EMPLOYEE NUMBER]]="","",IF(COUNTIF(T_EMPLOYEES[EMPLOYEE NUMBER],T_EMPLOYEES[[#This Row],[EMPLOYEE NUMBER]])&gt;1,1,0))</f>
        <v>0</v>
      </c>
      <c r="AC470">
        <f ca="1">IF(T_EMPLOYEES[[#This Row],[EMPLOYEE NUMBER]]="","",IF(AND(T_EMPLOYEES[[#This Row],[DATE OF BIRTH]]&gt;0,T_EMPLOYEES[[#This Row],[DATE OF BIRTH]]&lt;TODAY()),0,1))</f>
        <v>0</v>
      </c>
      <c r="AD470">
        <f ca="1">IF(T_EMPLOYEES[[#This Row],[EMPLOYEE NUMBER]]="","",IF(AND(T_EMPLOYEES[[#This Row],[START DATE]]&gt;0,T_EMPLOYEES[[#This Row],[START DATE]]&lt;TODAY()+60),0,1))</f>
        <v>0</v>
      </c>
      <c r="AE470">
        <f ca="1">IF(T_EMPLOYEES[[#This Row],[EMPLOYEE NUMBER]]="","",MATCH(T_EMPLOYEES[[#This Row],[GENDER]],L_GENDER,0))</f>
        <v>1</v>
      </c>
      <c r="AF470">
        <f ca="1">IF(T_EMPLOYEES[[#This Row],[EMPLOYEE NUMBER]]="","",MATCH(T_EMPLOYEES[[#This Row],[HIRE SOURCE]],L_HIRESOURCE,0))</f>
        <v>4</v>
      </c>
      <c r="AG470">
        <f ca="1">IF(T_EMPLOYEES[[#This Row],[EMPLOYEE NUMBER]]="","",MATCH(T_EMPLOYEES[[#This Row],[ETHNICITY]],L_ETHNICITY,0))</f>
        <v>3</v>
      </c>
      <c r="AH470">
        <f ca="1">IF(T_EMPLOYEES[[#This Row],[EMPLOYEE NUMBER]]="","",MATCH(T_EMPLOYEES[[#This Row],[LOCATION]],L_LOCATION,0))</f>
        <v>1</v>
      </c>
      <c r="AI470">
        <f ca="1">IF(T_EMPLOYEES[[#This Row],[EMPLOYEE NUMBER]]="","",MATCH(T_EMPLOYEES[[#This Row],[DEPARTMENT]],L_DEPARTMENT,0))</f>
        <v>2</v>
      </c>
      <c r="AJ470">
        <f ca="1">IF(T_EMPLOYEES[[#This Row],[EMPLOYEE NUMBER]]="","",MATCH(T_EMPLOYEES[[#This Row],[JOB TYPE]],L_JOBTYPE,0))</f>
        <v>2</v>
      </c>
      <c r="AK470">
        <f ca="1">IF(T_EMPLOYEES[[#This Row],[EMPLOYEE NUMBER]]="","",MATCH(T_EMPLOYEES[[#This Row],[JOB CATEGORY]],L_JOBCATEGORY,0))</f>
        <v>27</v>
      </c>
      <c r="AL470">
        <f ca="1">IF(T_EMPLOYEES[[#This Row],[EMPLOYEE NUMBER]]="","",MATCH(T_EMPLOYEES[[#This Row],[JOB LEVEL]],L_JOBLEVEL,0))</f>
        <v>2</v>
      </c>
      <c r="AM470">
        <f ca="1">IF(T_EMPLOYEES[[#This Row],[EMPLOYEE NUMBER]]="","",MATCH(T_EMPLOYEES[[#This Row],[JOB TITLE]],L_JOBTITLE,0))</f>
        <v>27</v>
      </c>
      <c r="AN470">
        <f ca="1">IF(T_EMPLOYEES[[#This Row],[EMPLOYEE NUMBER]]="","",MATCH(T_EMPLOYEES[[#This Row],[MANAGER]],L_EMPLABELS,0))</f>
        <v>91</v>
      </c>
      <c r="AO470">
        <f ca="1">IF(T_EMPLOYEES[[#This Row],[EMPLOYEE NUMBER]]="","",IF(T_EMPLOYEES[[#This Row],[ERROR]]="",0,1))</f>
        <v>0</v>
      </c>
      <c r="AP47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1" spans="1:42">
      <c r="A471" t="s">
        <v>1511</v>
      </c>
      <c r="B471" t="s">
        <v>1512</v>
      </c>
      <c r="C471">
        <v>1030245</v>
      </c>
      <c r="D471" t="s">
        <v>1513</v>
      </c>
      <c r="E471" s="26">
        <v>36526</v>
      </c>
      <c r="F471" s="26">
        <v>44819</v>
      </c>
      <c r="H471" t="s">
        <v>40</v>
      </c>
      <c r="I471" t="s">
        <v>54</v>
      </c>
      <c r="J471" t="s">
        <v>64</v>
      </c>
      <c r="K471" t="s">
        <v>30</v>
      </c>
      <c r="L471" s="27" t="s">
        <v>114</v>
      </c>
      <c r="M471" t="s">
        <v>46</v>
      </c>
      <c r="N471" t="s">
        <v>151</v>
      </c>
      <c r="O471" t="s">
        <v>36</v>
      </c>
      <c r="P471" t="s">
        <v>151</v>
      </c>
      <c r="Q471" t="s">
        <v>206</v>
      </c>
      <c r="R471">
        <v>0</v>
      </c>
      <c r="S471" s="1">
        <v>1200000</v>
      </c>
      <c r="T471" s="1">
        <f ca="1">ROUND(T_EMPLOYEES[[#This Row],[EMP_CTC1]]/12, 0)</f>
        <v>100000</v>
      </c>
      <c r="U471" s="1">
        <v>1000000</v>
      </c>
      <c r="V471" s="1" t="s">
        <v>1238</v>
      </c>
      <c r="W471" s="1" t="s">
        <v>1238</v>
      </c>
      <c r="X47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Kavuri Pavani (1030245)</v>
      </c>
      <c r="Y471">
        <v>120000</v>
      </c>
      <c r="Z471" s="29">
        <f t="shared" ca="1" si="8"/>
        <v>16.666666666666664</v>
      </c>
      <c r="AA471">
        <f ca="1">IF(T_EMPLOYEES[[#This Row],[EMPLOYEE NUMBER]]="","",ROW(T_EMPLOYEES[[#This Row],[EMPLOYEE LABEL]])-ROW(T_EMPLOYEES[[#Headers],[EMPLOYEE LABEL]]))</f>
        <v>468</v>
      </c>
      <c r="AB471">
        <f ca="1">IF(T_EMPLOYEES[[#This Row],[EMPLOYEE NUMBER]]="","",IF(COUNTIF(T_EMPLOYEES[EMPLOYEE NUMBER],T_EMPLOYEES[[#This Row],[EMPLOYEE NUMBER]])&gt;1,1,0))</f>
        <v>0</v>
      </c>
      <c r="AC471">
        <f ca="1">IF(T_EMPLOYEES[[#This Row],[EMPLOYEE NUMBER]]="","",IF(AND(T_EMPLOYEES[[#This Row],[DATE OF BIRTH]]&gt;0,T_EMPLOYEES[[#This Row],[DATE OF BIRTH]]&lt;TODAY()),0,1))</f>
        <v>0</v>
      </c>
      <c r="AD471">
        <f ca="1">IF(T_EMPLOYEES[[#This Row],[EMPLOYEE NUMBER]]="","",IF(AND(T_EMPLOYEES[[#This Row],[START DATE]]&gt;0,T_EMPLOYEES[[#This Row],[START DATE]]&lt;TODAY()+60),0,1))</f>
        <v>0</v>
      </c>
      <c r="AE471">
        <f ca="1">IF(T_EMPLOYEES[[#This Row],[EMPLOYEE NUMBER]]="","",MATCH(T_EMPLOYEES[[#This Row],[GENDER]],L_GENDER,0))</f>
        <v>2</v>
      </c>
      <c r="AF471">
        <f ca="1">IF(T_EMPLOYEES[[#This Row],[EMPLOYEE NUMBER]]="","",MATCH(T_EMPLOYEES[[#This Row],[HIRE SOURCE]],L_HIRESOURCE,0))</f>
        <v>4</v>
      </c>
      <c r="AG471">
        <f ca="1">IF(T_EMPLOYEES[[#This Row],[EMPLOYEE NUMBER]]="","",MATCH(T_EMPLOYEES[[#This Row],[ETHNICITY]],L_ETHNICITY,0))</f>
        <v>3</v>
      </c>
      <c r="AH471">
        <f ca="1">IF(T_EMPLOYEES[[#This Row],[EMPLOYEE NUMBER]]="","",MATCH(T_EMPLOYEES[[#This Row],[LOCATION]],L_LOCATION,0))</f>
        <v>1</v>
      </c>
      <c r="AI471">
        <f ca="1">IF(T_EMPLOYEES[[#This Row],[EMPLOYEE NUMBER]]="","",MATCH(T_EMPLOYEES[[#This Row],[DEPARTMENT]],L_DEPARTMENT,0))</f>
        <v>11</v>
      </c>
      <c r="AJ471">
        <f ca="1">IF(T_EMPLOYEES[[#This Row],[EMPLOYEE NUMBER]]="","",MATCH(T_EMPLOYEES[[#This Row],[JOB TYPE]],L_JOBTYPE,0))</f>
        <v>2</v>
      </c>
      <c r="AK471">
        <f ca="1">IF(T_EMPLOYEES[[#This Row],[EMPLOYEE NUMBER]]="","",MATCH(T_EMPLOYEES[[#This Row],[JOB CATEGORY]],L_JOBCATEGORY,0))</f>
        <v>30</v>
      </c>
      <c r="AL471">
        <f ca="1">IF(T_EMPLOYEES[[#This Row],[EMPLOYEE NUMBER]]="","",MATCH(T_EMPLOYEES[[#This Row],[JOB LEVEL]],L_JOBLEVEL,0))</f>
        <v>1</v>
      </c>
      <c r="AM471">
        <f ca="1">IF(T_EMPLOYEES[[#This Row],[EMPLOYEE NUMBER]]="","",MATCH(T_EMPLOYEES[[#This Row],[JOB TITLE]],L_JOBTITLE,0))</f>
        <v>30</v>
      </c>
      <c r="AN471">
        <f ca="1">IF(T_EMPLOYEES[[#This Row],[EMPLOYEE NUMBER]]="","",MATCH(T_EMPLOYEES[[#This Row],[MANAGER]],L_EMPLABELS,0))</f>
        <v>6</v>
      </c>
      <c r="AO471">
        <f ca="1">IF(T_EMPLOYEES[[#This Row],[EMPLOYEE NUMBER]]="","",IF(T_EMPLOYEES[[#This Row],[ERROR]]="",0,1))</f>
        <v>0</v>
      </c>
      <c r="AP47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2" spans="1:42">
      <c r="A472" t="s">
        <v>1514</v>
      </c>
      <c r="B472" t="s">
        <v>1515</v>
      </c>
      <c r="C472">
        <v>1027419</v>
      </c>
      <c r="D472" t="s">
        <v>1516</v>
      </c>
      <c r="E472" s="26">
        <v>36533</v>
      </c>
      <c r="F472" s="26">
        <v>44531</v>
      </c>
      <c r="H472" t="s">
        <v>27</v>
      </c>
      <c r="I472" t="s">
        <v>54</v>
      </c>
      <c r="J472" t="s">
        <v>64</v>
      </c>
      <c r="K472" t="s">
        <v>30</v>
      </c>
      <c r="L472" s="27" t="s">
        <v>114</v>
      </c>
      <c r="M472" t="s">
        <v>46</v>
      </c>
      <c r="N472" t="s">
        <v>160</v>
      </c>
      <c r="O472" t="s">
        <v>48</v>
      </c>
      <c r="P472" t="s">
        <v>160</v>
      </c>
      <c r="Q472" t="s">
        <v>468</v>
      </c>
      <c r="R472" s="27">
        <v>4</v>
      </c>
      <c r="S472" s="1">
        <v>1200000</v>
      </c>
      <c r="T472" s="1">
        <f ca="1">ROUND(T_EMPLOYEES[[#This Row],[EMP_CTC1]]/12, 0)</f>
        <v>100000</v>
      </c>
      <c r="U472" s="1">
        <v>1000000</v>
      </c>
      <c r="V472" s="1" t="s">
        <v>1238</v>
      </c>
      <c r="W472" s="1" t="s">
        <v>1238</v>
      </c>
      <c r="X47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Sreenath  M S (1027419)</v>
      </c>
      <c r="Y472">
        <v>120000</v>
      </c>
      <c r="Z472" s="29">
        <f t="shared" ca="1" si="8"/>
        <v>16.666666666666664</v>
      </c>
      <c r="AA472">
        <f ca="1">IF(T_EMPLOYEES[[#This Row],[EMPLOYEE NUMBER]]="","",ROW(T_EMPLOYEES[[#This Row],[EMPLOYEE LABEL]])-ROW(T_EMPLOYEES[[#Headers],[EMPLOYEE LABEL]]))</f>
        <v>469</v>
      </c>
      <c r="AB472">
        <f ca="1">IF(T_EMPLOYEES[[#This Row],[EMPLOYEE NUMBER]]="","",IF(COUNTIF(T_EMPLOYEES[EMPLOYEE NUMBER],T_EMPLOYEES[[#This Row],[EMPLOYEE NUMBER]])&gt;1,1,0))</f>
        <v>0</v>
      </c>
      <c r="AC472">
        <f ca="1">IF(T_EMPLOYEES[[#This Row],[EMPLOYEE NUMBER]]="","",IF(AND(T_EMPLOYEES[[#This Row],[DATE OF BIRTH]]&gt;0,T_EMPLOYEES[[#This Row],[DATE OF BIRTH]]&lt;TODAY()),0,1))</f>
        <v>0</v>
      </c>
      <c r="AD472">
        <f ca="1">IF(T_EMPLOYEES[[#This Row],[EMPLOYEE NUMBER]]="","",IF(AND(T_EMPLOYEES[[#This Row],[START DATE]]&gt;0,T_EMPLOYEES[[#This Row],[START DATE]]&lt;TODAY()+60),0,1))</f>
        <v>0</v>
      </c>
      <c r="AE472">
        <f ca="1">IF(T_EMPLOYEES[[#This Row],[EMPLOYEE NUMBER]]="","",MATCH(T_EMPLOYEES[[#This Row],[GENDER]],L_GENDER,0))</f>
        <v>1</v>
      </c>
      <c r="AF472">
        <f ca="1">IF(T_EMPLOYEES[[#This Row],[EMPLOYEE NUMBER]]="","",MATCH(T_EMPLOYEES[[#This Row],[HIRE SOURCE]],L_HIRESOURCE,0))</f>
        <v>4</v>
      </c>
      <c r="AG472">
        <f ca="1">IF(T_EMPLOYEES[[#This Row],[EMPLOYEE NUMBER]]="","",MATCH(T_EMPLOYEES[[#This Row],[ETHNICITY]],L_ETHNICITY,0))</f>
        <v>3</v>
      </c>
      <c r="AH472">
        <f ca="1">IF(T_EMPLOYEES[[#This Row],[EMPLOYEE NUMBER]]="","",MATCH(T_EMPLOYEES[[#This Row],[LOCATION]],L_LOCATION,0))</f>
        <v>1</v>
      </c>
      <c r="AI472">
        <f ca="1">IF(T_EMPLOYEES[[#This Row],[EMPLOYEE NUMBER]]="","",MATCH(T_EMPLOYEES[[#This Row],[DEPARTMENT]],L_DEPARTMENT,0))</f>
        <v>11</v>
      </c>
      <c r="AJ472">
        <f ca="1">IF(T_EMPLOYEES[[#This Row],[EMPLOYEE NUMBER]]="","",MATCH(T_EMPLOYEES[[#This Row],[JOB TYPE]],L_JOBTYPE,0))</f>
        <v>2</v>
      </c>
      <c r="AK472">
        <f ca="1">IF(T_EMPLOYEES[[#This Row],[EMPLOYEE NUMBER]]="","",MATCH(T_EMPLOYEES[[#This Row],[JOB CATEGORY]],L_JOBCATEGORY,0))</f>
        <v>39</v>
      </c>
      <c r="AL472">
        <f ca="1">IF(T_EMPLOYEES[[#This Row],[EMPLOYEE NUMBER]]="","",MATCH(T_EMPLOYEES[[#This Row],[JOB LEVEL]],L_JOBLEVEL,0))</f>
        <v>2</v>
      </c>
      <c r="AM472">
        <f ca="1">IF(T_EMPLOYEES[[#This Row],[EMPLOYEE NUMBER]]="","",MATCH(T_EMPLOYEES[[#This Row],[JOB TITLE]],L_JOBTITLE,0))</f>
        <v>39</v>
      </c>
      <c r="AN472">
        <f ca="1">IF(T_EMPLOYEES[[#This Row],[EMPLOYEE NUMBER]]="","",MATCH(T_EMPLOYEES[[#This Row],[MANAGER]],L_EMPLABELS,0))</f>
        <v>56</v>
      </c>
      <c r="AO472">
        <f ca="1">IF(T_EMPLOYEES[[#This Row],[EMPLOYEE NUMBER]]="","",IF(T_EMPLOYEES[[#This Row],[ERROR]]="",0,1))</f>
        <v>0</v>
      </c>
      <c r="AP47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3" spans="1:42">
      <c r="A473" t="s">
        <v>1517</v>
      </c>
      <c r="B473" t="s">
        <v>1518</v>
      </c>
      <c r="C473">
        <v>1033210</v>
      </c>
      <c r="D473" t="s">
        <v>1519</v>
      </c>
      <c r="E473" s="26">
        <v>36552</v>
      </c>
      <c r="F473" s="26">
        <v>45155</v>
      </c>
      <c r="H473" t="s">
        <v>40</v>
      </c>
      <c r="I473" t="s">
        <v>54</v>
      </c>
      <c r="J473" t="s">
        <v>64</v>
      </c>
      <c r="K473" t="s">
        <v>30</v>
      </c>
      <c r="L473" s="27" t="s">
        <v>114</v>
      </c>
      <c r="M473" t="s">
        <v>46</v>
      </c>
      <c r="N473" t="s">
        <v>151</v>
      </c>
      <c r="O473" t="s">
        <v>36</v>
      </c>
      <c r="P473" t="s">
        <v>151</v>
      </c>
      <c r="Q473" t="s">
        <v>505</v>
      </c>
      <c r="R473">
        <v>0</v>
      </c>
      <c r="S473" s="1">
        <v>1200000</v>
      </c>
      <c r="T473" s="1">
        <f ca="1">ROUND(T_EMPLOYEES[[#This Row],[EMP_CTC1]]/12, 0)</f>
        <v>100000</v>
      </c>
      <c r="U473" s="1">
        <v>1000000</v>
      </c>
      <c r="V473" s="1" t="s">
        <v>1065</v>
      </c>
      <c r="W473" s="1" t="s">
        <v>1065</v>
      </c>
      <c r="X47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Akanksha Verma (1033210)</v>
      </c>
      <c r="Y473">
        <v>120000</v>
      </c>
      <c r="Z473" s="29">
        <f t="shared" ca="1" si="8"/>
        <v>16.666666666666664</v>
      </c>
      <c r="AA473">
        <f ca="1">IF(T_EMPLOYEES[[#This Row],[EMPLOYEE NUMBER]]="","",ROW(T_EMPLOYEES[[#This Row],[EMPLOYEE LABEL]])-ROW(T_EMPLOYEES[[#Headers],[EMPLOYEE LABEL]]))</f>
        <v>470</v>
      </c>
      <c r="AB473">
        <f ca="1">IF(T_EMPLOYEES[[#This Row],[EMPLOYEE NUMBER]]="","",IF(COUNTIF(T_EMPLOYEES[EMPLOYEE NUMBER],T_EMPLOYEES[[#This Row],[EMPLOYEE NUMBER]])&gt;1,1,0))</f>
        <v>0</v>
      </c>
      <c r="AC473">
        <f ca="1">IF(T_EMPLOYEES[[#This Row],[EMPLOYEE NUMBER]]="","",IF(AND(T_EMPLOYEES[[#This Row],[DATE OF BIRTH]]&gt;0,T_EMPLOYEES[[#This Row],[DATE OF BIRTH]]&lt;TODAY()),0,1))</f>
        <v>0</v>
      </c>
      <c r="AD473">
        <f ca="1">IF(T_EMPLOYEES[[#This Row],[EMPLOYEE NUMBER]]="","",IF(AND(T_EMPLOYEES[[#This Row],[START DATE]]&gt;0,T_EMPLOYEES[[#This Row],[START DATE]]&lt;TODAY()+60),0,1))</f>
        <v>0</v>
      </c>
      <c r="AE473">
        <f ca="1">IF(T_EMPLOYEES[[#This Row],[EMPLOYEE NUMBER]]="","",MATCH(T_EMPLOYEES[[#This Row],[GENDER]],L_GENDER,0))</f>
        <v>2</v>
      </c>
      <c r="AF473">
        <f ca="1">IF(T_EMPLOYEES[[#This Row],[EMPLOYEE NUMBER]]="","",MATCH(T_EMPLOYEES[[#This Row],[HIRE SOURCE]],L_HIRESOURCE,0))</f>
        <v>4</v>
      </c>
      <c r="AG473">
        <f ca="1">IF(T_EMPLOYEES[[#This Row],[EMPLOYEE NUMBER]]="","",MATCH(T_EMPLOYEES[[#This Row],[ETHNICITY]],L_ETHNICITY,0))</f>
        <v>3</v>
      </c>
      <c r="AH473">
        <f ca="1">IF(T_EMPLOYEES[[#This Row],[EMPLOYEE NUMBER]]="","",MATCH(T_EMPLOYEES[[#This Row],[LOCATION]],L_LOCATION,0))</f>
        <v>1</v>
      </c>
      <c r="AI473">
        <f ca="1">IF(T_EMPLOYEES[[#This Row],[EMPLOYEE NUMBER]]="","",MATCH(T_EMPLOYEES[[#This Row],[DEPARTMENT]],L_DEPARTMENT,0))</f>
        <v>11</v>
      </c>
      <c r="AJ473">
        <f ca="1">IF(T_EMPLOYEES[[#This Row],[EMPLOYEE NUMBER]]="","",MATCH(T_EMPLOYEES[[#This Row],[JOB TYPE]],L_JOBTYPE,0))</f>
        <v>2</v>
      </c>
      <c r="AK473">
        <f ca="1">IF(T_EMPLOYEES[[#This Row],[EMPLOYEE NUMBER]]="","",MATCH(T_EMPLOYEES[[#This Row],[JOB CATEGORY]],L_JOBCATEGORY,0))</f>
        <v>30</v>
      </c>
      <c r="AL473">
        <f ca="1">IF(T_EMPLOYEES[[#This Row],[EMPLOYEE NUMBER]]="","",MATCH(T_EMPLOYEES[[#This Row],[JOB LEVEL]],L_JOBLEVEL,0))</f>
        <v>1</v>
      </c>
      <c r="AM473">
        <f ca="1">IF(T_EMPLOYEES[[#This Row],[EMPLOYEE NUMBER]]="","",MATCH(T_EMPLOYEES[[#This Row],[JOB TITLE]],L_JOBTITLE,0))</f>
        <v>30</v>
      </c>
      <c r="AN473">
        <f ca="1">IF(T_EMPLOYEES[[#This Row],[EMPLOYEE NUMBER]]="","",MATCH(T_EMPLOYEES[[#This Row],[MANAGER]],L_EMPLABELS,0))</f>
        <v>57</v>
      </c>
      <c r="AO473">
        <f ca="1">IF(T_EMPLOYEES[[#This Row],[EMPLOYEE NUMBER]]="","",IF(T_EMPLOYEES[[#This Row],[ERROR]]="",0,1))</f>
        <v>0</v>
      </c>
      <c r="AP47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4" spans="1:42">
      <c r="A474" t="s">
        <v>1520</v>
      </c>
      <c r="B474" t="s">
        <v>274</v>
      </c>
      <c r="C474">
        <v>1033247</v>
      </c>
      <c r="D474" t="s">
        <v>1521</v>
      </c>
      <c r="E474" s="26">
        <v>36557</v>
      </c>
      <c r="F474" s="26">
        <v>45155</v>
      </c>
      <c r="H474" t="s">
        <v>27</v>
      </c>
      <c r="I474" t="s">
        <v>54</v>
      </c>
      <c r="J474" t="s">
        <v>64</v>
      </c>
      <c r="K474" t="s">
        <v>30</v>
      </c>
      <c r="L474" s="27" t="s">
        <v>45</v>
      </c>
      <c r="M474" t="s">
        <v>46</v>
      </c>
      <c r="N474" t="s">
        <v>151</v>
      </c>
      <c r="O474" t="s">
        <v>36</v>
      </c>
      <c r="P474" t="s">
        <v>151</v>
      </c>
      <c r="Q474" t="s">
        <v>1522</v>
      </c>
      <c r="R474" s="27">
        <v>0</v>
      </c>
      <c r="S474" s="1">
        <v>1200000</v>
      </c>
      <c r="T474" s="1">
        <f ca="1">ROUND(T_EMPLOYEES[[#This Row],[EMP_CTC1]]/12, 0)</f>
        <v>100000</v>
      </c>
      <c r="U474" s="1">
        <v>1000000</v>
      </c>
      <c r="V474" s="1" t="s">
        <v>1065</v>
      </c>
      <c r="W474" s="1" t="s">
        <v>1065</v>
      </c>
      <c r="X47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Konnagula Srikanth (1033247)</v>
      </c>
      <c r="Y474">
        <v>120000</v>
      </c>
      <c r="Z474" s="29">
        <f t="shared" ca="1" si="8"/>
        <v>16.666666666666664</v>
      </c>
      <c r="AA474">
        <f ca="1">IF(T_EMPLOYEES[[#This Row],[EMPLOYEE NUMBER]]="","",ROW(T_EMPLOYEES[[#This Row],[EMPLOYEE LABEL]])-ROW(T_EMPLOYEES[[#Headers],[EMPLOYEE LABEL]]))</f>
        <v>471</v>
      </c>
      <c r="AB474">
        <f ca="1">IF(T_EMPLOYEES[[#This Row],[EMPLOYEE NUMBER]]="","",IF(COUNTIF(T_EMPLOYEES[EMPLOYEE NUMBER],T_EMPLOYEES[[#This Row],[EMPLOYEE NUMBER]])&gt;1,1,0))</f>
        <v>0</v>
      </c>
      <c r="AC474">
        <f ca="1">IF(T_EMPLOYEES[[#This Row],[EMPLOYEE NUMBER]]="","",IF(AND(T_EMPLOYEES[[#This Row],[DATE OF BIRTH]]&gt;0,T_EMPLOYEES[[#This Row],[DATE OF BIRTH]]&lt;TODAY()),0,1))</f>
        <v>0</v>
      </c>
      <c r="AD474">
        <f ca="1">IF(T_EMPLOYEES[[#This Row],[EMPLOYEE NUMBER]]="","",IF(AND(T_EMPLOYEES[[#This Row],[START DATE]]&gt;0,T_EMPLOYEES[[#This Row],[START DATE]]&lt;TODAY()+60),0,1))</f>
        <v>0</v>
      </c>
      <c r="AE474">
        <f ca="1">IF(T_EMPLOYEES[[#This Row],[EMPLOYEE NUMBER]]="","",MATCH(T_EMPLOYEES[[#This Row],[GENDER]],L_GENDER,0))</f>
        <v>1</v>
      </c>
      <c r="AF474">
        <f ca="1">IF(T_EMPLOYEES[[#This Row],[EMPLOYEE NUMBER]]="","",MATCH(T_EMPLOYEES[[#This Row],[HIRE SOURCE]],L_HIRESOURCE,0))</f>
        <v>4</v>
      </c>
      <c r="AG474">
        <f ca="1">IF(T_EMPLOYEES[[#This Row],[EMPLOYEE NUMBER]]="","",MATCH(T_EMPLOYEES[[#This Row],[ETHNICITY]],L_ETHNICITY,0))</f>
        <v>3</v>
      </c>
      <c r="AH474">
        <f ca="1">IF(T_EMPLOYEES[[#This Row],[EMPLOYEE NUMBER]]="","",MATCH(T_EMPLOYEES[[#This Row],[LOCATION]],L_LOCATION,0))</f>
        <v>1</v>
      </c>
      <c r="AI474">
        <f ca="1">IF(T_EMPLOYEES[[#This Row],[EMPLOYEE NUMBER]]="","",MATCH(T_EMPLOYEES[[#This Row],[DEPARTMENT]],L_DEPARTMENT,0))</f>
        <v>2</v>
      </c>
      <c r="AJ474">
        <f ca="1">IF(T_EMPLOYEES[[#This Row],[EMPLOYEE NUMBER]]="","",MATCH(T_EMPLOYEES[[#This Row],[JOB TYPE]],L_JOBTYPE,0))</f>
        <v>2</v>
      </c>
      <c r="AK474">
        <f ca="1">IF(T_EMPLOYEES[[#This Row],[EMPLOYEE NUMBER]]="","",MATCH(T_EMPLOYEES[[#This Row],[JOB CATEGORY]],L_JOBCATEGORY,0))</f>
        <v>30</v>
      </c>
      <c r="AL474">
        <f ca="1">IF(T_EMPLOYEES[[#This Row],[EMPLOYEE NUMBER]]="","",MATCH(T_EMPLOYEES[[#This Row],[JOB LEVEL]],L_JOBLEVEL,0))</f>
        <v>1</v>
      </c>
      <c r="AM474">
        <f ca="1">IF(T_EMPLOYEES[[#This Row],[EMPLOYEE NUMBER]]="","",MATCH(T_EMPLOYEES[[#This Row],[JOB TITLE]],L_JOBTITLE,0))</f>
        <v>30</v>
      </c>
      <c r="AN474">
        <f ca="1">IF(T_EMPLOYEES[[#This Row],[EMPLOYEE NUMBER]]="","",MATCH(T_EMPLOYEES[[#This Row],[MANAGER]],L_EMPLABELS,0))</f>
        <v>38</v>
      </c>
      <c r="AO474">
        <f ca="1">IF(T_EMPLOYEES[[#This Row],[EMPLOYEE NUMBER]]="","",IF(T_EMPLOYEES[[#This Row],[ERROR]]="",0,1))</f>
        <v>0</v>
      </c>
      <c r="AP47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5" spans="1:42">
      <c r="A475" t="s">
        <v>1523</v>
      </c>
      <c r="B475" t="s">
        <v>1524</v>
      </c>
      <c r="C475">
        <v>1033831</v>
      </c>
      <c r="D475" t="s">
        <v>1525</v>
      </c>
      <c r="E475" s="26">
        <v>36596</v>
      </c>
      <c r="F475" s="26">
        <v>45236</v>
      </c>
      <c r="H475" t="s">
        <v>27</v>
      </c>
      <c r="I475" t="s">
        <v>54</v>
      </c>
      <c r="J475" t="s">
        <v>64</v>
      </c>
      <c r="K475" t="s">
        <v>30</v>
      </c>
      <c r="L475" s="27" t="s">
        <v>110</v>
      </c>
      <c r="M475" t="s">
        <v>46</v>
      </c>
      <c r="N475" t="s">
        <v>165</v>
      </c>
      <c r="O475" t="s">
        <v>36</v>
      </c>
      <c r="P475" t="s">
        <v>165</v>
      </c>
      <c r="Q475" t="s">
        <v>344</v>
      </c>
      <c r="R475">
        <v>0</v>
      </c>
      <c r="S475" s="1">
        <v>1200000</v>
      </c>
      <c r="T475" s="1">
        <f ca="1">ROUND(T_EMPLOYEES[[#This Row],[EMP_CTC1]]/12, 0)</f>
        <v>100000</v>
      </c>
      <c r="U475" s="1">
        <v>1000000</v>
      </c>
      <c r="V475" s="1" t="s">
        <v>1065</v>
      </c>
      <c r="W475" s="1" t="s">
        <v>1065</v>
      </c>
      <c r="X47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Shrish Ram Bale (1033831)</v>
      </c>
      <c r="Y475">
        <v>120000</v>
      </c>
      <c r="Z475" s="29">
        <f t="shared" ca="1" si="8"/>
        <v>16.666666666666664</v>
      </c>
      <c r="AA475">
        <f ca="1">IF(T_EMPLOYEES[[#This Row],[EMPLOYEE NUMBER]]="","",ROW(T_EMPLOYEES[[#This Row],[EMPLOYEE LABEL]])-ROW(T_EMPLOYEES[[#Headers],[EMPLOYEE LABEL]]))</f>
        <v>472</v>
      </c>
      <c r="AB475">
        <f ca="1">IF(T_EMPLOYEES[[#This Row],[EMPLOYEE NUMBER]]="","",IF(COUNTIF(T_EMPLOYEES[EMPLOYEE NUMBER],T_EMPLOYEES[[#This Row],[EMPLOYEE NUMBER]])&gt;1,1,0))</f>
        <v>0</v>
      </c>
      <c r="AC475">
        <f ca="1">IF(T_EMPLOYEES[[#This Row],[EMPLOYEE NUMBER]]="","",IF(AND(T_EMPLOYEES[[#This Row],[DATE OF BIRTH]]&gt;0,T_EMPLOYEES[[#This Row],[DATE OF BIRTH]]&lt;TODAY()),0,1))</f>
        <v>0</v>
      </c>
      <c r="AD475">
        <f ca="1">IF(T_EMPLOYEES[[#This Row],[EMPLOYEE NUMBER]]="","",IF(AND(T_EMPLOYEES[[#This Row],[START DATE]]&gt;0,T_EMPLOYEES[[#This Row],[START DATE]]&lt;TODAY()+60),0,1))</f>
        <v>0</v>
      </c>
      <c r="AE475">
        <f ca="1">IF(T_EMPLOYEES[[#This Row],[EMPLOYEE NUMBER]]="","",MATCH(T_EMPLOYEES[[#This Row],[GENDER]],L_GENDER,0))</f>
        <v>1</v>
      </c>
      <c r="AF475">
        <f ca="1">IF(T_EMPLOYEES[[#This Row],[EMPLOYEE NUMBER]]="","",MATCH(T_EMPLOYEES[[#This Row],[HIRE SOURCE]],L_HIRESOURCE,0))</f>
        <v>4</v>
      </c>
      <c r="AG475">
        <f ca="1">IF(T_EMPLOYEES[[#This Row],[EMPLOYEE NUMBER]]="","",MATCH(T_EMPLOYEES[[#This Row],[ETHNICITY]],L_ETHNICITY,0))</f>
        <v>3</v>
      </c>
      <c r="AH475">
        <f ca="1">IF(T_EMPLOYEES[[#This Row],[EMPLOYEE NUMBER]]="","",MATCH(T_EMPLOYEES[[#This Row],[LOCATION]],L_LOCATION,0))</f>
        <v>1</v>
      </c>
      <c r="AI475">
        <f ca="1">IF(T_EMPLOYEES[[#This Row],[EMPLOYEE NUMBER]]="","",MATCH(T_EMPLOYEES[[#This Row],[DEPARTMENT]],L_DEPARTMENT,0))</f>
        <v>10</v>
      </c>
      <c r="AJ475">
        <f ca="1">IF(T_EMPLOYEES[[#This Row],[EMPLOYEE NUMBER]]="","",MATCH(T_EMPLOYEES[[#This Row],[JOB TYPE]],L_JOBTYPE,0))</f>
        <v>2</v>
      </c>
      <c r="AK475">
        <f ca="1">IF(T_EMPLOYEES[[#This Row],[EMPLOYEE NUMBER]]="","",MATCH(T_EMPLOYEES[[#This Row],[JOB CATEGORY]],L_JOBCATEGORY,0))</f>
        <v>44</v>
      </c>
      <c r="AL475">
        <f ca="1">IF(T_EMPLOYEES[[#This Row],[EMPLOYEE NUMBER]]="","",MATCH(T_EMPLOYEES[[#This Row],[JOB LEVEL]],L_JOBLEVEL,0))</f>
        <v>1</v>
      </c>
      <c r="AM475">
        <f ca="1">IF(T_EMPLOYEES[[#This Row],[EMPLOYEE NUMBER]]="","",MATCH(T_EMPLOYEES[[#This Row],[JOB TITLE]],L_JOBTITLE,0))</f>
        <v>44</v>
      </c>
      <c r="AN475">
        <f ca="1">IF(T_EMPLOYEES[[#This Row],[EMPLOYEE NUMBER]]="","",MATCH(T_EMPLOYEES[[#This Row],[MANAGER]],L_EMPLABELS,0))</f>
        <v>12</v>
      </c>
      <c r="AO475">
        <f ca="1">IF(T_EMPLOYEES[[#This Row],[EMPLOYEE NUMBER]]="","",IF(T_EMPLOYEES[[#This Row],[ERROR]]="",0,1))</f>
        <v>0</v>
      </c>
      <c r="AP47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6" spans="1:42">
      <c r="A476" t="s">
        <v>1526</v>
      </c>
      <c r="B476" t="s">
        <v>1527</v>
      </c>
      <c r="C476">
        <v>1030906</v>
      </c>
      <c r="D476" t="s">
        <v>1528</v>
      </c>
      <c r="E476" s="26">
        <v>36604</v>
      </c>
      <c r="F476" s="26">
        <v>44876</v>
      </c>
      <c r="H476" t="s">
        <v>27</v>
      </c>
      <c r="I476" t="s">
        <v>54</v>
      </c>
      <c r="J476" t="s">
        <v>64</v>
      </c>
      <c r="K476" t="s">
        <v>30</v>
      </c>
      <c r="L476" s="27" t="s">
        <v>45</v>
      </c>
      <c r="M476" t="s">
        <v>46</v>
      </c>
      <c r="N476" t="s">
        <v>151</v>
      </c>
      <c r="O476" t="s">
        <v>36</v>
      </c>
      <c r="P476" t="s">
        <v>151</v>
      </c>
      <c r="Q476" t="s">
        <v>218</v>
      </c>
      <c r="R476" s="27">
        <v>0</v>
      </c>
      <c r="S476" s="1">
        <v>1200000</v>
      </c>
      <c r="T476" s="1">
        <f ca="1">ROUND(T_EMPLOYEES[[#This Row],[EMP_CTC1]]/12, 0)</f>
        <v>100000</v>
      </c>
      <c r="U476" s="1">
        <v>1000000</v>
      </c>
      <c r="V476" s="1" t="s">
        <v>1065</v>
      </c>
      <c r="W476" s="1" t="s">
        <v>1065</v>
      </c>
      <c r="X47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Moodu Pavan Kumar  (1030906)</v>
      </c>
      <c r="Y476">
        <v>120000</v>
      </c>
      <c r="Z476" s="29">
        <f t="shared" ca="1" si="8"/>
        <v>16.666666666666664</v>
      </c>
      <c r="AA476">
        <f ca="1">IF(T_EMPLOYEES[[#This Row],[EMPLOYEE NUMBER]]="","",ROW(T_EMPLOYEES[[#This Row],[EMPLOYEE LABEL]])-ROW(T_EMPLOYEES[[#Headers],[EMPLOYEE LABEL]]))</f>
        <v>473</v>
      </c>
      <c r="AB476">
        <f ca="1">IF(T_EMPLOYEES[[#This Row],[EMPLOYEE NUMBER]]="","",IF(COUNTIF(T_EMPLOYEES[EMPLOYEE NUMBER],T_EMPLOYEES[[#This Row],[EMPLOYEE NUMBER]])&gt;1,1,0))</f>
        <v>0</v>
      </c>
      <c r="AC476">
        <f ca="1">IF(T_EMPLOYEES[[#This Row],[EMPLOYEE NUMBER]]="","",IF(AND(T_EMPLOYEES[[#This Row],[DATE OF BIRTH]]&gt;0,T_EMPLOYEES[[#This Row],[DATE OF BIRTH]]&lt;TODAY()),0,1))</f>
        <v>0</v>
      </c>
      <c r="AD476">
        <f ca="1">IF(T_EMPLOYEES[[#This Row],[EMPLOYEE NUMBER]]="","",IF(AND(T_EMPLOYEES[[#This Row],[START DATE]]&gt;0,T_EMPLOYEES[[#This Row],[START DATE]]&lt;TODAY()+60),0,1))</f>
        <v>0</v>
      </c>
      <c r="AE476">
        <f ca="1">IF(T_EMPLOYEES[[#This Row],[EMPLOYEE NUMBER]]="","",MATCH(T_EMPLOYEES[[#This Row],[GENDER]],L_GENDER,0))</f>
        <v>1</v>
      </c>
      <c r="AF476">
        <f ca="1">IF(T_EMPLOYEES[[#This Row],[EMPLOYEE NUMBER]]="","",MATCH(T_EMPLOYEES[[#This Row],[HIRE SOURCE]],L_HIRESOURCE,0))</f>
        <v>4</v>
      </c>
      <c r="AG476">
        <f ca="1">IF(T_EMPLOYEES[[#This Row],[EMPLOYEE NUMBER]]="","",MATCH(T_EMPLOYEES[[#This Row],[ETHNICITY]],L_ETHNICITY,0))</f>
        <v>3</v>
      </c>
      <c r="AH476">
        <f ca="1">IF(T_EMPLOYEES[[#This Row],[EMPLOYEE NUMBER]]="","",MATCH(T_EMPLOYEES[[#This Row],[LOCATION]],L_LOCATION,0))</f>
        <v>1</v>
      </c>
      <c r="AI476">
        <f ca="1">IF(T_EMPLOYEES[[#This Row],[EMPLOYEE NUMBER]]="","",MATCH(T_EMPLOYEES[[#This Row],[DEPARTMENT]],L_DEPARTMENT,0))</f>
        <v>2</v>
      </c>
      <c r="AJ476">
        <f ca="1">IF(T_EMPLOYEES[[#This Row],[EMPLOYEE NUMBER]]="","",MATCH(T_EMPLOYEES[[#This Row],[JOB TYPE]],L_JOBTYPE,0))</f>
        <v>2</v>
      </c>
      <c r="AK476">
        <f ca="1">IF(T_EMPLOYEES[[#This Row],[EMPLOYEE NUMBER]]="","",MATCH(T_EMPLOYEES[[#This Row],[JOB CATEGORY]],L_JOBCATEGORY,0))</f>
        <v>30</v>
      </c>
      <c r="AL476">
        <f ca="1">IF(T_EMPLOYEES[[#This Row],[EMPLOYEE NUMBER]]="","",MATCH(T_EMPLOYEES[[#This Row],[JOB LEVEL]],L_JOBLEVEL,0))</f>
        <v>1</v>
      </c>
      <c r="AM476">
        <f ca="1">IF(T_EMPLOYEES[[#This Row],[EMPLOYEE NUMBER]]="","",MATCH(T_EMPLOYEES[[#This Row],[JOB TITLE]],L_JOBTITLE,0))</f>
        <v>30</v>
      </c>
      <c r="AN476">
        <f ca="1">IF(T_EMPLOYEES[[#This Row],[EMPLOYEE NUMBER]]="","",MATCH(T_EMPLOYEES[[#This Row],[MANAGER]],L_EMPLABELS,0))</f>
        <v>43</v>
      </c>
      <c r="AO476">
        <f ca="1">IF(T_EMPLOYEES[[#This Row],[EMPLOYEE NUMBER]]="","",IF(T_EMPLOYEES[[#This Row],[ERROR]]="",0,1))</f>
        <v>0</v>
      </c>
      <c r="AP47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7" spans="1:42">
      <c r="A477" t="s">
        <v>1529</v>
      </c>
      <c r="B477" t="s">
        <v>1530</v>
      </c>
      <c r="C477">
        <v>1030949</v>
      </c>
      <c r="D477" t="s">
        <v>1531</v>
      </c>
      <c r="E477" s="26">
        <v>36605</v>
      </c>
      <c r="F477" s="26">
        <v>44876</v>
      </c>
      <c r="H477" t="s">
        <v>27</v>
      </c>
      <c r="I477" t="s">
        <v>54</v>
      </c>
      <c r="J477" t="s">
        <v>64</v>
      </c>
      <c r="K477" t="s">
        <v>30</v>
      </c>
      <c r="L477" s="27" t="s">
        <v>114</v>
      </c>
      <c r="M477" t="s">
        <v>46</v>
      </c>
      <c r="N477" t="s">
        <v>151</v>
      </c>
      <c r="O477" t="s">
        <v>36</v>
      </c>
      <c r="P477" t="s">
        <v>151</v>
      </c>
      <c r="Q477" t="s">
        <v>206</v>
      </c>
      <c r="R477">
        <v>0</v>
      </c>
      <c r="S477" s="1">
        <v>1200000</v>
      </c>
      <c r="T477" s="1">
        <f ca="1">ROUND(T_EMPLOYEES[[#This Row],[EMP_CTC1]]/12, 0)</f>
        <v>100000</v>
      </c>
      <c r="U477" s="1">
        <v>1000000</v>
      </c>
      <c r="V477" s="1" t="s">
        <v>1065</v>
      </c>
      <c r="W477" s="1" t="s">
        <v>1065</v>
      </c>
      <c r="X47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Kolimi Thohid Azhar Basha  (1030949)</v>
      </c>
      <c r="Y477">
        <v>120000</v>
      </c>
      <c r="Z477" s="29">
        <f t="shared" ca="1" si="8"/>
        <v>16.666666666666664</v>
      </c>
      <c r="AA477">
        <f ca="1">IF(T_EMPLOYEES[[#This Row],[EMPLOYEE NUMBER]]="","",ROW(T_EMPLOYEES[[#This Row],[EMPLOYEE LABEL]])-ROW(T_EMPLOYEES[[#Headers],[EMPLOYEE LABEL]]))</f>
        <v>474</v>
      </c>
      <c r="AB477">
        <f ca="1">IF(T_EMPLOYEES[[#This Row],[EMPLOYEE NUMBER]]="","",IF(COUNTIF(T_EMPLOYEES[EMPLOYEE NUMBER],T_EMPLOYEES[[#This Row],[EMPLOYEE NUMBER]])&gt;1,1,0))</f>
        <v>0</v>
      </c>
      <c r="AC477">
        <f ca="1">IF(T_EMPLOYEES[[#This Row],[EMPLOYEE NUMBER]]="","",IF(AND(T_EMPLOYEES[[#This Row],[DATE OF BIRTH]]&gt;0,T_EMPLOYEES[[#This Row],[DATE OF BIRTH]]&lt;TODAY()),0,1))</f>
        <v>0</v>
      </c>
      <c r="AD477">
        <f ca="1">IF(T_EMPLOYEES[[#This Row],[EMPLOYEE NUMBER]]="","",IF(AND(T_EMPLOYEES[[#This Row],[START DATE]]&gt;0,T_EMPLOYEES[[#This Row],[START DATE]]&lt;TODAY()+60),0,1))</f>
        <v>0</v>
      </c>
      <c r="AE477">
        <f ca="1">IF(T_EMPLOYEES[[#This Row],[EMPLOYEE NUMBER]]="","",MATCH(T_EMPLOYEES[[#This Row],[GENDER]],L_GENDER,0))</f>
        <v>1</v>
      </c>
      <c r="AF477">
        <f ca="1">IF(T_EMPLOYEES[[#This Row],[EMPLOYEE NUMBER]]="","",MATCH(T_EMPLOYEES[[#This Row],[HIRE SOURCE]],L_HIRESOURCE,0))</f>
        <v>4</v>
      </c>
      <c r="AG477">
        <f ca="1">IF(T_EMPLOYEES[[#This Row],[EMPLOYEE NUMBER]]="","",MATCH(T_EMPLOYEES[[#This Row],[ETHNICITY]],L_ETHNICITY,0))</f>
        <v>3</v>
      </c>
      <c r="AH477">
        <f ca="1">IF(T_EMPLOYEES[[#This Row],[EMPLOYEE NUMBER]]="","",MATCH(T_EMPLOYEES[[#This Row],[LOCATION]],L_LOCATION,0))</f>
        <v>1</v>
      </c>
      <c r="AI477">
        <f ca="1">IF(T_EMPLOYEES[[#This Row],[EMPLOYEE NUMBER]]="","",MATCH(T_EMPLOYEES[[#This Row],[DEPARTMENT]],L_DEPARTMENT,0))</f>
        <v>11</v>
      </c>
      <c r="AJ477">
        <f ca="1">IF(T_EMPLOYEES[[#This Row],[EMPLOYEE NUMBER]]="","",MATCH(T_EMPLOYEES[[#This Row],[JOB TYPE]],L_JOBTYPE,0))</f>
        <v>2</v>
      </c>
      <c r="AK477">
        <f ca="1">IF(T_EMPLOYEES[[#This Row],[EMPLOYEE NUMBER]]="","",MATCH(T_EMPLOYEES[[#This Row],[JOB CATEGORY]],L_JOBCATEGORY,0))</f>
        <v>30</v>
      </c>
      <c r="AL477">
        <f ca="1">IF(T_EMPLOYEES[[#This Row],[EMPLOYEE NUMBER]]="","",MATCH(T_EMPLOYEES[[#This Row],[JOB LEVEL]],L_JOBLEVEL,0))</f>
        <v>1</v>
      </c>
      <c r="AM477">
        <f ca="1">IF(T_EMPLOYEES[[#This Row],[EMPLOYEE NUMBER]]="","",MATCH(T_EMPLOYEES[[#This Row],[JOB TITLE]],L_JOBTITLE,0))</f>
        <v>30</v>
      </c>
      <c r="AN477">
        <f ca="1">IF(T_EMPLOYEES[[#This Row],[EMPLOYEE NUMBER]]="","",MATCH(T_EMPLOYEES[[#This Row],[MANAGER]],L_EMPLABELS,0))</f>
        <v>6</v>
      </c>
      <c r="AO477">
        <f ca="1">IF(T_EMPLOYEES[[#This Row],[EMPLOYEE NUMBER]]="","",IF(T_EMPLOYEES[[#This Row],[ERROR]]="",0,1))</f>
        <v>0</v>
      </c>
      <c r="AP47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8" spans="1:42">
      <c r="A478" t="s">
        <v>1532</v>
      </c>
      <c r="C478">
        <v>1033125</v>
      </c>
      <c r="D478" t="s">
        <v>1533</v>
      </c>
      <c r="E478" s="26">
        <v>36611</v>
      </c>
      <c r="F478" s="26">
        <v>45140</v>
      </c>
      <c r="H478" t="s">
        <v>27</v>
      </c>
      <c r="I478" t="s">
        <v>54</v>
      </c>
      <c r="J478" t="s">
        <v>64</v>
      </c>
      <c r="K478" t="s">
        <v>30</v>
      </c>
      <c r="L478" s="27" t="s">
        <v>114</v>
      </c>
      <c r="M478" t="s">
        <v>46</v>
      </c>
      <c r="N478" t="s">
        <v>151</v>
      </c>
      <c r="O478" t="s">
        <v>36</v>
      </c>
      <c r="P478" t="s">
        <v>151</v>
      </c>
      <c r="Q478" t="s">
        <v>468</v>
      </c>
      <c r="R478" s="27">
        <v>0</v>
      </c>
      <c r="S478" s="1">
        <v>1200000</v>
      </c>
      <c r="T478" s="1">
        <f ca="1">ROUND(T_EMPLOYEES[[#This Row],[EMP_CTC1]]/12, 0)</f>
        <v>100000</v>
      </c>
      <c r="U478" s="1">
        <v>1000000</v>
      </c>
      <c r="V478" s="1" t="s">
        <v>1065</v>
      </c>
      <c r="W478" s="1" t="s">
        <v>1065</v>
      </c>
      <c r="X47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Yukesh  (1033125)</v>
      </c>
      <c r="Y478">
        <v>120000</v>
      </c>
      <c r="Z478" s="29">
        <f t="shared" ca="1" si="8"/>
        <v>16.666666666666664</v>
      </c>
      <c r="AA478">
        <f ca="1">IF(T_EMPLOYEES[[#This Row],[EMPLOYEE NUMBER]]="","",ROW(T_EMPLOYEES[[#This Row],[EMPLOYEE LABEL]])-ROW(T_EMPLOYEES[[#Headers],[EMPLOYEE LABEL]]))</f>
        <v>475</v>
      </c>
      <c r="AB478">
        <f ca="1">IF(T_EMPLOYEES[[#This Row],[EMPLOYEE NUMBER]]="","",IF(COUNTIF(T_EMPLOYEES[EMPLOYEE NUMBER],T_EMPLOYEES[[#This Row],[EMPLOYEE NUMBER]])&gt;1,1,0))</f>
        <v>0</v>
      </c>
      <c r="AC478">
        <f ca="1">IF(T_EMPLOYEES[[#This Row],[EMPLOYEE NUMBER]]="","",IF(AND(T_EMPLOYEES[[#This Row],[DATE OF BIRTH]]&gt;0,T_EMPLOYEES[[#This Row],[DATE OF BIRTH]]&lt;TODAY()),0,1))</f>
        <v>0</v>
      </c>
      <c r="AD478">
        <f ca="1">IF(T_EMPLOYEES[[#This Row],[EMPLOYEE NUMBER]]="","",IF(AND(T_EMPLOYEES[[#This Row],[START DATE]]&gt;0,T_EMPLOYEES[[#This Row],[START DATE]]&lt;TODAY()+60),0,1))</f>
        <v>0</v>
      </c>
      <c r="AE478">
        <f ca="1">IF(T_EMPLOYEES[[#This Row],[EMPLOYEE NUMBER]]="","",MATCH(T_EMPLOYEES[[#This Row],[GENDER]],L_GENDER,0))</f>
        <v>1</v>
      </c>
      <c r="AF478">
        <f ca="1">IF(T_EMPLOYEES[[#This Row],[EMPLOYEE NUMBER]]="","",MATCH(T_EMPLOYEES[[#This Row],[HIRE SOURCE]],L_HIRESOURCE,0))</f>
        <v>4</v>
      </c>
      <c r="AG478">
        <f ca="1">IF(T_EMPLOYEES[[#This Row],[EMPLOYEE NUMBER]]="","",MATCH(T_EMPLOYEES[[#This Row],[ETHNICITY]],L_ETHNICITY,0))</f>
        <v>3</v>
      </c>
      <c r="AH478">
        <f ca="1">IF(T_EMPLOYEES[[#This Row],[EMPLOYEE NUMBER]]="","",MATCH(T_EMPLOYEES[[#This Row],[LOCATION]],L_LOCATION,0))</f>
        <v>1</v>
      </c>
      <c r="AI478">
        <f ca="1">IF(T_EMPLOYEES[[#This Row],[EMPLOYEE NUMBER]]="","",MATCH(T_EMPLOYEES[[#This Row],[DEPARTMENT]],L_DEPARTMENT,0))</f>
        <v>11</v>
      </c>
      <c r="AJ478">
        <f ca="1">IF(T_EMPLOYEES[[#This Row],[EMPLOYEE NUMBER]]="","",MATCH(T_EMPLOYEES[[#This Row],[JOB TYPE]],L_JOBTYPE,0))</f>
        <v>2</v>
      </c>
      <c r="AK478">
        <f ca="1">IF(T_EMPLOYEES[[#This Row],[EMPLOYEE NUMBER]]="","",MATCH(T_EMPLOYEES[[#This Row],[JOB CATEGORY]],L_JOBCATEGORY,0))</f>
        <v>30</v>
      </c>
      <c r="AL478">
        <f ca="1">IF(T_EMPLOYEES[[#This Row],[EMPLOYEE NUMBER]]="","",MATCH(T_EMPLOYEES[[#This Row],[JOB LEVEL]],L_JOBLEVEL,0))</f>
        <v>1</v>
      </c>
      <c r="AM478">
        <f ca="1">IF(T_EMPLOYEES[[#This Row],[EMPLOYEE NUMBER]]="","",MATCH(T_EMPLOYEES[[#This Row],[JOB TITLE]],L_JOBTITLE,0))</f>
        <v>30</v>
      </c>
      <c r="AN478">
        <f ca="1">IF(T_EMPLOYEES[[#This Row],[EMPLOYEE NUMBER]]="","",MATCH(T_EMPLOYEES[[#This Row],[MANAGER]],L_EMPLABELS,0))</f>
        <v>56</v>
      </c>
      <c r="AO478">
        <f ca="1">IF(T_EMPLOYEES[[#This Row],[EMPLOYEE NUMBER]]="","",IF(T_EMPLOYEES[[#This Row],[ERROR]]="",0,1))</f>
        <v>0</v>
      </c>
      <c r="AP47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9" spans="1:42">
      <c r="A479" t="s">
        <v>1534</v>
      </c>
      <c r="B479" t="s">
        <v>1535</v>
      </c>
      <c r="C479">
        <v>1030279</v>
      </c>
      <c r="D479" t="s">
        <v>1536</v>
      </c>
      <c r="E479" s="26">
        <v>36614</v>
      </c>
      <c r="F479" s="26">
        <v>44819</v>
      </c>
      <c r="H479" t="s">
        <v>40</v>
      </c>
      <c r="I479" t="s">
        <v>54</v>
      </c>
      <c r="J479" t="s">
        <v>64</v>
      </c>
      <c r="K479" t="s">
        <v>30</v>
      </c>
      <c r="L479" s="27" t="s">
        <v>114</v>
      </c>
      <c r="M479" t="s">
        <v>46</v>
      </c>
      <c r="N479" t="s">
        <v>151</v>
      </c>
      <c r="O479" t="s">
        <v>36</v>
      </c>
      <c r="P479" t="s">
        <v>151</v>
      </c>
      <c r="Q479" t="s">
        <v>206</v>
      </c>
      <c r="R479">
        <v>0</v>
      </c>
      <c r="S479" s="1">
        <v>1200000</v>
      </c>
      <c r="T479" s="1">
        <f ca="1">ROUND(T_EMPLOYEES[[#This Row],[EMP_CTC1]]/12, 0)</f>
        <v>100000</v>
      </c>
      <c r="U479" s="1">
        <v>1000000</v>
      </c>
      <c r="V479" s="1" t="s">
        <v>1065</v>
      </c>
      <c r="W479" s="1" t="s">
        <v>1065</v>
      </c>
      <c r="X47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Bathula Sahithi (1030279)</v>
      </c>
      <c r="Y479">
        <v>120000</v>
      </c>
      <c r="Z479" s="29">
        <f t="shared" ca="1" si="8"/>
        <v>16.666666666666664</v>
      </c>
      <c r="AA479">
        <f ca="1">IF(T_EMPLOYEES[[#This Row],[EMPLOYEE NUMBER]]="","",ROW(T_EMPLOYEES[[#This Row],[EMPLOYEE LABEL]])-ROW(T_EMPLOYEES[[#Headers],[EMPLOYEE LABEL]]))</f>
        <v>476</v>
      </c>
      <c r="AB479">
        <f ca="1">IF(T_EMPLOYEES[[#This Row],[EMPLOYEE NUMBER]]="","",IF(COUNTIF(T_EMPLOYEES[EMPLOYEE NUMBER],T_EMPLOYEES[[#This Row],[EMPLOYEE NUMBER]])&gt;1,1,0))</f>
        <v>0</v>
      </c>
      <c r="AC479">
        <f ca="1">IF(T_EMPLOYEES[[#This Row],[EMPLOYEE NUMBER]]="","",IF(AND(T_EMPLOYEES[[#This Row],[DATE OF BIRTH]]&gt;0,T_EMPLOYEES[[#This Row],[DATE OF BIRTH]]&lt;TODAY()),0,1))</f>
        <v>0</v>
      </c>
      <c r="AD479">
        <f ca="1">IF(T_EMPLOYEES[[#This Row],[EMPLOYEE NUMBER]]="","",IF(AND(T_EMPLOYEES[[#This Row],[START DATE]]&gt;0,T_EMPLOYEES[[#This Row],[START DATE]]&lt;TODAY()+60),0,1))</f>
        <v>0</v>
      </c>
      <c r="AE479">
        <f ca="1">IF(T_EMPLOYEES[[#This Row],[EMPLOYEE NUMBER]]="","",MATCH(T_EMPLOYEES[[#This Row],[GENDER]],L_GENDER,0))</f>
        <v>2</v>
      </c>
      <c r="AF479">
        <f ca="1">IF(T_EMPLOYEES[[#This Row],[EMPLOYEE NUMBER]]="","",MATCH(T_EMPLOYEES[[#This Row],[HIRE SOURCE]],L_HIRESOURCE,0))</f>
        <v>4</v>
      </c>
      <c r="AG479">
        <f ca="1">IF(T_EMPLOYEES[[#This Row],[EMPLOYEE NUMBER]]="","",MATCH(T_EMPLOYEES[[#This Row],[ETHNICITY]],L_ETHNICITY,0))</f>
        <v>3</v>
      </c>
      <c r="AH479">
        <f ca="1">IF(T_EMPLOYEES[[#This Row],[EMPLOYEE NUMBER]]="","",MATCH(T_EMPLOYEES[[#This Row],[LOCATION]],L_LOCATION,0))</f>
        <v>1</v>
      </c>
      <c r="AI479">
        <f ca="1">IF(T_EMPLOYEES[[#This Row],[EMPLOYEE NUMBER]]="","",MATCH(T_EMPLOYEES[[#This Row],[DEPARTMENT]],L_DEPARTMENT,0))</f>
        <v>11</v>
      </c>
      <c r="AJ479">
        <f ca="1">IF(T_EMPLOYEES[[#This Row],[EMPLOYEE NUMBER]]="","",MATCH(T_EMPLOYEES[[#This Row],[JOB TYPE]],L_JOBTYPE,0))</f>
        <v>2</v>
      </c>
      <c r="AK479">
        <f ca="1">IF(T_EMPLOYEES[[#This Row],[EMPLOYEE NUMBER]]="","",MATCH(T_EMPLOYEES[[#This Row],[JOB CATEGORY]],L_JOBCATEGORY,0))</f>
        <v>30</v>
      </c>
      <c r="AL479">
        <f ca="1">IF(T_EMPLOYEES[[#This Row],[EMPLOYEE NUMBER]]="","",MATCH(T_EMPLOYEES[[#This Row],[JOB LEVEL]],L_JOBLEVEL,0))</f>
        <v>1</v>
      </c>
      <c r="AM479">
        <f ca="1">IF(T_EMPLOYEES[[#This Row],[EMPLOYEE NUMBER]]="","",MATCH(T_EMPLOYEES[[#This Row],[JOB TITLE]],L_JOBTITLE,0))</f>
        <v>30</v>
      </c>
      <c r="AN479">
        <f ca="1">IF(T_EMPLOYEES[[#This Row],[EMPLOYEE NUMBER]]="","",MATCH(T_EMPLOYEES[[#This Row],[MANAGER]],L_EMPLABELS,0))</f>
        <v>6</v>
      </c>
      <c r="AO479">
        <f ca="1">IF(T_EMPLOYEES[[#This Row],[EMPLOYEE NUMBER]]="","",IF(T_EMPLOYEES[[#This Row],[ERROR]]="",0,1))</f>
        <v>0</v>
      </c>
      <c r="AP47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0" spans="1:42">
      <c r="A480" t="s">
        <v>1537</v>
      </c>
      <c r="B480" t="s">
        <v>442</v>
      </c>
      <c r="C480">
        <v>1031071</v>
      </c>
      <c r="D480" t="s">
        <v>1538</v>
      </c>
      <c r="E480" s="26">
        <v>36620</v>
      </c>
      <c r="F480" s="26">
        <v>44889</v>
      </c>
      <c r="H480" t="s">
        <v>40</v>
      </c>
      <c r="I480" t="s">
        <v>54</v>
      </c>
      <c r="J480" t="s">
        <v>64</v>
      </c>
      <c r="K480" t="s">
        <v>30</v>
      </c>
      <c r="L480" s="27" t="s">
        <v>114</v>
      </c>
      <c r="M480" t="s">
        <v>46</v>
      </c>
      <c r="N480" t="s">
        <v>151</v>
      </c>
      <c r="O480" t="s">
        <v>36</v>
      </c>
      <c r="P480" t="s">
        <v>151</v>
      </c>
      <c r="Q480" t="s">
        <v>206</v>
      </c>
      <c r="R480" s="27">
        <v>0</v>
      </c>
      <c r="S480" s="1">
        <v>1200000</v>
      </c>
      <c r="T480" s="1">
        <f ca="1">ROUND(T_EMPLOYEES[[#This Row],[EMP_CTC1]]/12, 0)</f>
        <v>100000</v>
      </c>
      <c r="U480" s="1">
        <v>1000000</v>
      </c>
      <c r="V480" s="1" t="s">
        <v>1065</v>
      </c>
      <c r="W480" s="1" t="s">
        <v>1065</v>
      </c>
      <c r="X48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Doppa Sunitha (1031071)</v>
      </c>
      <c r="Y480">
        <v>120000</v>
      </c>
      <c r="Z480" s="29">
        <f t="shared" ca="1" si="8"/>
        <v>16.666666666666664</v>
      </c>
      <c r="AA480">
        <f ca="1">IF(T_EMPLOYEES[[#This Row],[EMPLOYEE NUMBER]]="","",ROW(T_EMPLOYEES[[#This Row],[EMPLOYEE LABEL]])-ROW(T_EMPLOYEES[[#Headers],[EMPLOYEE LABEL]]))</f>
        <v>477</v>
      </c>
      <c r="AB480">
        <f ca="1">IF(T_EMPLOYEES[[#This Row],[EMPLOYEE NUMBER]]="","",IF(COUNTIF(T_EMPLOYEES[EMPLOYEE NUMBER],T_EMPLOYEES[[#This Row],[EMPLOYEE NUMBER]])&gt;1,1,0))</f>
        <v>0</v>
      </c>
      <c r="AC480">
        <f ca="1">IF(T_EMPLOYEES[[#This Row],[EMPLOYEE NUMBER]]="","",IF(AND(T_EMPLOYEES[[#This Row],[DATE OF BIRTH]]&gt;0,T_EMPLOYEES[[#This Row],[DATE OF BIRTH]]&lt;TODAY()),0,1))</f>
        <v>0</v>
      </c>
      <c r="AD480">
        <f ca="1">IF(T_EMPLOYEES[[#This Row],[EMPLOYEE NUMBER]]="","",IF(AND(T_EMPLOYEES[[#This Row],[START DATE]]&gt;0,T_EMPLOYEES[[#This Row],[START DATE]]&lt;TODAY()+60),0,1))</f>
        <v>0</v>
      </c>
      <c r="AE480">
        <f ca="1">IF(T_EMPLOYEES[[#This Row],[EMPLOYEE NUMBER]]="","",MATCH(T_EMPLOYEES[[#This Row],[GENDER]],L_GENDER,0))</f>
        <v>2</v>
      </c>
      <c r="AF480">
        <f ca="1">IF(T_EMPLOYEES[[#This Row],[EMPLOYEE NUMBER]]="","",MATCH(T_EMPLOYEES[[#This Row],[HIRE SOURCE]],L_HIRESOURCE,0))</f>
        <v>4</v>
      </c>
      <c r="AG480">
        <f ca="1">IF(T_EMPLOYEES[[#This Row],[EMPLOYEE NUMBER]]="","",MATCH(T_EMPLOYEES[[#This Row],[ETHNICITY]],L_ETHNICITY,0))</f>
        <v>3</v>
      </c>
      <c r="AH480">
        <f ca="1">IF(T_EMPLOYEES[[#This Row],[EMPLOYEE NUMBER]]="","",MATCH(T_EMPLOYEES[[#This Row],[LOCATION]],L_LOCATION,0))</f>
        <v>1</v>
      </c>
      <c r="AI480">
        <f ca="1">IF(T_EMPLOYEES[[#This Row],[EMPLOYEE NUMBER]]="","",MATCH(T_EMPLOYEES[[#This Row],[DEPARTMENT]],L_DEPARTMENT,0))</f>
        <v>11</v>
      </c>
      <c r="AJ480">
        <f ca="1">IF(T_EMPLOYEES[[#This Row],[EMPLOYEE NUMBER]]="","",MATCH(T_EMPLOYEES[[#This Row],[JOB TYPE]],L_JOBTYPE,0))</f>
        <v>2</v>
      </c>
      <c r="AK480">
        <f ca="1">IF(T_EMPLOYEES[[#This Row],[EMPLOYEE NUMBER]]="","",MATCH(T_EMPLOYEES[[#This Row],[JOB CATEGORY]],L_JOBCATEGORY,0))</f>
        <v>30</v>
      </c>
      <c r="AL480">
        <f ca="1">IF(T_EMPLOYEES[[#This Row],[EMPLOYEE NUMBER]]="","",MATCH(T_EMPLOYEES[[#This Row],[JOB LEVEL]],L_JOBLEVEL,0))</f>
        <v>1</v>
      </c>
      <c r="AM480">
        <f ca="1">IF(T_EMPLOYEES[[#This Row],[EMPLOYEE NUMBER]]="","",MATCH(T_EMPLOYEES[[#This Row],[JOB TITLE]],L_JOBTITLE,0))</f>
        <v>30</v>
      </c>
      <c r="AN480">
        <f ca="1">IF(T_EMPLOYEES[[#This Row],[EMPLOYEE NUMBER]]="","",MATCH(T_EMPLOYEES[[#This Row],[MANAGER]],L_EMPLABELS,0))</f>
        <v>6</v>
      </c>
      <c r="AO480">
        <f ca="1">IF(T_EMPLOYEES[[#This Row],[EMPLOYEE NUMBER]]="","",IF(T_EMPLOYEES[[#This Row],[ERROR]]="",0,1))</f>
        <v>0</v>
      </c>
      <c r="AP48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1" spans="1:42">
      <c r="A481" t="s">
        <v>1539</v>
      </c>
      <c r="B481" t="s">
        <v>1540</v>
      </c>
      <c r="C481">
        <v>1029866</v>
      </c>
      <c r="D481" t="s">
        <v>1541</v>
      </c>
      <c r="E481" s="26">
        <v>36628</v>
      </c>
      <c r="F481" s="26">
        <v>44791</v>
      </c>
      <c r="H481" t="s">
        <v>27</v>
      </c>
      <c r="I481" t="s">
        <v>54</v>
      </c>
      <c r="J481" t="s">
        <v>64</v>
      </c>
      <c r="K481" t="s">
        <v>30</v>
      </c>
      <c r="L481" s="27" t="s">
        <v>114</v>
      </c>
      <c r="M481" t="s">
        <v>46</v>
      </c>
      <c r="N481" t="s">
        <v>151</v>
      </c>
      <c r="O481" t="s">
        <v>36</v>
      </c>
      <c r="P481" t="s">
        <v>151</v>
      </c>
      <c r="Q481" t="s">
        <v>505</v>
      </c>
      <c r="R481">
        <v>0</v>
      </c>
      <c r="S481" s="1">
        <v>1200000</v>
      </c>
      <c r="T481" s="1">
        <f ca="1">ROUND(T_EMPLOYEES[[#This Row],[EMP_CTC1]]/12, 0)</f>
        <v>100000</v>
      </c>
      <c r="U481" s="1">
        <v>1000000</v>
      </c>
      <c r="V481" s="1" t="s">
        <v>1065</v>
      </c>
      <c r="W481" s="1" t="s">
        <v>1065</v>
      </c>
      <c r="X48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Raghavendra Tripathi (1029866)</v>
      </c>
      <c r="Y481">
        <v>120000</v>
      </c>
      <c r="Z481" s="29">
        <f t="shared" ca="1" si="8"/>
        <v>16.666666666666664</v>
      </c>
      <c r="AA481">
        <f ca="1">IF(T_EMPLOYEES[[#This Row],[EMPLOYEE NUMBER]]="","",ROW(T_EMPLOYEES[[#This Row],[EMPLOYEE LABEL]])-ROW(T_EMPLOYEES[[#Headers],[EMPLOYEE LABEL]]))</f>
        <v>478</v>
      </c>
      <c r="AB481">
        <f ca="1">IF(T_EMPLOYEES[[#This Row],[EMPLOYEE NUMBER]]="","",IF(COUNTIF(T_EMPLOYEES[EMPLOYEE NUMBER],T_EMPLOYEES[[#This Row],[EMPLOYEE NUMBER]])&gt;1,1,0))</f>
        <v>0</v>
      </c>
      <c r="AC481">
        <f ca="1">IF(T_EMPLOYEES[[#This Row],[EMPLOYEE NUMBER]]="","",IF(AND(T_EMPLOYEES[[#This Row],[DATE OF BIRTH]]&gt;0,T_EMPLOYEES[[#This Row],[DATE OF BIRTH]]&lt;TODAY()),0,1))</f>
        <v>0</v>
      </c>
      <c r="AD481">
        <f ca="1">IF(T_EMPLOYEES[[#This Row],[EMPLOYEE NUMBER]]="","",IF(AND(T_EMPLOYEES[[#This Row],[START DATE]]&gt;0,T_EMPLOYEES[[#This Row],[START DATE]]&lt;TODAY()+60),0,1))</f>
        <v>0</v>
      </c>
      <c r="AE481">
        <f ca="1">IF(T_EMPLOYEES[[#This Row],[EMPLOYEE NUMBER]]="","",MATCH(T_EMPLOYEES[[#This Row],[GENDER]],L_GENDER,0))</f>
        <v>1</v>
      </c>
      <c r="AF481">
        <f ca="1">IF(T_EMPLOYEES[[#This Row],[EMPLOYEE NUMBER]]="","",MATCH(T_EMPLOYEES[[#This Row],[HIRE SOURCE]],L_HIRESOURCE,0))</f>
        <v>4</v>
      </c>
      <c r="AG481">
        <f ca="1">IF(T_EMPLOYEES[[#This Row],[EMPLOYEE NUMBER]]="","",MATCH(T_EMPLOYEES[[#This Row],[ETHNICITY]],L_ETHNICITY,0))</f>
        <v>3</v>
      </c>
      <c r="AH481">
        <f ca="1">IF(T_EMPLOYEES[[#This Row],[EMPLOYEE NUMBER]]="","",MATCH(T_EMPLOYEES[[#This Row],[LOCATION]],L_LOCATION,0))</f>
        <v>1</v>
      </c>
      <c r="AI481">
        <f ca="1">IF(T_EMPLOYEES[[#This Row],[EMPLOYEE NUMBER]]="","",MATCH(T_EMPLOYEES[[#This Row],[DEPARTMENT]],L_DEPARTMENT,0))</f>
        <v>11</v>
      </c>
      <c r="AJ481">
        <f ca="1">IF(T_EMPLOYEES[[#This Row],[EMPLOYEE NUMBER]]="","",MATCH(T_EMPLOYEES[[#This Row],[JOB TYPE]],L_JOBTYPE,0))</f>
        <v>2</v>
      </c>
      <c r="AK481">
        <f ca="1">IF(T_EMPLOYEES[[#This Row],[EMPLOYEE NUMBER]]="","",MATCH(T_EMPLOYEES[[#This Row],[JOB CATEGORY]],L_JOBCATEGORY,0))</f>
        <v>30</v>
      </c>
      <c r="AL481">
        <f ca="1">IF(T_EMPLOYEES[[#This Row],[EMPLOYEE NUMBER]]="","",MATCH(T_EMPLOYEES[[#This Row],[JOB LEVEL]],L_JOBLEVEL,0))</f>
        <v>1</v>
      </c>
      <c r="AM481">
        <f ca="1">IF(T_EMPLOYEES[[#This Row],[EMPLOYEE NUMBER]]="","",MATCH(T_EMPLOYEES[[#This Row],[JOB TITLE]],L_JOBTITLE,0))</f>
        <v>30</v>
      </c>
      <c r="AN481">
        <f ca="1">IF(T_EMPLOYEES[[#This Row],[EMPLOYEE NUMBER]]="","",MATCH(T_EMPLOYEES[[#This Row],[MANAGER]],L_EMPLABELS,0))</f>
        <v>57</v>
      </c>
      <c r="AO481">
        <f ca="1">IF(T_EMPLOYEES[[#This Row],[EMPLOYEE NUMBER]]="","",IF(T_EMPLOYEES[[#This Row],[ERROR]]="",0,1))</f>
        <v>0</v>
      </c>
      <c r="AP48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2" spans="1:42">
      <c r="A482" t="s">
        <v>1542</v>
      </c>
      <c r="B482" t="s">
        <v>1052</v>
      </c>
      <c r="C482">
        <v>1030250</v>
      </c>
      <c r="D482" t="s">
        <v>1543</v>
      </c>
      <c r="E482" s="26">
        <v>36635</v>
      </c>
      <c r="F482" s="26">
        <v>44819</v>
      </c>
      <c r="H482" t="s">
        <v>27</v>
      </c>
      <c r="I482" t="s">
        <v>54</v>
      </c>
      <c r="J482" t="s">
        <v>64</v>
      </c>
      <c r="K482" t="s">
        <v>30</v>
      </c>
      <c r="L482" s="27" t="s">
        <v>114</v>
      </c>
      <c r="M482" t="s">
        <v>46</v>
      </c>
      <c r="N482" t="s">
        <v>151</v>
      </c>
      <c r="O482" t="s">
        <v>36</v>
      </c>
      <c r="P482" t="s">
        <v>151</v>
      </c>
      <c r="Q482" t="s">
        <v>206</v>
      </c>
      <c r="R482" s="27">
        <v>0</v>
      </c>
      <c r="S482" s="1">
        <v>1200000</v>
      </c>
      <c r="T482" s="1">
        <f ca="1">ROUND(T_EMPLOYEES[[#This Row],[EMP_CTC1]]/12, 0)</f>
        <v>100000</v>
      </c>
      <c r="U482" s="1">
        <v>1000000</v>
      </c>
      <c r="V482" s="1" t="s">
        <v>1065</v>
      </c>
      <c r="W482" s="1" t="s">
        <v>1065</v>
      </c>
      <c r="X48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Chandramalla Venkatesh (1030250)</v>
      </c>
      <c r="Y482">
        <v>120000</v>
      </c>
      <c r="Z482" s="29">
        <f t="shared" ca="1" si="8"/>
        <v>16.666666666666664</v>
      </c>
      <c r="AA482">
        <f ca="1">IF(T_EMPLOYEES[[#This Row],[EMPLOYEE NUMBER]]="","",ROW(T_EMPLOYEES[[#This Row],[EMPLOYEE LABEL]])-ROW(T_EMPLOYEES[[#Headers],[EMPLOYEE LABEL]]))</f>
        <v>479</v>
      </c>
      <c r="AB482">
        <f ca="1">IF(T_EMPLOYEES[[#This Row],[EMPLOYEE NUMBER]]="","",IF(COUNTIF(T_EMPLOYEES[EMPLOYEE NUMBER],T_EMPLOYEES[[#This Row],[EMPLOYEE NUMBER]])&gt;1,1,0))</f>
        <v>0</v>
      </c>
      <c r="AC482">
        <f ca="1">IF(T_EMPLOYEES[[#This Row],[EMPLOYEE NUMBER]]="","",IF(AND(T_EMPLOYEES[[#This Row],[DATE OF BIRTH]]&gt;0,T_EMPLOYEES[[#This Row],[DATE OF BIRTH]]&lt;TODAY()),0,1))</f>
        <v>0</v>
      </c>
      <c r="AD482">
        <f ca="1">IF(T_EMPLOYEES[[#This Row],[EMPLOYEE NUMBER]]="","",IF(AND(T_EMPLOYEES[[#This Row],[START DATE]]&gt;0,T_EMPLOYEES[[#This Row],[START DATE]]&lt;TODAY()+60),0,1))</f>
        <v>0</v>
      </c>
      <c r="AE482">
        <f ca="1">IF(T_EMPLOYEES[[#This Row],[EMPLOYEE NUMBER]]="","",MATCH(T_EMPLOYEES[[#This Row],[GENDER]],L_GENDER,0))</f>
        <v>1</v>
      </c>
      <c r="AF482">
        <f ca="1">IF(T_EMPLOYEES[[#This Row],[EMPLOYEE NUMBER]]="","",MATCH(T_EMPLOYEES[[#This Row],[HIRE SOURCE]],L_HIRESOURCE,0))</f>
        <v>4</v>
      </c>
      <c r="AG482">
        <f ca="1">IF(T_EMPLOYEES[[#This Row],[EMPLOYEE NUMBER]]="","",MATCH(T_EMPLOYEES[[#This Row],[ETHNICITY]],L_ETHNICITY,0))</f>
        <v>3</v>
      </c>
      <c r="AH482">
        <f ca="1">IF(T_EMPLOYEES[[#This Row],[EMPLOYEE NUMBER]]="","",MATCH(T_EMPLOYEES[[#This Row],[LOCATION]],L_LOCATION,0))</f>
        <v>1</v>
      </c>
      <c r="AI482">
        <f ca="1">IF(T_EMPLOYEES[[#This Row],[EMPLOYEE NUMBER]]="","",MATCH(T_EMPLOYEES[[#This Row],[DEPARTMENT]],L_DEPARTMENT,0))</f>
        <v>11</v>
      </c>
      <c r="AJ482">
        <f ca="1">IF(T_EMPLOYEES[[#This Row],[EMPLOYEE NUMBER]]="","",MATCH(T_EMPLOYEES[[#This Row],[JOB TYPE]],L_JOBTYPE,0))</f>
        <v>2</v>
      </c>
      <c r="AK482">
        <f ca="1">IF(T_EMPLOYEES[[#This Row],[EMPLOYEE NUMBER]]="","",MATCH(T_EMPLOYEES[[#This Row],[JOB CATEGORY]],L_JOBCATEGORY,0))</f>
        <v>30</v>
      </c>
      <c r="AL482">
        <f ca="1">IF(T_EMPLOYEES[[#This Row],[EMPLOYEE NUMBER]]="","",MATCH(T_EMPLOYEES[[#This Row],[JOB LEVEL]],L_JOBLEVEL,0))</f>
        <v>1</v>
      </c>
      <c r="AM482">
        <f ca="1">IF(T_EMPLOYEES[[#This Row],[EMPLOYEE NUMBER]]="","",MATCH(T_EMPLOYEES[[#This Row],[JOB TITLE]],L_JOBTITLE,0))</f>
        <v>30</v>
      </c>
      <c r="AN482">
        <f ca="1">IF(T_EMPLOYEES[[#This Row],[EMPLOYEE NUMBER]]="","",MATCH(T_EMPLOYEES[[#This Row],[MANAGER]],L_EMPLABELS,0))</f>
        <v>6</v>
      </c>
      <c r="AO482">
        <f ca="1">IF(T_EMPLOYEES[[#This Row],[EMPLOYEE NUMBER]]="","",IF(T_EMPLOYEES[[#This Row],[ERROR]]="",0,1))</f>
        <v>0</v>
      </c>
      <c r="AP48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3" spans="1:42">
      <c r="A483" t="s">
        <v>1544</v>
      </c>
      <c r="B483" t="s">
        <v>1545</v>
      </c>
      <c r="C483">
        <v>1029874</v>
      </c>
      <c r="D483" t="s">
        <v>1546</v>
      </c>
      <c r="E483" s="26">
        <v>36644</v>
      </c>
      <c r="F483" s="26">
        <v>44791</v>
      </c>
      <c r="H483" t="s">
        <v>27</v>
      </c>
      <c r="I483" t="s">
        <v>54</v>
      </c>
      <c r="J483" t="s">
        <v>64</v>
      </c>
      <c r="K483" t="s">
        <v>30</v>
      </c>
      <c r="L483" s="27" t="s">
        <v>45</v>
      </c>
      <c r="M483" t="s">
        <v>46</v>
      </c>
      <c r="N483" t="s">
        <v>151</v>
      </c>
      <c r="O483" t="s">
        <v>36</v>
      </c>
      <c r="P483" t="s">
        <v>151</v>
      </c>
      <c r="Q483" t="s">
        <v>418</v>
      </c>
      <c r="R483">
        <v>0</v>
      </c>
      <c r="S483" s="1">
        <v>1200000</v>
      </c>
      <c r="T483" s="1">
        <f ca="1">ROUND(T_EMPLOYEES[[#This Row],[EMP_CTC1]]/12, 0)</f>
        <v>100000</v>
      </c>
      <c r="U483" s="1">
        <v>1000000</v>
      </c>
      <c r="V483" s="1" t="s">
        <v>1065</v>
      </c>
      <c r="W483" s="1" t="s">
        <v>1065</v>
      </c>
      <c r="X48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Bonam Gowtham (1029874)</v>
      </c>
      <c r="Y483">
        <v>120000</v>
      </c>
      <c r="Z483" s="29">
        <f t="shared" ca="1" si="8"/>
        <v>16.666666666666664</v>
      </c>
      <c r="AA483">
        <f ca="1">IF(T_EMPLOYEES[[#This Row],[EMPLOYEE NUMBER]]="","",ROW(T_EMPLOYEES[[#This Row],[EMPLOYEE LABEL]])-ROW(T_EMPLOYEES[[#Headers],[EMPLOYEE LABEL]]))</f>
        <v>480</v>
      </c>
      <c r="AB483">
        <f ca="1">IF(T_EMPLOYEES[[#This Row],[EMPLOYEE NUMBER]]="","",IF(COUNTIF(T_EMPLOYEES[EMPLOYEE NUMBER],T_EMPLOYEES[[#This Row],[EMPLOYEE NUMBER]])&gt;1,1,0))</f>
        <v>0</v>
      </c>
      <c r="AC483">
        <f ca="1">IF(T_EMPLOYEES[[#This Row],[EMPLOYEE NUMBER]]="","",IF(AND(T_EMPLOYEES[[#This Row],[DATE OF BIRTH]]&gt;0,T_EMPLOYEES[[#This Row],[DATE OF BIRTH]]&lt;TODAY()),0,1))</f>
        <v>0</v>
      </c>
      <c r="AD483">
        <f ca="1">IF(T_EMPLOYEES[[#This Row],[EMPLOYEE NUMBER]]="","",IF(AND(T_EMPLOYEES[[#This Row],[START DATE]]&gt;0,T_EMPLOYEES[[#This Row],[START DATE]]&lt;TODAY()+60),0,1))</f>
        <v>0</v>
      </c>
      <c r="AE483">
        <f ca="1">IF(T_EMPLOYEES[[#This Row],[EMPLOYEE NUMBER]]="","",MATCH(T_EMPLOYEES[[#This Row],[GENDER]],L_GENDER,0))</f>
        <v>1</v>
      </c>
      <c r="AF483">
        <f ca="1">IF(T_EMPLOYEES[[#This Row],[EMPLOYEE NUMBER]]="","",MATCH(T_EMPLOYEES[[#This Row],[HIRE SOURCE]],L_HIRESOURCE,0))</f>
        <v>4</v>
      </c>
      <c r="AG483">
        <f ca="1">IF(T_EMPLOYEES[[#This Row],[EMPLOYEE NUMBER]]="","",MATCH(T_EMPLOYEES[[#This Row],[ETHNICITY]],L_ETHNICITY,0))</f>
        <v>3</v>
      </c>
      <c r="AH483">
        <f ca="1">IF(T_EMPLOYEES[[#This Row],[EMPLOYEE NUMBER]]="","",MATCH(T_EMPLOYEES[[#This Row],[LOCATION]],L_LOCATION,0))</f>
        <v>1</v>
      </c>
      <c r="AI483">
        <f ca="1">IF(T_EMPLOYEES[[#This Row],[EMPLOYEE NUMBER]]="","",MATCH(T_EMPLOYEES[[#This Row],[DEPARTMENT]],L_DEPARTMENT,0))</f>
        <v>2</v>
      </c>
      <c r="AJ483">
        <f ca="1">IF(T_EMPLOYEES[[#This Row],[EMPLOYEE NUMBER]]="","",MATCH(T_EMPLOYEES[[#This Row],[JOB TYPE]],L_JOBTYPE,0))</f>
        <v>2</v>
      </c>
      <c r="AK483">
        <f ca="1">IF(T_EMPLOYEES[[#This Row],[EMPLOYEE NUMBER]]="","",MATCH(T_EMPLOYEES[[#This Row],[JOB CATEGORY]],L_JOBCATEGORY,0))</f>
        <v>30</v>
      </c>
      <c r="AL483">
        <f ca="1">IF(T_EMPLOYEES[[#This Row],[EMPLOYEE NUMBER]]="","",MATCH(T_EMPLOYEES[[#This Row],[JOB LEVEL]],L_JOBLEVEL,0))</f>
        <v>1</v>
      </c>
      <c r="AM483">
        <f ca="1">IF(T_EMPLOYEES[[#This Row],[EMPLOYEE NUMBER]]="","",MATCH(T_EMPLOYEES[[#This Row],[JOB TITLE]],L_JOBTITLE,0))</f>
        <v>30</v>
      </c>
      <c r="AN483">
        <f ca="1">IF(T_EMPLOYEES[[#This Row],[EMPLOYEE NUMBER]]="","",MATCH(T_EMPLOYEES[[#This Row],[MANAGER]],L_EMPLABELS,0))</f>
        <v>120</v>
      </c>
      <c r="AO483">
        <f ca="1">IF(T_EMPLOYEES[[#This Row],[EMPLOYEE NUMBER]]="","",IF(T_EMPLOYEES[[#This Row],[ERROR]]="",0,1))</f>
        <v>0</v>
      </c>
      <c r="AP48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4" spans="1:42">
      <c r="A484" t="s">
        <v>1547</v>
      </c>
      <c r="B484" t="s">
        <v>1548</v>
      </c>
      <c r="C484">
        <v>1029905</v>
      </c>
      <c r="D484" t="s">
        <v>1549</v>
      </c>
      <c r="E484" s="26">
        <v>36646</v>
      </c>
      <c r="F484" s="26">
        <v>44791</v>
      </c>
      <c r="H484" t="s">
        <v>40</v>
      </c>
      <c r="I484" t="s">
        <v>54</v>
      </c>
      <c r="J484" t="s">
        <v>64</v>
      </c>
      <c r="K484" t="s">
        <v>43</v>
      </c>
      <c r="L484" s="27" t="s">
        <v>45</v>
      </c>
      <c r="M484" t="s">
        <v>46</v>
      </c>
      <c r="N484" t="s">
        <v>151</v>
      </c>
      <c r="O484" t="s">
        <v>36</v>
      </c>
      <c r="P484" t="s">
        <v>151</v>
      </c>
      <c r="Q484" t="s">
        <v>1312</v>
      </c>
      <c r="R484" s="27">
        <v>0</v>
      </c>
      <c r="S484" s="1">
        <v>1200000</v>
      </c>
      <c r="T484" s="1">
        <f ca="1">ROUND(T_EMPLOYEES[[#This Row],[EMP_CTC1]]/12, 0)</f>
        <v>100000</v>
      </c>
      <c r="U484" s="1">
        <v>1000000</v>
      </c>
      <c r="V484" s="1" t="s">
        <v>1065</v>
      </c>
      <c r="W484" s="1" t="s">
        <v>1065</v>
      </c>
      <c r="X48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Nadipalli Sireesha (1029905)</v>
      </c>
      <c r="Y484">
        <v>120000</v>
      </c>
      <c r="Z484" s="29">
        <f t="shared" ca="1" si="8"/>
        <v>16.666666666666664</v>
      </c>
      <c r="AA484">
        <f ca="1">IF(T_EMPLOYEES[[#This Row],[EMPLOYEE NUMBER]]="","",ROW(T_EMPLOYEES[[#This Row],[EMPLOYEE LABEL]])-ROW(T_EMPLOYEES[[#Headers],[EMPLOYEE LABEL]]))</f>
        <v>481</v>
      </c>
      <c r="AB484">
        <f ca="1">IF(T_EMPLOYEES[[#This Row],[EMPLOYEE NUMBER]]="","",IF(COUNTIF(T_EMPLOYEES[EMPLOYEE NUMBER],T_EMPLOYEES[[#This Row],[EMPLOYEE NUMBER]])&gt;1,1,0))</f>
        <v>0</v>
      </c>
      <c r="AC484">
        <f ca="1">IF(T_EMPLOYEES[[#This Row],[EMPLOYEE NUMBER]]="","",IF(AND(T_EMPLOYEES[[#This Row],[DATE OF BIRTH]]&gt;0,T_EMPLOYEES[[#This Row],[DATE OF BIRTH]]&lt;TODAY()),0,1))</f>
        <v>0</v>
      </c>
      <c r="AD484">
        <f ca="1">IF(T_EMPLOYEES[[#This Row],[EMPLOYEE NUMBER]]="","",IF(AND(T_EMPLOYEES[[#This Row],[START DATE]]&gt;0,T_EMPLOYEES[[#This Row],[START DATE]]&lt;TODAY()+60),0,1))</f>
        <v>0</v>
      </c>
      <c r="AE484">
        <f ca="1">IF(T_EMPLOYEES[[#This Row],[EMPLOYEE NUMBER]]="","",MATCH(T_EMPLOYEES[[#This Row],[GENDER]],L_GENDER,0))</f>
        <v>2</v>
      </c>
      <c r="AF484">
        <f ca="1">IF(T_EMPLOYEES[[#This Row],[EMPLOYEE NUMBER]]="","",MATCH(T_EMPLOYEES[[#This Row],[HIRE SOURCE]],L_HIRESOURCE,0))</f>
        <v>4</v>
      </c>
      <c r="AG484">
        <f ca="1">IF(T_EMPLOYEES[[#This Row],[EMPLOYEE NUMBER]]="","",MATCH(T_EMPLOYEES[[#This Row],[ETHNICITY]],L_ETHNICITY,0))</f>
        <v>3</v>
      </c>
      <c r="AH484">
        <f ca="1">IF(T_EMPLOYEES[[#This Row],[EMPLOYEE NUMBER]]="","",MATCH(T_EMPLOYEES[[#This Row],[LOCATION]],L_LOCATION,0))</f>
        <v>2</v>
      </c>
      <c r="AI484">
        <f ca="1">IF(T_EMPLOYEES[[#This Row],[EMPLOYEE NUMBER]]="","",MATCH(T_EMPLOYEES[[#This Row],[DEPARTMENT]],L_DEPARTMENT,0))</f>
        <v>2</v>
      </c>
      <c r="AJ484">
        <f ca="1">IF(T_EMPLOYEES[[#This Row],[EMPLOYEE NUMBER]]="","",MATCH(T_EMPLOYEES[[#This Row],[JOB TYPE]],L_JOBTYPE,0))</f>
        <v>2</v>
      </c>
      <c r="AK484">
        <f ca="1">IF(T_EMPLOYEES[[#This Row],[EMPLOYEE NUMBER]]="","",MATCH(T_EMPLOYEES[[#This Row],[JOB CATEGORY]],L_JOBCATEGORY,0))</f>
        <v>30</v>
      </c>
      <c r="AL484">
        <f ca="1">IF(T_EMPLOYEES[[#This Row],[EMPLOYEE NUMBER]]="","",MATCH(T_EMPLOYEES[[#This Row],[JOB LEVEL]],L_JOBLEVEL,0))</f>
        <v>1</v>
      </c>
      <c r="AM484">
        <f ca="1">IF(T_EMPLOYEES[[#This Row],[EMPLOYEE NUMBER]]="","",MATCH(T_EMPLOYEES[[#This Row],[JOB TITLE]],L_JOBTITLE,0))</f>
        <v>30</v>
      </c>
      <c r="AN484">
        <f ca="1">IF(T_EMPLOYEES[[#This Row],[EMPLOYEE NUMBER]]="","",MATCH(T_EMPLOYEES[[#This Row],[MANAGER]],L_EMPLABELS,0))</f>
        <v>144</v>
      </c>
      <c r="AO484">
        <f ca="1">IF(T_EMPLOYEES[[#This Row],[EMPLOYEE NUMBER]]="","",IF(T_EMPLOYEES[[#This Row],[ERROR]]="",0,1))</f>
        <v>0</v>
      </c>
      <c r="AP48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5" spans="1:42">
      <c r="A485" t="s">
        <v>1550</v>
      </c>
      <c r="B485" t="s">
        <v>1551</v>
      </c>
      <c r="C485">
        <v>1027418</v>
      </c>
      <c r="D485" t="s">
        <v>1552</v>
      </c>
      <c r="E485" s="26">
        <v>36649</v>
      </c>
      <c r="F485" s="26">
        <v>44531</v>
      </c>
      <c r="H485" t="s">
        <v>27</v>
      </c>
      <c r="I485" t="s">
        <v>54</v>
      </c>
      <c r="J485" t="s">
        <v>64</v>
      </c>
      <c r="K485" t="s">
        <v>30</v>
      </c>
      <c r="L485" s="27" t="s">
        <v>45</v>
      </c>
      <c r="M485" t="s">
        <v>46</v>
      </c>
      <c r="N485" t="s">
        <v>160</v>
      </c>
      <c r="O485" t="s">
        <v>48</v>
      </c>
      <c r="P485" t="s">
        <v>160</v>
      </c>
      <c r="Q485" t="s">
        <v>321</v>
      </c>
      <c r="R485">
        <v>4</v>
      </c>
      <c r="S485" s="1">
        <v>1200000</v>
      </c>
      <c r="T485" s="1">
        <f ca="1">ROUND(T_EMPLOYEES[[#This Row],[EMP_CTC1]]/12, 0)</f>
        <v>100000</v>
      </c>
      <c r="U485" s="1">
        <v>1000000</v>
      </c>
      <c r="V485" s="1" t="s">
        <v>1065</v>
      </c>
      <c r="W485" s="1" t="s">
        <v>1065</v>
      </c>
      <c r="X48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Enjam  Hari Krishna (1027418)</v>
      </c>
      <c r="Y485">
        <v>120000</v>
      </c>
      <c r="Z485" s="29">
        <f t="shared" ca="1" si="8"/>
        <v>16.666666666666664</v>
      </c>
      <c r="AA485">
        <f ca="1">IF(T_EMPLOYEES[[#This Row],[EMPLOYEE NUMBER]]="","",ROW(T_EMPLOYEES[[#This Row],[EMPLOYEE LABEL]])-ROW(T_EMPLOYEES[[#Headers],[EMPLOYEE LABEL]]))</f>
        <v>482</v>
      </c>
      <c r="AB485">
        <f ca="1">IF(T_EMPLOYEES[[#This Row],[EMPLOYEE NUMBER]]="","",IF(COUNTIF(T_EMPLOYEES[EMPLOYEE NUMBER],T_EMPLOYEES[[#This Row],[EMPLOYEE NUMBER]])&gt;1,1,0))</f>
        <v>0</v>
      </c>
      <c r="AC485">
        <f ca="1">IF(T_EMPLOYEES[[#This Row],[EMPLOYEE NUMBER]]="","",IF(AND(T_EMPLOYEES[[#This Row],[DATE OF BIRTH]]&gt;0,T_EMPLOYEES[[#This Row],[DATE OF BIRTH]]&lt;TODAY()),0,1))</f>
        <v>0</v>
      </c>
      <c r="AD485">
        <f ca="1">IF(T_EMPLOYEES[[#This Row],[EMPLOYEE NUMBER]]="","",IF(AND(T_EMPLOYEES[[#This Row],[START DATE]]&gt;0,T_EMPLOYEES[[#This Row],[START DATE]]&lt;TODAY()+60),0,1))</f>
        <v>0</v>
      </c>
      <c r="AE485">
        <f ca="1">IF(T_EMPLOYEES[[#This Row],[EMPLOYEE NUMBER]]="","",MATCH(T_EMPLOYEES[[#This Row],[GENDER]],L_GENDER,0))</f>
        <v>1</v>
      </c>
      <c r="AF485">
        <f ca="1">IF(T_EMPLOYEES[[#This Row],[EMPLOYEE NUMBER]]="","",MATCH(T_EMPLOYEES[[#This Row],[HIRE SOURCE]],L_HIRESOURCE,0))</f>
        <v>4</v>
      </c>
      <c r="AG485">
        <f ca="1">IF(T_EMPLOYEES[[#This Row],[EMPLOYEE NUMBER]]="","",MATCH(T_EMPLOYEES[[#This Row],[ETHNICITY]],L_ETHNICITY,0))</f>
        <v>3</v>
      </c>
      <c r="AH485">
        <f ca="1">IF(T_EMPLOYEES[[#This Row],[EMPLOYEE NUMBER]]="","",MATCH(T_EMPLOYEES[[#This Row],[LOCATION]],L_LOCATION,0))</f>
        <v>1</v>
      </c>
      <c r="AI485">
        <f ca="1">IF(T_EMPLOYEES[[#This Row],[EMPLOYEE NUMBER]]="","",MATCH(T_EMPLOYEES[[#This Row],[DEPARTMENT]],L_DEPARTMENT,0))</f>
        <v>2</v>
      </c>
      <c r="AJ485">
        <f ca="1">IF(T_EMPLOYEES[[#This Row],[EMPLOYEE NUMBER]]="","",MATCH(T_EMPLOYEES[[#This Row],[JOB TYPE]],L_JOBTYPE,0))</f>
        <v>2</v>
      </c>
      <c r="AK485">
        <f ca="1">IF(T_EMPLOYEES[[#This Row],[EMPLOYEE NUMBER]]="","",MATCH(T_EMPLOYEES[[#This Row],[JOB CATEGORY]],L_JOBCATEGORY,0))</f>
        <v>39</v>
      </c>
      <c r="AL485">
        <f ca="1">IF(T_EMPLOYEES[[#This Row],[EMPLOYEE NUMBER]]="","",MATCH(T_EMPLOYEES[[#This Row],[JOB LEVEL]],L_JOBLEVEL,0))</f>
        <v>2</v>
      </c>
      <c r="AM485">
        <f ca="1">IF(T_EMPLOYEES[[#This Row],[EMPLOYEE NUMBER]]="","",MATCH(T_EMPLOYEES[[#This Row],[JOB TITLE]],L_JOBTITLE,0))</f>
        <v>39</v>
      </c>
      <c r="AN485">
        <f ca="1">IF(T_EMPLOYEES[[#This Row],[EMPLOYEE NUMBER]]="","",MATCH(T_EMPLOYEES[[#This Row],[MANAGER]],L_EMPLABELS,0))</f>
        <v>3</v>
      </c>
      <c r="AO485">
        <f ca="1">IF(T_EMPLOYEES[[#This Row],[EMPLOYEE NUMBER]]="","",IF(T_EMPLOYEES[[#This Row],[ERROR]]="",0,1))</f>
        <v>0</v>
      </c>
      <c r="AP48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6" spans="1:42">
      <c r="A486" t="s">
        <v>721</v>
      </c>
      <c r="B486" t="s">
        <v>1553</v>
      </c>
      <c r="C486">
        <v>1029872</v>
      </c>
      <c r="D486" t="s">
        <v>1554</v>
      </c>
      <c r="E486" s="26">
        <v>36649</v>
      </c>
      <c r="F486" s="26">
        <v>44791</v>
      </c>
      <c r="H486" t="s">
        <v>27</v>
      </c>
      <c r="I486" t="s">
        <v>54</v>
      </c>
      <c r="J486" t="s">
        <v>64</v>
      </c>
      <c r="K486" t="s">
        <v>30</v>
      </c>
      <c r="L486" s="27" t="s">
        <v>114</v>
      </c>
      <c r="M486" t="s">
        <v>46</v>
      </c>
      <c r="N486" t="s">
        <v>151</v>
      </c>
      <c r="O486" t="s">
        <v>36</v>
      </c>
      <c r="P486" t="s">
        <v>151</v>
      </c>
      <c r="Q486" t="s">
        <v>206</v>
      </c>
      <c r="R486" s="27">
        <v>0</v>
      </c>
      <c r="S486" s="1">
        <v>1200000</v>
      </c>
      <c r="T486" s="1">
        <f ca="1">ROUND(T_EMPLOYEES[[#This Row],[EMP_CTC1]]/12, 0)</f>
        <v>100000</v>
      </c>
      <c r="U486" s="1">
        <v>1000000</v>
      </c>
      <c r="V486" s="1" t="s">
        <v>1065</v>
      </c>
      <c r="W486" s="1" t="s">
        <v>1065</v>
      </c>
      <c r="X48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Sachin  Pandey (1029872)</v>
      </c>
      <c r="Y486">
        <v>120000</v>
      </c>
      <c r="Z486" s="29">
        <f t="shared" ca="1" si="8"/>
        <v>16.666666666666664</v>
      </c>
      <c r="AA486">
        <f ca="1">IF(T_EMPLOYEES[[#This Row],[EMPLOYEE NUMBER]]="","",ROW(T_EMPLOYEES[[#This Row],[EMPLOYEE LABEL]])-ROW(T_EMPLOYEES[[#Headers],[EMPLOYEE LABEL]]))</f>
        <v>483</v>
      </c>
      <c r="AB486">
        <f ca="1">IF(T_EMPLOYEES[[#This Row],[EMPLOYEE NUMBER]]="","",IF(COUNTIF(T_EMPLOYEES[EMPLOYEE NUMBER],T_EMPLOYEES[[#This Row],[EMPLOYEE NUMBER]])&gt;1,1,0))</f>
        <v>0</v>
      </c>
      <c r="AC486">
        <f ca="1">IF(T_EMPLOYEES[[#This Row],[EMPLOYEE NUMBER]]="","",IF(AND(T_EMPLOYEES[[#This Row],[DATE OF BIRTH]]&gt;0,T_EMPLOYEES[[#This Row],[DATE OF BIRTH]]&lt;TODAY()),0,1))</f>
        <v>0</v>
      </c>
      <c r="AD486">
        <f ca="1">IF(T_EMPLOYEES[[#This Row],[EMPLOYEE NUMBER]]="","",IF(AND(T_EMPLOYEES[[#This Row],[START DATE]]&gt;0,T_EMPLOYEES[[#This Row],[START DATE]]&lt;TODAY()+60),0,1))</f>
        <v>0</v>
      </c>
      <c r="AE486">
        <f ca="1">IF(T_EMPLOYEES[[#This Row],[EMPLOYEE NUMBER]]="","",MATCH(T_EMPLOYEES[[#This Row],[GENDER]],L_GENDER,0))</f>
        <v>1</v>
      </c>
      <c r="AF486">
        <f ca="1">IF(T_EMPLOYEES[[#This Row],[EMPLOYEE NUMBER]]="","",MATCH(T_EMPLOYEES[[#This Row],[HIRE SOURCE]],L_HIRESOURCE,0))</f>
        <v>4</v>
      </c>
      <c r="AG486">
        <f ca="1">IF(T_EMPLOYEES[[#This Row],[EMPLOYEE NUMBER]]="","",MATCH(T_EMPLOYEES[[#This Row],[ETHNICITY]],L_ETHNICITY,0))</f>
        <v>3</v>
      </c>
      <c r="AH486">
        <f ca="1">IF(T_EMPLOYEES[[#This Row],[EMPLOYEE NUMBER]]="","",MATCH(T_EMPLOYEES[[#This Row],[LOCATION]],L_LOCATION,0))</f>
        <v>1</v>
      </c>
      <c r="AI486">
        <f ca="1">IF(T_EMPLOYEES[[#This Row],[EMPLOYEE NUMBER]]="","",MATCH(T_EMPLOYEES[[#This Row],[DEPARTMENT]],L_DEPARTMENT,0))</f>
        <v>11</v>
      </c>
      <c r="AJ486">
        <f ca="1">IF(T_EMPLOYEES[[#This Row],[EMPLOYEE NUMBER]]="","",MATCH(T_EMPLOYEES[[#This Row],[JOB TYPE]],L_JOBTYPE,0))</f>
        <v>2</v>
      </c>
      <c r="AK486">
        <f ca="1">IF(T_EMPLOYEES[[#This Row],[EMPLOYEE NUMBER]]="","",MATCH(T_EMPLOYEES[[#This Row],[JOB CATEGORY]],L_JOBCATEGORY,0))</f>
        <v>30</v>
      </c>
      <c r="AL486">
        <f ca="1">IF(T_EMPLOYEES[[#This Row],[EMPLOYEE NUMBER]]="","",MATCH(T_EMPLOYEES[[#This Row],[JOB LEVEL]],L_JOBLEVEL,0))</f>
        <v>1</v>
      </c>
      <c r="AM486">
        <f ca="1">IF(T_EMPLOYEES[[#This Row],[EMPLOYEE NUMBER]]="","",MATCH(T_EMPLOYEES[[#This Row],[JOB TITLE]],L_JOBTITLE,0))</f>
        <v>30</v>
      </c>
      <c r="AN486">
        <f ca="1">IF(T_EMPLOYEES[[#This Row],[EMPLOYEE NUMBER]]="","",MATCH(T_EMPLOYEES[[#This Row],[MANAGER]],L_EMPLABELS,0))</f>
        <v>6</v>
      </c>
      <c r="AO486">
        <f ca="1">IF(T_EMPLOYEES[[#This Row],[EMPLOYEE NUMBER]]="","",IF(T_EMPLOYEES[[#This Row],[ERROR]]="",0,1))</f>
        <v>0</v>
      </c>
      <c r="AP48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7" spans="1:42">
      <c r="A487" t="s">
        <v>1555</v>
      </c>
      <c r="B487" t="s">
        <v>1556</v>
      </c>
      <c r="C487">
        <v>1033270</v>
      </c>
      <c r="D487" t="s">
        <v>1557</v>
      </c>
      <c r="E487" s="26">
        <v>36650</v>
      </c>
      <c r="F487" s="26">
        <v>45155</v>
      </c>
      <c r="H487" t="s">
        <v>27</v>
      </c>
      <c r="I487" t="s">
        <v>54</v>
      </c>
      <c r="J487" t="s">
        <v>64</v>
      </c>
      <c r="K487" t="s">
        <v>43</v>
      </c>
      <c r="L487" s="27" t="s">
        <v>114</v>
      </c>
      <c r="M487" t="s">
        <v>46</v>
      </c>
      <c r="N487" t="s">
        <v>151</v>
      </c>
      <c r="O487" t="s">
        <v>36</v>
      </c>
      <c r="P487" t="s">
        <v>151</v>
      </c>
      <c r="Q487" t="s">
        <v>206</v>
      </c>
      <c r="R487">
        <v>0</v>
      </c>
      <c r="S487" s="1">
        <v>1200000</v>
      </c>
      <c r="T487" s="1">
        <f ca="1">ROUND(T_EMPLOYEES[[#This Row],[EMP_CTC1]]/12, 0)</f>
        <v>100000</v>
      </c>
      <c r="U487" s="1">
        <v>1000000</v>
      </c>
      <c r="V487" s="1" t="s">
        <v>1065</v>
      </c>
      <c r="W487" s="1" t="s">
        <v>1065</v>
      </c>
      <c r="X48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Shailendra Kumar Bharti (1033270)</v>
      </c>
      <c r="Y487">
        <v>120000</v>
      </c>
      <c r="Z487" s="29">
        <f t="shared" ca="1" si="8"/>
        <v>16.666666666666664</v>
      </c>
      <c r="AA487">
        <f ca="1">IF(T_EMPLOYEES[[#This Row],[EMPLOYEE NUMBER]]="","",ROW(T_EMPLOYEES[[#This Row],[EMPLOYEE LABEL]])-ROW(T_EMPLOYEES[[#Headers],[EMPLOYEE LABEL]]))</f>
        <v>484</v>
      </c>
      <c r="AB487">
        <f ca="1">IF(T_EMPLOYEES[[#This Row],[EMPLOYEE NUMBER]]="","",IF(COUNTIF(T_EMPLOYEES[EMPLOYEE NUMBER],T_EMPLOYEES[[#This Row],[EMPLOYEE NUMBER]])&gt;1,1,0))</f>
        <v>0</v>
      </c>
      <c r="AC487">
        <f ca="1">IF(T_EMPLOYEES[[#This Row],[EMPLOYEE NUMBER]]="","",IF(AND(T_EMPLOYEES[[#This Row],[DATE OF BIRTH]]&gt;0,T_EMPLOYEES[[#This Row],[DATE OF BIRTH]]&lt;TODAY()),0,1))</f>
        <v>0</v>
      </c>
      <c r="AD487">
        <f ca="1">IF(T_EMPLOYEES[[#This Row],[EMPLOYEE NUMBER]]="","",IF(AND(T_EMPLOYEES[[#This Row],[START DATE]]&gt;0,T_EMPLOYEES[[#This Row],[START DATE]]&lt;TODAY()+60),0,1))</f>
        <v>0</v>
      </c>
      <c r="AE487">
        <f ca="1">IF(T_EMPLOYEES[[#This Row],[EMPLOYEE NUMBER]]="","",MATCH(T_EMPLOYEES[[#This Row],[GENDER]],L_GENDER,0))</f>
        <v>1</v>
      </c>
      <c r="AF487">
        <f ca="1">IF(T_EMPLOYEES[[#This Row],[EMPLOYEE NUMBER]]="","",MATCH(T_EMPLOYEES[[#This Row],[HIRE SOURCE]],L_HIRESOURCE,0))</f>
        <v>4</v>
      </c>
      <c r="AG487">
        <f ca="1">IF(T_EMPLOYEES[[#This Row],[EMPLOYEE NUMBER]]="","",MATCH(T_EMPLOYEES[[#This Row],[ETHNICITY]],L_ETHNICITY,0))</f>
        <v>3</v>
      </c>
      <c r="AH487">
        <f ca="1">IF(T_EMPLOYEES[[#This Row],[EMPLOYEE NUMBER]]="","",MATCH(T_EMPLOYEES[[#This Row],[LOCATION]],L_LOCATION,0))</f>
        <v>2</v>
      </c>
      <c r="AI487">
        <f ca="1">IF(T_EMPLOYEES[[#This Row],[EMPLOYEE NUMBER]]="","",MATCH(T_EMPLOYEES[[#This Row],[DEPARTMENT]],L_DEPARTMENT,0))</f>
        <v>11</v>
      </c>
      <c r="AJ487">
        <f ca="1">IF(T_EMPLOYEES[[#This Row],[EMPLOYEE NUMBER]]="","",MATCH(T_EMPLOYEES[[#This Row],[JOB TYPE]],L_JOBTYPE,0))</f>
        <v>2</v>
      </c>
      <c r="AK487">
        <f ca="1">IF(T_EMPLOYEES[[#This Row],[EMPLOYEE NUMBER]]="","",MATCH(T_EMPLOYEES[[#This Row],[JOB CATEGORY]],L_JOBCATEGORY,0))</f>
        <v>30</v>
      </c>
      <c r="AL487">
        <f ca="1">IF(T_EMPLOYEES[[#This Row],[EMPLOYEE NUMBER]]="","",MATCH(T_EMPLOYEES[[#This Row],[JOB LEVEL]],L_JOBLEVEL,0))</f>
        <v>1</v>
      </c>
      <c r="AM487">
        <f ca="1">IF(T_EMPLOYEES[[#This Row],[EMPLOYEE NUMBER]]="","",MATCH(T_EMPLOYEES[[#This Row],[JOB TITLE]],L_JOBTITLE,0))</f>
        <v>30</v>
      </c>
      <c r="AN487">
        <f ca="1">IF(T_EMPLOYEES[[#This Row],[EMPLOYEE NUMBER]]="","",MATCH(T_EMPLOYEES[[#This Row],[MANAGER]],L_EMPLABELS,0))</f>
        <v>6</v>
      </c>
      <c r="AO487">
        <f ca="1">IF(T_EMPLOYEES[[#This Row],[EMPLOYEE NUMBER]]="","",IF(T_EMPLOYEES[[#This Row],[ERROR]]="",0,1))</f>
        <v>0</v>
      </c>
      <c r="AP48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8" spans="1:42">
      <c r="A488" t="s">
        <v>1558</v>
      </c>
      <c r="B488" t="s">
        <v>1559</v>
      </c>
      <c r="C488">
        <v>1027417</v>
      </c>
      <c r="D488" t="s">
        <v>1560</v>
      </c>
      <c r="E488" s="26">
        <v>36671</v>
      </c>
      <c r="F488" s="26">
        <v>44531</v>
      </c>
      <c r="H488" t="s">
        <v>40</v>
      </c>
      <c r="I488" t="s">
        <v>54</v>
      </c>
      <c r="J488" t="s">
        <v>64</v>
      </c>
      <c r="K488" t="s">
        <v>30</v>
      </c>
      <c r="L488" s="27" t="s">
        <v>114</v>
      </c>
      <c r="M488" t="s">
        <v>46</v>
      </c>
      <c r="N488" t="s">
        <v>151</v>
      </c>
      <c r="O488" t="s">
        <v>36</v>
      </c>
      <c r="P488" t="s">
        <v>151</v>
      </c>
      <c r="Q488" t="s">
        <v>206</v>
      </c>
      <c r="R488" s="27">
        <v>0</v>
      </c>
      <c r="S488" s="1">
        <v>1200000</v>
      </c>
      <c r="T488" s="1">
        <f ca="1">ROUND(T_EMPLOYEES[[#This Row],[EMP_CTC1]]/12, 0)</f>
        <v>100000</v>
      </c>
      <c r="U488" s="1">
        <v>1000000</v>
      </c>
      <c r="V488" s="1" t="s">
        <v>1065</v>
      </c>
      <c r="W488" s="1" t="s">
        <v>1065</v>
      </c>
      <c r="X48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Gorle Lakshmi Venkata Sravani (1027417)</v>
      </c>
      <c r="Y488">
        <v>120000</v>
      </c>
      <c r="Z488" s="29">
        <f t="shared" ca="1" si="8"/>
        <v>16.666666666666664</v>
      </c>
      <c r="AA488">
        <f ca="1">IF(T_EMPLOYEES[[#This Row],[EMPLOYEE NUMBER]]="","",ROW(T_EMPLOYEES[[#This Row],[EMPLOYEE LABEL]])-ROW(T_EMPLOYEES[[#Headers],[EMPLOYEE LABEL]]))</f>
        <v>485</v>
      </c>
      <c r="AB488">
        <f ca="1">IF(T_EMPLOYEES[[#This Row],[EMPLOYEE NUMBER]]="","",IF(COUNTIF(T_EMPLOYEES[EMPLOYEE NUMBER],T_EMPLOYEES[[#This Row],[EMPLOYEE NUMBER]])&gt;1,1,0))</f>
        <v>0</v>
      </c>
      <c r="AC488">
        <f ca="1">IF(T_EMPLOYEES[[#This Row],[EMPLOYEE NUMBER]]="","",IF(AND(T_EMPLOYEES[[#This Row],[DATE OF BIRTH]]&gt;0,T_EMPLOYEES[[#This Row],[DATE OF BIRTH]]&lt;TODAY()),0,1))</f>
        <v>0</v>
      </c>
      <c r="AD488">
        <f ca="1">IF(T_EMPLOYEES[[#This Row],[EMPLOYEE NUMBER]]="","",IF(AND(T_EMPLOYEES[[#This Row],[START DATE]]&gt;0,T_EMPLOYEES[[#This Row],[START DATE]]&lt;TODAY()+60),0,1))</f>
        <v>0</v>
      </c>
      <c r="AE488">
        <f ca="1">IF(T_EMPLOYEES[[#This Row],[EMPLOYEE NUMBER]]="","",MATCH(T_EMPLOYEES[[#This Row],[GENDER]],L_GENDER,0))</f>
        <v>2</v>
      </c>
      <c r="AF488">
        <f ca="1">IF(T_EMPLOYEES[[#This Row],[EMPLOYEE NUMBER]]="","",MATCH(T_EMPLOYEES[[#This Row],[HIRE SOURCE]],L_HIRESOURCE,0))</f>
        <v>4</v>
      </c>
      <c r="AG488">
        <f ca="1">IF(T_EMPLOYEES[[#This Row],[EMPLOYEE NUMBER]]="","",MATCH(T_EMPLOYEES[[#This Row],[ETHNICITY]],L_ETHNICITY,0))</f>
        <v>3</v>
      </c>
      <c r="AH488">
        <f ca="1">IF(T_EMPLOYEES[[#This Row],[EMPLOYEE NUMBER]]="","",MATCH(T_EMPLOYEES[[#This Row],[LOCATION]],L_LOCATION,0))</f>
        <v>1</v>
      </c>
      <c r="AI488">
        <f ca="1">IF(T_EMPLOYEES[[#This Row],[EMPLOYEE NUMBER]]="","",MATCH(T_EMPLOYEES[[#This Row],[DEPARTMENT]],L_DEPARTMENT,0))</f>
        <v>11</v>
      </c>
      <c r="AJ488">
        <f ca="1">IF(T_EMPLOYEES[[#This Row],[EMPLOYEE NUMBER]]="","",MATCH(T_EMPLOYEES[[#This Row],[JOB TYPE]],L_JOBTYPE,0))</f>
        <v>2</v>
      </c>
      <c r="AK488">
        <f ca="1">IF(T_EMPLOYEES[[#This Row],[EMPLOYEE NUMBER]]="","",MATCH(T_EMPLOYEES[[#This Row],[JOB CATEGORY]],L_JOBCATEGORY,0))</f>
        <v>30</v>
      </c>
      <c r="AL488">
        <f ca="1">IF(T_EMPLOYEES[[#This Row],[EMPLOYEE NUMBER]]="","",MATCH(T_EMPLOYEES[[#This Row],[JOB LEVEL]],L_JOBLEVEL,0))</f>
        <v>1</v>
      </c>
      <c r="AM488">
        <f ca="1">IF(T_EMPLOYEES[[#This Row],[EMPLOYEE NUMBER]]="","",MATCH(T_EMPLOYEES[[#This Row],[JOB TITLE]],L_JOBTITLE,0))</f>
        <v>30</v>
      </c>
      <c r="AN488">
        <f ca="1">IF(T_EMPLOYEES[[#This Row],[EMPLOYEE NUMBER]]="","",MATCH(T_EMPLOYEES[[#This Row],[MANAGER]],L_EMPLABELS,0))</f>
        <v>6</v>
      </c>
      <c r="AO488">
        <f ca="1">IF(T_EMPLOYEES[[#This Row],[EMPLOYEE NUMBER]]="","",IF(T_EMPLOYEES[[#This Row],[ERROR]]="",0,1))</f>
        <v>0</v>
      </c>
      <c r="AP48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9" spans="1:42">
      <c r="A489" t="s">
        <v>1561</v>
      </c>
      <c r="B489" t="s">
        <v>1562</v>
      </c>
      <c r="C489">
        <v>1029782</v>
      </c>
      <c r="D489" t="s">
        <v>1563</v>
      </c>
      <c r="E489" s="26">
        <v>36678</v>
      </c>
      <c r="F489" s="26">
        <v>44783</v>
      </c>
      <c r="H489" t="s">
        <v>27</v>
      </c>
      <c r="I489" t="s">
        <v>54</v>
      </c>
      <c r="J489" t="s">
        <v>64</v>
      </c>
      <c r="K489" t="s">
        <v>30</v>
      </c>
      <c r="L489" s="27" t="s">
        <v>114</v>
      </c>
      <c r="M489" t="s">
        <v>46</v>
      </c>
      <c r="N489" t="s">
        <v>151</v>
      </c>
      <c r="O489" t="s">
        <v>36</v>
      </c>
      <c r="P489" t="s">
        <v>151</v>
      </c>
      <c r="Q489" t="s">
        <v>468</v>
      </c>
      <c r="R489">
        <v>0</v>
      </c>
      <c r="S489" s="1">
        <v>1200000</v>
      </c>
      <c r="T489" s="1">
        <f ca="1">ROUND(T_EMPLOYEES[[#This Row],[EMP_CTC1]]/12, 0)</f>
        <v>100000</v>
      </c>
      <c r="U489" s="1">
        <v>1000000</v>
      </c>
      <c r="V489" s="1" t="s">
        <v>1065</v>
      </c>
      <c r="W489" s="1" t="s">
        <v>1065</v>
      </c>
      <c r="X48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ABHISEK  SARANGI (1029782)</v>
      </c>
      <c r="Y489">
        <v>120000</v>
      </c>
      <c r="Z489" s="29">
        <f t="shared" ca="1" si="8"/>
        <v>16.666666666666664</v>
      </c>
      <c r="AA489">
        <f ca="1">IF(T_EMPLOYEES[[#This Row],[EMPLOYEE NUMBER]]="","",ROW(T_EMPLOYEES[[#This Row],[EMPLOYEE LABEL]])-ROW(T_EMPLOYEES[[#Headers],[EMPLOYEE LABEL]]))</f>
        <v>486</v>
      </c>
      <c r="AB489">
        <f ca="1">IF(T_EMPLOYEES[[#This Row],[EMPLOYEE NUMBER]]="","",IF(COUNTIF(T_EMPLOYEES[EMPLOYEE NUMBER],T_EMPLOYEES[[#This Row],[EMPLOYEE NUMBER]])&gt;1,1,0))</f>
        <v>0</v>
      </c>
      <c r="AC489">
        <f ca="1">IF(T_EMPLOYEES[[#This Row],[EMPLOYEE NUMBER]]="","",IF(AND(T_EMPLOYEES[[#This Row],[DATE OF BIRTH]]&gt;0,T_EMPLOYEES[[#This Row],[DATE OF BIRTH]]&lt;TODAY()),0,1))</f>
        <v>0</v>
      </c>
      <c r="AD489">
        <f ca="1">IF(T_EMPLOYEES[[#This Row],[EMPLOYEE NUMBER]]="","",IF(AND(T_EMPLOYEES[[#This Row],[START DATE]]&gt;0,T_EMPLOYEES[[#This Row],[START DATE]]&lt;TODAY()+60),0,1))</f>
        <v>0</v>
      </c>
      <c r="AE489">
        <f ca="1">IF(T_EMPLOYEES[[#This Row],[EMPLOYEE NUMBER]]="","",MATCH(T_EMPLOYEES[[#This Row],[GENDER]],L_GENDER,0))</f>
        <v>1</v>
      </c>
      <c r="AF489">
        <f ca="1">IF(T_EMPLOYEES[[#This Row],[EMPLOYEE NUMBER]]="","",MATCH(T_EMPLOYEES[[#This Row],[HIRE SOURCE]],L_HIRESOURCE,0))</f>
        <v>4</v>
      </c>
      <c r="AG489">
        <f ca="1">IF(T_EMPLOYEES[[#This Row],[EMPLOYEE NUMBER]]="","",MATCH(T_EMPLOYEES[[#This Row],[ETHNICITY]],L_ETHNICITY,0))</f>
        <v>3</v>
      </c>
      <c r="AH489">
        <f ca="1">IF(T_EMPLOYEES[[#This Row],[EMPLOYEE NUMBER]]="","",MATCH(T_EMPLOYEES[[#This Row],[LOCATION]],L_LOCATION,0))</f>
        <v>1</v>
      </c>
      <c r="AI489">
        <f ca="1">IF(T_EMPLOYEES[[#This Row],[EMPLOYEE NUMBER]]="","",MATCH(T_EMPLOYEES[[#This Row],[DEPARTMENT]],L_DEPARTMENT,0))</f>
        <v>11</v>
      </c>
      <c r="AJ489">
        <f ca="1">IF(T_EMPLOYEES[[#This Row],[EMPLOYEE NUMBER]]="","",MATCH(T_EMPLOYEES[[#This Row],[JOB TYPE]],L_JOBTYPE,0))</f>
        <v>2</v>
      </c>
      <c r="AK489">
        <f ca="1">IF(T_EMPLOYEES[[#This Row],[EMPLOYEE NUMBER]]="","",MATCH(T_EMPLOYEES[[#This Row],[JOB CATEGORY]],L_JOBCATEGORY,0))</f>
        <v>30</v>
      </c>
      <c r="AL489">
        <f ca="1">IF(T_EMPLOYEES[[#This Row],[EMPLOYEE NUMBER]]="","",MATCH(T_EMPLOYEES[[#This Row],[JOB LEVEL]],L_JOBLEVEL,0))</f>
        <v>1</v>
      </c>
      <c r="AM489">
        <f ca="1">IF(T_EMPLOYEES[[#This Row],[EMPLOYEE NUMBER]]="","",MATCH(T_EMPLOYEES[[#This Row],[JOB TITLE]],L_JOBTITLE,0))</f>
        <v>30</v>
      </c>
      <c r="AN489">
        <f ca="1">IF(T_EMPLOYEES[[#This Row],[EMPLOYEE NUMBER]]="","",MATCH(T_EMPLOYEES[[#This Row],[MANAGER]],L_EMPLABELS,0))</f>
        <v>56</v>
      </c>
      <c r="AO489">
        <f ca="1">IF(T_EMPLOYEES[[#This Row],[EMPLOYEE NUMBER]]="","",IF(T_EMPLOYEES[[#This Row],[ERROR]]="",0,1))</f>
        <v>0</v>
      </c>
      <c r="AP48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0" spans="1:42">
      <c r="A490" t="s">
        <v>404</v>
      </c>
      <c r="B490" t="s">
        <v>1564</v>
      </c>
      <c r="C490">
        <v>1026165</v>
      </c>
      <c r="D490" t="s">
        <v>1565</v>
      </c>
      <c r="E490" s="26">
        <v>36680</v>
      </c>
      <c r="F490" s="26">
        <v>44425</v>
      </c>
      <c r="H490" t="s">
        <v>27</v>
      </c>
      <c r="I490" t="s">
        <v>54</v>
      </c>
      <c r="J490" t="s">
        <v>64</v>
      </c>
      <c r="K490" t="s">
        <v>30</v>
      </c>
      <c r="L490" s="27" t="s">
        <v>45</v>
      </c>
      <c r="M490" t="s">
        <v>46</v>
      </c>
      <c r="N490" t="s">
        <v>160</v>
      </c>
      <c r="O490" t="s">
        <v>48</v>
      </c>
      <c r="P490" t="s">
        <v>160</v>
      </c>
      <c r="Q490" t="s">
        <v>284</v>
      </c>
      <c r="R490" s="27">
        <v>4</v>
      </c>
      <c r="S490" s="1">
        <v>1200000</v>
      </c>
      <c r="T490" s="1">
        <f ca="1">ROUND(T_EMPLOYEES[[#This Row],[EMP_CTC1]]/12, 0)</f>
        <v>100000</v>
      </c>
      <c r="U490" s="1">
        <v>1000000</v>
      </c>
      <c r="V490" s="1" t="s">
        <v>1065</v>
      </c>
      <c r="W490" s="1" t="s">
        <v>1065</v>
      </c>
      <c r="X49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Santhosh Kumar M S (1026165)</v>
      </c>
      <c r="Y490">
        <v>120000</v>
      </c>
      <c r="Z490" s="29">
        <f t="shared" ca="1" si="8"/>
        <v>16.666666666666664</v>
      </c>
      <c r="AA490">
        <f ca="1">IF(T_EMPLOYEES[[#This Row],[EMPLOYEE NUMBER]]="","",ROW(T_EMPLOYEES[[#This Row],[EMPLOYEE LABEL]])-ROW(T_EMPLOYEES[[#Headers],[EMPLOYEE LABEL]]))</f>
        <v>487</v>
      </c>
      <c r="AB490">
        <f ca="1">IF(T_EMPLOYEES[[#This Row],[EMPLOYEE NUMBER]]="","",IF(COUNTIF(T_EMPLOYEES[EMPLOYEE NUMBER],T_EMPLOYEES[[#This Row],[EMPLOYEE NUMBER]])&gt;1,1,0))</f>
        <v>0</v>
      </c>
      <c r="AC490">
        <f ca="1">IF(T_EMPLOYEES[[#This Row],[EMPLOYEE NUMBER]]="","",IF(AND(T_EMPLOYEES[[#This Row],[DATE OF BIRTH]]&gt;0,T_EMPLOYEES[[#This Row],[DATE OF BIRTH]]&lt;TODAY()),0,1))</f>
        <v>0</v>
      </c>
      <c r="AD490">
        <f ca="1">IF(T_EMPLOYEES[[#This Row],[EMPLOYEE NUMBER]]="","",IF(AND(T_EMPLOYEES[[#This Row],[START DATE]]&gt;0,T_EMPLOYEES[[#This Row],[START DATE]]&lt;TODAY()+60),0,1))</f>
        <v>0</v>
      </c>
      <c r="AE490">
        <f ca="1">IF(T_EMPLOYEES[[#This Row],[EMPLOYEE NUMBER]]="","",MATCH(T_EMPLOYEES[[#This Row],[GENDER]],L_GENDER,0))</f>
        <v>1</v>
      </c>
      <c r="AF490">
        <f ca="1">IF(T_EMPLOYEES[[#This Row],[EMPLOYEE NUMBER]]="","",MATCH(T_EMPLOYEES[[#This Row],[HIRE SOURCE]],L_HIRESOURCE,0))</f>
        <v>4</v>
      </c>
      <c r="AG490">
        <f ca="1">IF(T_EMPLOYEES[[#This Row],[EMPLOYEE NUMBER]]="","",MATCH(T_EMPLOYEES[[#This Row],[ETHNICITY]],L_ETHNICITY,0))</f>
        <v>3</v>
      </c>
      <c r="AH490">
        <f ca="1">IF(T_EMPLOYEES[[#This Row],[EMPLOYEE NUMBER]]="","",MATCH(T_EMPLOYEES[[#This Row],[LOCATION]],L_LOCATION,0))</f>
        <v>1</v>
      </c>
      <c r="AI490">
        <f ca="1">IF(T_EMPLOYEES[[#This Row],[EMPLOYEE NUMBER]]="","",MATCH(T_EMPLOYEES[[#This Row],[DEPARTMENT]],L_DEPARTMENT,0))</f>
        <v>2</v>
      </c>
      <c r="AJ490">
        <f ca="1">IF(T_EMPLOYEES[[#This Row],[EMPLOYEE NUMBER]]="","",MATCH(T_EMPLOYEES[[#This Row],[JOB TYPE]],L_JOBTYPE,0))</f>
        <v>2</v>
      </c>
      <c r="AK490">
        <f ca="1">IF(T_EMPLOYEES[[#This Row],[EMPLOYEE NUMBER]]="","",MATCH(T_EMPLOYEES[[#This Row],[JOB CATEGORY]],L_JOBCATEGORY,0))</f>
        <v>39</v>
      </c>
      <c r="AL490">
        <f ca="1">IF(T_EMPLOYEES[[#This Row],[EMPLOYEE NUMBER]]="","",MATCH(T_EMPLOYEES[[#This Row],[JOB LEVEL]],L_JOBLEVEL,0))</f>
        <v>2</v>
      </c>
      <c r="AM490">
        <f ca="1">IF(T_EMPLOYEES[[#This Row],[EMPLOYEE NUMBER]]="","",MATCH(T_EMPLOYEES[[#This Row],[JOB TITLE]],L_JOBTITLE,0))</f>
        <v>39</v>
      </c>
      <c r="AN490">
        <f ca="1">IF(T_EMPLOYEES[[#This Row],[EMPLOYEE NUMBER]]="","",MATCH(T_EMPLOYEES[[#This Row],[MANAGER]],L_EMPLABELS,0))</f>
        <v>96</v>
      </c>
      <c r="AO490">
        <f ca="1">IF(T_EMPLOYEES[[#This Row],[EMPLOYEE NUMBER]]="","",IF(T_EMPLOYEES[[#This Row],[ERROR]]="",0,1))</f>
        <v>0</v>
      </c>
      <c r="AP49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1" spans="1:42">
      <c r="A491" t="s">
        <v>1566</v>
      </c>
      <c r="B491" t="s">
        <v>1567</v>
      </c>
      <c r="C491">
        <v>1028027</v>
      </c>
      <c r="D491" t="s">
        <v>1568</v>
      </c>
      <c r="E491" s="26">
        <v>36682</v>
      </c>
      <c r="F491" s="26">
        <v>44574</v>
      </c>
      <c r="H491" t="s">
        <v>40</v>
      </c>
      <c r="I491" t="s">
        <v>54</v>
      </c>
      <c r="J491" t="s">
        <v>64</v>
      </c>
      <c r="K491" t="s">
        <v>43</v>
      </c>
      <c r="L491" s="27" t="s">
        <v>45</v>
      </c>
      <c r="M491" t="s">
        <v>46</v>
      </c>
      <c r="N491" t="s">
        <v>160</v>
      </c>
      <c r="O491" t="s">
        <v>48</v>
      </c>
      <c r="P491" t="s">
        <v>160</v>
      </c>
      <c r="Q491" t="s">
        <v>321</v>
      </c>
      <c r="R491">
        <v>4</v>
      </c>
      <c r="S491" s="1">
        <v>1200000</v>
      </c>
      <c r="T491" s="1">
        <f ca="1">ROUND(T_EMPLOYEES[[#This Row],[EMP_CTC1]]/12, 0)</f>
        <v>100000</v>
      </c>
      <c r="U491" s="1">
        <v>1000000</v>
      </c>
      <c r="V491" s="1" t="s">
        <v>1065</v>
      </c>
      <c r="W491" s="1" t="s">
        <v>1065</v>
      </c>
      <c r="X49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Chilukuri Praneetha (1028027)</v>
      </c>
      <c r="Y491">
        <v>120000</v>
      </c>
      <c r="Z491" s="29">
        <f t="shared" ca="1" si="8"/>
        <v>16.666666666666664</v>
      </c>
      <c r="AA491">
        <f ca="1">IF(T_EMPLOYEES[[#This Row],[EMPLOYEE NUMBER]]="","",ROW(T_EMPLOYEES[[#This Row],[EMPLOYEE LABEL]])-ROW(T_EMPLOYEES[[#Headers],[EMPLOYEE LABEL]]))</f>
        <v>488</v>
      </c>
      <c r="AB491">
        <f ca="1">IF(T_EMPLOYEES[[#This Row],[EMPLOYEE NUMBER]]="","",IF(COUNTIF(T_EMPLOYEES[EMPLOYEE NUMBER],T_EMPLOYEES[[#This Row],[EMPLOYEE NUMBER]])&gt;1,1,0))</f>
        <v>0</v>
      </c>
      <c r="AC491">
        <f ca="1">IF(T_EMPLOYEES[[#This Row],[EMPLOYEE NUMBER]]="","",IF(AND(T_EMPLOYEES[[#This Row],[DATE OF BIRTH]]&gt;0,T_EMPLOYEES[[#This Row],[DATE OF BIRTH]]&lt;TODAY()),0,1))</f>
        <v>0</v>
      </c>
      <c r="AD491">
        <f ca="1">IF(T_EMPLOYEES[[#This Row],[EMPLOYEE NUMBER]]="","",IF(AND(T_EMPLOYEES[[#This Row],[START DATE]]&gt;0,T_EMPLOYEES[[#This Row],[START DATE]]&lt;TODAY()+60),0,1))</f>
        <v>0</v>
      </c>
      <c r="AE491">
        <f ca="1">IF(T_EMPLOYEES[[#This Row],[EMPLOYEE NUMBER]]="","",MATCH(T_EMPLOYEES[[#This Row],[GENDER]],L_GENDER,0))</f>
        <v>2</v>
      </c>
      <c r="AF491">
        <f ca="1">IF(T_EMPLOYEES[[#This Row],[EMPLOYEE NUMBER]]="","",MATCH(T_EMPLOYEES[[#This Row],[HIRE SOURCE]],L_HIRESOURCE,0))</f>
        <v>4</v>
      </c>
      <c r="AG491">
        <f ca="1">IF(T_EMPLOYEES[[#This Row],[EMPLOYEE NUMBER]]="","",MATCH(T_EMPLOYEES[[#This Row],[ETHNICITY]],L_ETHNICITY,0))</f>
        <v>3</v>
      </c>
      <c r="AH491">
        <f ca="1">IF(T_EMPLOYEES[[#This Row],[EMPLOYEE NUMBER]]="","",MATCH(T_EMPLOYEES[[#This Row],[LOCATION]],L_LOCATION,0))</f>
        <v>2</v>
      </c>
      <c r="AI491">
        <f ca="1">IF(T_EMPLOYEES[[#This Row],[EMPLOYEE NUMBER]]="","",MATCH(T_EMPLOYEES[[#This Row],[DEPARTMENT]],L_DEPARTMENT,0))</f>
        <v>2</v>
      </c>
      <c r="AJ491">
        <f ca="1">IF(T_EMPLOYEES[[#This Row],[EMPLOYEE NUMBER]]="","",MATCH(T_EMPLOYEES[[#This Row],[JOB TYPE]],L_JOBTYPE,0))</f>
        <v>2</v>
      </c>
      <c r="AK491">
        <f ca="1">IF(T_EMPLOYEES[[#This Row],[EMPLOYEE NUMBER]]="","",MATCH(T_EMPLOYEES[[#This Row],[JOB CATEGORY]],L_JOBCATEGORY,0))</f>
        <v>39</v>
      </c>
      <c r="AL491">
        <f ca="1">IF(T_EMPLOYEES[[#This Row],[EMPLOYEE NUMBER]]="","",MATCH(T_EMPLOYEES[[#This Row],[JOB LEVEL]],L_JOBLEVEL,0))</f>
        <v>2</v>
      </c>
      <c r="AM491">
        <f ca="1">IF(T_EMPLOYEES[[#This Row],[EMPLOYEE NUMBER]]="","",MATCH(T_EMPLOYEES[[#This Row],[JOB TITLE]],L_JOBTITLE,0))</f>
        <v>39</v>
      </c>
      <c r="AN491">
        <f ca="1">IF(T_EMPLOYEES[[#This Row],[EMPLOYEE NUMBER]]="","",MATCH(T_EMPLOYEES[[#This Row],[MANAGER]],L_EMPLABELS,0))</f>
        <v>3</v>
      </c>
      <c r="AO491">
        <f ca="1">IF(T_EMPLOYEES[[#This Row],[EMPLOYEE NUMBER]]="","",IF(T_EMPLOYEES[[#This Row],[ERROR]]="",0,1))</f>
        <v>0</v>
      </c>
      <c r="AP49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2" spans="1:42">
      <c r="A492" t="s">
        <v>1569</v>
      </c>
      <c r="B492" t="s">
        <v>1570</v>
      </c>
      <c r="C492">
        <v>1026940</v>
      </c>
      <c r="D492" t="s">
        <v>1571</v>
      </c>
      <c r="E492" s="26">
        <v>36692</v>
      </c>
      <c r="F492" s="26">
        <v>44491</v>
      </c>
      <c r="H492" t="s">
        <v>27</v>
      </c>
      <c r="I492" t="s">
        <v>54</v>
      </c>
      <c r="J492" t="s">
        <v>64</v>
      </c>
      <c r="K492" t="s">
        <v>43</v>
      </c>
      <c r="L492" s="27" t="s">
        <v>45</v>
      </c>
      <c r="M492" t="s">
        <v>46</v>
      </c>
      <c r="N492" t="s">
        <v>148</v>
      </c>
      <c r="O492" t="s">
        <v>48</v>
      </c>
      <c r="P492" t="s">
        <v>148</v>
      </c>
      <c r="Q492" t="s">
        <v>222</v>
      </c>
      <c r="R492" s="27">
        <v>4</v>
      </c>
      <c r="S492" s="1">
        <v>1200000</v>
      </c>
      <c r="T492" s="1">
        <f ca="1">ROUND(T_EMPLOYEES[[#This Row],[EMP_CTC1]]/12, 0)</f>
        <v>100000</v>
      </c>
      <c r="U492" s="1">
        <v>1000000</v>
      </c>
      <c r="V492" s="1" t="s">
        <v>1065</v>
      </c>
      <c r="W492" s="1" t="s">
        <v>1065</v>
      </c>
      <c r="X49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Nare Suneel Kumar Reddy (1026940)</v>
      </c>
      <c r="Y492">
        <v>120000</v>
      </c>
      <c r="Z492" s="29">
        <f t="shared" ca="1" si="8"/>
        <v>16.666666666666664</v>
      </c>
      <c r="AA492">
        <f ca="1">IF(T_EMPLOYEES[[#This Row],[EMPLOYEE NUMBER]]="","",ROW(T_EMPLOYEES[[#This Row],[EMPLOYEE LABEL]])-ROW(T_EMPLOYEES[[#Headers],[EMPLOYEE LABEL]]))</f>
        <v>489</v>
      </c>
      <c r="AB492">
        <f ca="1">IF(T_EMPLOYEES[[#This Row],[EMPLOYEE NUMBER]]="","",IF(COUNTIF(T_EMPLOYEES[EMPLOYEE NUMBER],T_EMPLOYEES[[#This Row],[EMPLOYEE NUMBER]])&gt;1,1,0))</f>
        <v>0</v>
      </c>
      <c r="AC492">
        <f ca="1">IF(T_EMPLOYEES[[#This Row],[EMPLOYEE NUMBER]]="","",IF(AND(T_EMPLOYEES[[#This Row],[DATE OF BIRTH]]&gt;0,T_EMPLOYEES[[#This Row],[DATE OF BIRTH]]&lt;TODAY()),0,1))</f>
        <v>0</v>
      </c>
      <c r="AD492">
        <f ca="1">IF(T_EMPLOYEES[[#This Row],[EMPLOYEE NUMBER]]="","",IF(AND(T_EMPLOYEES[[#This Row],[START DATE]]&gt;0,T_EMPLOYEES[[#This Row],[START DATE]]&lt;TODAY()+60),0,1))</f>
        <v>0</v>
      </c>
      <c r="AE492">
        <f ca="1">IF(T_EMPLOYEES[[#This Row],[EMPLOYEE NUMBER]]="","",MATCH(T_EMPLOYEES[[#This Row],[GENDER]],L_GENDER,0))</f>
        <v>1</v>
      </c>
      <c r="AF492">
        <f ca="1">IF(T_EMPLOYEES[[#This Row],[EMPLOYEE NUMBER]]="","",MATCH(T_EMPLOYEES[[#This Row],[HIRE SOURCE]],L_HIRESOURCE,0))</f>
        <v>4</v>
      </c>
      <c r="AG492">
        <f ca="1">IF(T_EMPLOYEES[[#This Row],[EMPLOYEE NUMBER]]="","",MATCH(T_EMPLOYEES[[#This Row],[ETHNICITY]],L_ETHNICITY,0))</f>
        <v>3</v>
      </c>
      <c r="AH492">
        <f ca="1">IF(T_EMPLOYEES[[#This Row],[EMPLOYEE NUMBER]]="","",MATCH(T_EMPLOYEES[[#This Row],[LOCATION]],L_LOCATION,0))</f>
        <v>2</v>
      </c>
      <c r="AI492">
        <f ca="1">IF(T_EMPLOYEES[[#This Row],[EMPLOYEE NUMBER]]="","",MATCH(T_EMPLOYEES[[#This Row],[DEPARTMENT]],L_DEPARTMENT,0))</f>
        <v>2</v>
      </c>
      <c r="AJ492">
        <f ca="1">IF(T_EMPLOYEES[[#This Row],[EMPLOYEE NUMBER]]="","",MATCH(T_EMPLOYEES[[#This Row],[JOB TYPE]],L_JOBTYPE,0))</f>
        <v>2</v>
      </c>
      <c r="AK492">
        <f ca="1">IF(T_EMPLOYEES[[#This Row],[EMPLOYEE NUMBER]]="","",MATCH(T_EMPLOYEES[[#This Row],[JOB CATEGORY]],L_JOBCATEGORY,0))</f>
        <v>27</v>
      </c>
      <c r="AL492">
        <f ca="1">IF(T_EMPLOYEES[[#This Row],[EMPLOYEE NUMBER]]="","",MATCH(T_EMPLOYEES[[#This Row],[JOB LEVEL]],L_JOBLEVEL,0))</f>
        <v>2</v>
      </c>
      <c r="AM492">
        <f ca="1">IF(T_EMPLOYEES[[#This Row],[EMPLOYEE NUMBER]]="","",MATCH(T_EMPLOYEES[[#This Row],[JOB TITLE]],L_JOBTITLE,0))</f>
        <v>27</v>
      </c>
      <c r="AN492">
        <f ca="1">IF(T_EMPLOYEES[[#This Row],[EMPLOYEE NUMBER]]="","",MATCH(T_EMPLOYEES[[#This Row],[MANAGER]],L_EMPLABELS,0))</f>
        <v>69</v>
      </c>
      <c r="AO492">
        <f ca="1">IF(T_EMPLOYEES[[#This Row],[EMPLOYEE NUMBER]]="","",IF(T_EMPLOYEES[[#This Row],[ERROR]]="",0,1))</f>
        <v>0</v>
      </c>
      <c r="AP49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3" spans="1:42">
      <c r="A493" t="s">
        <v>1572</v>
      </c>
      <c r="B493" t="s">
        <v>1117</v>
      </c>
      <c r="C493">
        <v>1028776</v>
      </c>
      <c r="D493" t="s">
        <v>1573</v>
      </c>
      <c r="E493" s="26">
        <v>36695</v>
      </c>
      <c r="F493" s="26">
        <v>44657</v>
      </c>
      <c r="H493" t="s">
        <v>40</v>
      </c>
      <c r="I493" t="s">
        <v>54</v>
      </c>
      <c r="J493" t="s">
        <v>64</v>
      </c>
      <c r="K493" t="s">
        <v>43</v>
      </c>
      <c r="L493" s="27" t="s">
        <v>45</v>
      </c>
      <c r="M493" t="s">
        <v>46</v>
      </c>
      <c r="N493" t="s">
        <v>156</v>
      </c>
      <c r="O493" t="s">
        <v>36</v>
      </c>
      <c r="P493" t="s">
        <v>156</v>
      </c>
      <c r="Q493" t="s">
        <v>684</v>
      </c>
      <c r="R493">
        <v>0</v>
      </c>
      <c r="S493" s="1">
        <v>1200000</v>
      </c>
      <c r="T493" s="1">
        <f ca="1">ROUND(T_EMPLOYEES[[#This Row],[EMP_CTC1]]/12, 0)</f>
        <v>100000</v>
      </c>
      <c r="U493" s="1">
        <v>1000000</v>
      </c>
      <c r="V493" s="1" t="s">
        <v>1065</v>
      </c>
      <c r="W493" s="1" t="s">
        <v>1065</v>
      </c>
      <c r="X49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Mandlavari Divya (1028776)</v>
      </c>
      <c r="Y493">
        <v>120000</v>
      </c>
      <c r="Z493" s="29">
        <f t="shared" ca="1" si="8"/>
        <v>16.666666666666664</v>
      </c>
      <c r="AA493">
        <f ca="1">IF(T_EMPLOYEES[[#This Row],[EMPLOYEE NUMBER]]="","",ROW(T_EMPLOYEES[[#This Row],[EMPLOYEE LABEL]])-ROW(T_EMPLOYEES[[#Headers],[EMPLOYEE LABEL]]))</f>
        <v>490</v>
      </c>
      <c r="AB493">
        <f ca="1">IF(T_EMPLOYEES[[#This Row],[EMPLOYEE NUMBER]]="","",IF(COUNTIF(T_EMPLOYEES[EMPLOYEE NUMBER],T_EMPLOYEES[[#This Row],[EMPLOYEE NUMBER]])&gt;1,1,0))</f>
        <v>0</v>
      </c>
      <c r="AC493">
        <f ca="1">IF(T_EMPLOYEES[[#This Row],[EMPLOYEE NUMBER]]="","",IF(AND(T_EMPLOYEES[[#This Row],[DATE OF BIRTH]]&gt;0,T_EMPLOYEES[[#This Row],[DATE OF BIRTH]]&lt;TODAY()),0,1))</f>
        <v>0</v>
      </c>
      <c r="AD493">
        <f ca="1">IF(T_EMPLOYEES[[#This Row],[EMPLOYEE NUMBER]]="","",IF(AND(T_EMPLOYEES[[#This Row],[START DATE]]&gt;0,T_EMPLOYEES[[#This Row],[START DATE]]&lt;TODAY()+60),0,1))</f>
        <v>0</v>
      </c>
      <c r="AE493">
        <f ca="1">IF(T_EMPLOYEES[[#This Row],[EMPLOYEE NUMBER]]="","",MATCH(T_EMPLOYEES[[#This Row],[GENDER]],L_GENDER,0))</f>
        <v>2</v>
      </c>
      <c r="AF493">
        <f ca="1">IF(T_EMPLOYEES[[#This Row],[EMPLOYEE NUMBER]]="","",MATCH(T_EMPLOYEES[[#This Row],[HIRE SOURCE]],L_HIRESOURCE,0))</f>
        <v>4</v>
      </c>
      <c r="AG493">
        <f ca="1">IF(T_EMPLOYEES[[#This Row],[EMPLOYEE NUMBER]]="","",MATCH(T_EMPLOYEES[[#This Row],[ETHNICITY]],L_ETHNICITY,0))</f>
        <v>3</v>
      </c>
      <c r="AH493">
        <f ca="1">IF(T_EMPLOYEES[[#This Row],[EMPLOYEE NUMBER]]="","",MATCH(T_EMPLOYEES[[#This Row],[LOCATION]],L_LOCATION,0))</f>
        <v>2</v>
      </c>
      <c r="AI493">
        <f ca="1">IF(T_EMPLOYEES[[#This Row],[EMPLOYEE NUMBER]]="","",MATCH(T_EMPLOYEES[[#This Row],[DEPARTMENT]],L_DEPARTMENT,0))</f>
        <v>2</v>
      </c>
      <c r="AJ493">
        <f ca="1">IF(T_EMPLOYEES[[#This Row],[EMPLOYEE NUMBER]]="","",MATCH(T_EMPLOYEES[[#This Row],[JOB TYPE]],L_JOBTYPE,0))</f>
        <v>2</v>
      </c>
      <c r="AK493">
        <f ca="1">IF(T_EMPLOYEES[[#This Row],[EMPLOYEE NUMBER]]="","",MATCH(T_EMPLOYEES[[#This Row],[JOB CATEGORY]],L_JOBCATEGORY,0))</f>
        <v>35</v>
      </c>
      <c r="AL493">
        <f ca="1">IF(T_EMPLOYEES[[#This Row],[EMPLOYEE NUMBER]]="","",MATCH(T_EMPLOYEES[[#This Row],[JOB LEVEL]],L_JOBLEVEL,0))</f>
        <v>1</v>
      </c>
      <c r="AM493">
        <f ca="1">IF(T_EMPLOYEES[[#This Row],[EMPLOYEE NUMBER]]="","",MATCH(T_EMPLOYEES[[#This Row],[JOB TITLE]],L_JOBTITLE,0))</f>
        <v>35</v>
      </c>
      <c r="AN493">
        <f ca="1">IF(T_EMPLOYEES[[#This Row],[EMPLOYEE NUMBER]]="","",MATCH(T_EMPLOYEES[[#This Row],[MANAGER]],L_EMPLABELS,0))</f>
        <v>232</v>
      </c>
      <c r="AO493">
        <f ca="1">IF(T_EMPLOYEES[[#This Row],[EMPLOYEE NUMBER]]="","",IF(T_EMPLOYEES[[#This Row],[ERROR]]="",0,1))</f>
        <v>0</v>
      </c>
      <c r="AP49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4" spans="1:42">
      <c r="A494" t="s">
        <v>1574</v>
      </c>
      <c r="B494" t="s">
        <v>1575</v>
      </c>
      <c r="C494">
        <v>1033221</v>
      </c>
      <c r="D494" t="s">
        <v>1576</v>
      </c>
      <c r="E494" s="26">
        <v>36696</v>
      </c>
      <c r="F494" s="26">
        <v>45155</v>
      </c>
      <c r="H494" t="s">
        <v>27</v>
      </c>
      <c r="I494" t="s">
        <v>54</v>
      </c>
      <c r="J494" t="s">
        <v>64</v>
      </c>
      <c r="K494" t="s">
        <v>43</v>
      </c>
      <c r="L494" s="27" t="s">
        <v>114</v>
      </c>
      <c r="M494" t="s">
        <v>46</v>
      </c>
      <c r="N494" t="s">
        <v>151</v>
      </c>
      <c r="O494" t="s">
        <v>36</v>
      </c>
      <c r="P494" t="s">
        <v>151</v>
      </c>
      <c r="Q494" t="s">
        <v>206</v>
      </c>
      <c r="R494" s="27">
        <v>0</v>
      </c>
      <c r="S494" s="1">
        <v>1200000</v>
      </c>
      <c r="T494" s="1">
        <f ca="1">ROUND(T_EMPLOYEES[[#This Row],[EMP_CTC1]]/12, 0)</f>
        <v>100000</v>
      </c>
      <c r="U494" s="1">
        <v>1000000</v>
      </c>
      <c r="V494" s="1" t="s">
        <v>1065</v>
      </c>
      <c r="W494" s="1" t="s">
        <v>1065</v>
      </c>
      <c r="X49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Ariz khan (1033221)</v>
      </c>
      <c r="Y494">
        <v>120000</v>
      </c>
      <c r="Z494" s="29">
        <f t="shared" ca="1" si="8"/>
        <v>16.666666666666664</v>
      </c>
      <c r="AA494">
        <f ca="1">IF(T_EMPLOYEES[[#This Row],[EMPLOYEE NUMBER]]="","",ROW(T_EMPLOYEES[[#This Row],[EMPLOYEE LABEL]])-ROW(T_EMPLOYEES[[#Headers],[EMPLOYEE LABEL]]))</f>
        <v>491</v>
      </c>
      <c r="AB494">
        <f ca="1">IF(T_EMPLOYEES[[#This Row],[EMPLOYEE NUMBER]]="","",IF(COUNTIF(T_EMPLOYEES[EMPLOYEE NUMBER],T_EMPLOYEES[[#This Row],[EMPLOYEE NUMBER]])&gt;1,1,0))</f>
        <v>0</v>
      </c>
      <c r="AC494">
        <f ca="1">IF(T_EMPLOYEES[[#This Row],[EMPLOYEE NUMBER]]="","",IF(AND(T_EMPLOYEES[[#This Row],[DATE OF BIRTH]]&gt;0,T_EMPLOYEES[[#This Row],[DATE OF BIRTH]]&lt;TODAY()),0,1))</f>
        <v>0</v>
      </c>
      <c r="AD494">
        <f ca="1">IF(T_EMPLOYEES[[#This Row],[EMPLOYEE NUMBER]]="","",IF(AND(T_EMPLOYEES[[#This Row],[START DATE]]&gt;0,T_EMPLOYEES[[#This Row],[START DATE]]&lt;TODAY()+60),0,1))</f>
        <v>0</v>
      </c>
      <c r="AE494">
        <f ca="1">IF(T_EMPLOYEES[[#This Row],[EMPLOYEE NUMBER]]="","",MATCH(T_EMPLOYEES[[#This Row],[GENDER]],L_GENDER,0))</f>
        <v>1</v>
      </c>
      <c r="AF494">
        <f ca="1">IF(T_EMPLOYEES[[#This Row],[EMPLOYEE NUMBER]]="","",MATCH(T_EMPLOYEES[[#This Row],[HIRE SOURCE]],L_HIRESOURCE,0))</f>
        <v>4</v>
      </c>
      <c r="AG494">
        <f ca="1">IF(T_EMPLOYEES[[#This Row],[EMPLOYEE NUMBER]]="","",MATCH(T_EMPLOYEES[[#This Row],[ETHNICITY]],L_ETHNICITY,0))</f>
        <v>3</v>
      </c>
      <c r="AH494">
        <f ca="1">IF(T_EMPLOYEES[[#This Row],[EMPLOYEE NUMBER]]="","",MATCH(T_EMPLOYEES[[#This Row],[LOCATION]],L_LOCATION,0))</f>
        <v>2</v>
      </c>
      <c r="AI494">
        <f ca="1">IF(T_EMPLOYEES[[#This Row],[EMPLOYEE NUMBER]]="","",MATCH(T_EMPLOYEES[[#This Row],[DEPARTMENT]],L_DEPARTMENT,0))</f>
        <v>11</v>
      </c>
      <c r="AJ494">
        <f ca="1">IF(T_EMPLOYEES[[#This Row],[EMPLOYEE NUMBER]]="","",MATCH(T_EMPLOYEES[[#This Row],[JOB TYPE]],L_JOBTYPE,0))</f>
        <v>2</v>
      </c>
      <c r="AK494">
        <f ca="1">IF(T_EMPLOYEES[[#This Row],[EMPLOYEE NUMBER]]="","",MATCH(T_EMPLOYEES[[#This Row],[JOB CATEGORY]],L_JOBCATEGORY,0))</f>
        <v>30</v>
      </c>
      <c r="AL494">
        <f ca="1">IF(T_EMPLOYEES[[#This Row],[EMPLOYEE NUMBER]]="","",MATCH(T_EMPLOYEES[[#This Row],[JOB LEVEL]],L_JOBLEVEL,0))</f>
        <v>1</v>
      </c>
      <c r="AM494">
        <f ca="1">IF(T_EMPLOYEES[[#This Row],[EMPLOYEE NUMBER]]="","",MATCH(T_EMPLOYEES[[#This Row],[JOB TITLE]],L_JOBTITLE,0))</f>
        <v>30</v>
      </c>
      <c r="AN494">
        <f ca="1">IF(T_EMPLOYEES[[#This Row],[EMPLOYEE NUMBER]]="","",MATCH(T_EMPLOYEES[[#This Row],[MANAGER]],L_EMPLABELS,0))</f>
        <v>6</v>
      </c>
      <c r="AO494">
        <f ca="1">IF(T_EMPLOYEES[[#This Row],[EMPLOYEE NUMBER]]="","",IF(T_EMPLOYEES[[#This Row],[ERROR]]="",0,1))</f>
        <v>0</v>
      </c>
      <c r="AP49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5" spans="1:42">
      <c r="A495" t="s">
        <v>1577</v>
      </c>
      <c r="B495" t="s">
        <v>1578</v>
      </c>
      <c r="C495">
        <v>1029528</v>
      </c>
      <c r="D495" t="s">
        <v>1579</v>
      </c>
      <c r="E495" s="26">
        <v>36699</v>
      </c>
      <c r="F495" s="26">
        <v>44757</v>
      </c>
      <c r="H495" t="s">
        <v>27</v>
      </c>
      <c r="I495" t="s">
        <v>54</v>
      </c>
      <c r="J495" t="s">
        <v>64</v>
      </c>
      <c r="K495" t="s">
        <v>30</v>
      </c>
      <c r="L495" s="27" t="s">
        <v>114</v>
      </c>
      <c r="M495" t="s">
        <v>46</v>
      </c>
      <c r="N495" t="s">
        <v>151</v>
      </c>
      <c r="O495" t="s">
        <v>36</v>
      </c>
      <c r="P495" t="s">
        <v>151</v>
      </c>
      <c r="Q495" t="s">
        <v>468</v>
      </c>
      <c r="R495">
        <v>0</v>
      </c>
      <c r="S495" s="1">
        <v>1200000</v>
      </c>
      <c r="T495" s="1">
        <f ca="1">ROUND(T_EMPLOYEES[[#This Row],[EMP_CTC1]]/12, 0)</f>
        <v>100000</v>
      </c>
      <c r="U495" s="1">
        <v>1000000</v>
      </c>
      <c r="V495" s="1" t="s">
        <v>1065</v>
      </c>
      <c r="W495" s="1" t="s">
        <v>1065</v>
      </c>
      <c r="X49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Maddi Vamsi (1029528)</v>
      </c>
      <c r="Y495">
        <v>120000</v>
      </c>
      <c r="Z495" s="29">
        <f t="shared" ca="1" si="8"/>
        <v>16.666666666666664</v>
      </c>
      <c r="AA495">
        <f ca="1">IF(T_EMPLOYEES[[#This Row],[EMPLOYEE NUMBER]]="","",ROW(T_EMPLOYEES[[#This Row],[EMPLOYEE LABEL]])-ROW(T_EMPLOYEES[[#Headers],[EMPLOYEE LABEL]]))</f>
        <v>492</v>
      </c>
      <c r="AB495">
        <f ca="1">IF(T_EMPLOYEES[[#This Row],[EMPLOYEE NUMBER]]="","",IF(COUNTIF(T_EMPLOYEES[EMPLOYEE NUMBER],T_EMPLOYEES[[#This Row],[EMPLOYEE NUMBER]])&gt;1,1,0))</f>
        <v>0</v>
      </c>
      <c r="AC495">
        <f ca="1">IF(T_EMPLOYEES[[#This Row],[EMPLOYEE NUMBER]]="","",IF(AND(T_EMPLOYEES[[#This Row],[DATE OF BIRTH]]&gt;0,T_EMPLOYEES[[#This Row],[DATE OF BIRTH]]&lt;TODAY()),0,1))</f>
        <v>0</v>
      </c>
      <c r="AD495">
        <f ca="1">IF(T_EMPLOYEES[[#This Row],[EMPLOYEE NUMBER]]="","",IF(AND(T_EMPLOYEES[[#This Row],[START DATE]]&gt;0,T_EMPLOYEES[[#This Row],[START DATE]]&lt;TODAY()+60),0,1))</f>
        <v>0</v>
      </c>
      <c r="AE495">
        <f ca="1">IF(T_EMPLOYEES[[#This Row],[EMPLOYEE NUMBER]]="","",MATCH(T_EMPLOYEES[[#This Row],[GENDER]],L_GENDER,0))</f>
        <v>1</v>
      </c>
      <c r="AF495">
        <f ca="1">IF(T_EMPLOYEES[[#This Row],[EMPLOYEE NUMBER]]="","",MATCH(T_EMPLOYEES[[#This Row],[HIRE SOURCE]],L_HIRESOURCE,0))</f>
        <v>4</v>
      </c>
      <c r="AG495">
        <f ca="1">IF(T_EMPLOYEES[[#This Row],[EMPLOYEE NUMBER]]="","",MATCH(T_EMPLOYEES[[#This Row],[ETHNICITY]],L_ETHNICITY,0))</f>
        <v>3</v>
      </c>
      <c r="AH495">
        <f ca="1">IF(T_EMPLOYEES[[#This Row],[EMPLOYEE NUMBER]]="","",MATCH(T_EMPLOYEES[[#This Row],[LOCATION]],L_LOCATION,0))</f>
        <v>1</v>
      </c>
      <c r="AI495">
        <f ca="1">IF(T_EMPLOYEES[[#This Row],[EMPLOYEE NUMBER]]="","",MATCH(T_EMPLOYEES[[#This Row],[DEPARTMENT]],L_DEPARTMENT,0))</f>
        <v>11</v>
      </c>
      <c r="AJ495">
        <f ca="1">IF(T_EMPLOYEES[[#This Row],[EMPLOYEE NUMBER]]="","",MATCH(T_EMPLOYEES[[#This Row],[JOB TYPE]],L_JOBTYPE,0))</f>
        <v>2</v>
      </c>
      <c r="AK495">
        <f ca="1">IF(T_EMPLOYEES[[#This Row],[EMPLOYEE NUMBER]]="","",MATCH(T_EMPLOYEES[[#This Row],[JOB CATEGORY]],L_JOBCATEGORY,0))</f>
        <v>30</v>
      </c>
      <c r="AL495">
        <f ca="1">IF(T_EMPLOYEES[[#This Row],[EMPLOYEE NUMBER]]="","",MATCH(T_EMPLOYEES[[#This Row],[JOB LEVEL]],L_JOBLEVEL,0))</f>
        <v>1</v>
      </c>
      <c r="AM495">
        <f ca="1">IF(T_EMPLOYEES[[#This Row],[EMPLOYEE NUMBER]]="","",MATCH(T_EMPLOYEES[[#This Row],[JOB TITLE]],L_JOBTITLE,0))</f>
        <v>30</v>
      </c>
      <c r="AN495">
        <f ca="1">IF(T_EMPLOYEES[[#This Row],[EMPLOYEE NUMBER]]="","",MATCH(T_EMPLOYEES[[#This Row],[MANAGER]],L_EMPLABELS,0))</f>
        <v>56</v>
      </c>
      <c r="AO495">
        <f ca="1">IF(T_EMPLOYEES[[#This Row],[EMPLOYEE NUMBER]]="","",IF(T_EMPLOYEES[[#This Row],[ERROR]]="",0,1))</f>
        <v>0</v>
      </c>
      <c r="AP49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6" spans="1:42">
      <c r="A496" t="s">
        <v>1580</v>
      </c>
      <c r="B496" t="s">
        <v>1104</v>
      </c>
      <c r="C496">
        <v>1030243</v>
      </c>
      <c r="D496" t="s">
        <v>1581</v>
      </c>
      <c r="E496" s="26">
        <v>36699</v>
      </c>
      <c r="F496" s="26">
        <v>44819</v>
      </c>
      <c r="H496" t="s">
        <v>40</v>
      </c>
      <c r="I496" t="s">
        <v>54</v>
      </c>
      <c r="J496" t="s">
        <v>64</v>
      </c>
      <c r="K496" t="s">
        <v>30</v>
      </c>
      <c r="L496" s="27" t="s">
        <v>114</v>
      </c>
      <c r="M496" t="s">
        <v>46</v>
      </c>
      <c r="N496" t="s">
        <v>151</v>
      </c>
      <c r="O496" t="s">
        <v>36</v>
      </c>
      <c r="P496" t="s">
        <v>151</v>
      </c>
      <c r="Q496" t="s">
        <v>468</v>
      </c>
      <c r="R496" s="27">
        <v>0</v>
      </c>
      <c r="S496" s="1">
        <v>1200000</v>
      </c>
      <c r="T496" s="1">
        <f ca="1">ROUND(T_EMPLOYEES[[#This Row],[EMP_CTC1]]/12, 0)</f>
        <v>100000</v>
      </c>
      <c r="U496" s="1">
        <v>1000000</v>
      </c>
      <c r="V496" s="1" t="s">
        <v>1065</v>
      </c>
      <c r="W496" s="1" t="s">
        <v>1065</v>
      </c>
      <c r="X49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Atluri Priyanka (1030243)</v>
      </c>
      <c r="Y496">
        <v>120000</v>
      </c>
      <c r="Z496" s="29">
        <f t="shared" ca="1" si="8"/>
        <v>16.666666666666664</v>
      </c>
      <c r="AA496">
        <f ca="1">IF(T_EMPLOYEES[[#This Row],[EMPLOYEE NUMBER]]="","",ROW(T_EMPLOYEES[[#This Row],[EMPLOYEE LABEL]])-ROW(T_EMPLOYEES[[#Headers],[EMPLOYEE LABEL]]))</f>
        <v>493</v>
      </c>
      <c r="AB496">
        <f ca="1">IF(T_EMPLOYEES[[#This Row],[EMPLOYEE NUMBER]]="","",IF(COUNTIF(T_EMPLOYEES[EMPLOYEE NUMBER],T_EMPLOYEES[[#This Row],[EMPLOYEE NUMBER]])&gt;1,1,0))</f>
        <v>0</v>
      </c>
      <c r="AC496">
        <f ca="1">IF(T_EMPLOYEES[[#This Row],[EMPLOYEE NUMBER]]="","",IF(AND(T_EMPLOYEES[[#This Row],[DATE OF BIRTH]]&gt;0,T_EMPLOYEES[[#This Row],[DATE OF BIRTH]]&lt;TODAY()),0,1))</f>
        <v>0</v>
      </c>
      <c r="AD496">
        <f ca="1">IF(T_EMPLOYEES[[#This Row],[EMPLOYEE NUMBER]]="","",IF(AND(T_EMPLOYEES[[#This Row],[START DATE]]&gt;0,T_EMPLOYEES[[#This Row],[START DATE]]&lt;TODAY()+60),0,1))</f>
        <v>0</v>
      </c>
      <c r="AE496">
        <f ca="1">IF(T_EMPLOYEES[[#This Row],[EMPLOYEE NUMBER]]="","",MATCH(T_EMPLOYEES[[#This Row],[GENDER]],L_GENDER,0))</f>
        <v>2</v>
      </c>
      <c r="AF496">
        <f ca="1">IF(T_EMPLOYEES[[#This Row],[EMPLOYEE NUMBER]]="","",MATCH(T_EMPLOYEES[[#This Row],[HIRE SOURCE]],L_HIRESOURCE,0))</f>
        <v>4</v>
      </c>
      <c r="AG496">
        <f ca="1">IF(T_EMPLOYEES[[#This Row],[EMPLOYEE NUMBER]]="","",MATCH(T_EMPLOYEES[[#This Row],[ETHNICITY]],L_ETHNICITY,0))</f>
        <v>3</v>
      </c>
      <c r="AH496">
        <f ca="1">IF(T_EMPLOYEES[[#This Row],[EMPLOYEE NUMBER]]="","",MATCH(T_EMPLOYEES[[#This Row],[LOCATION]],L_LOCATION,0))</f>
        <v>1</v>
      </c>
      <c r="AI496">
        <f ca="1">IF(T_EMPLOYEES[[#This Row],[EMPLOYEE NUMBER]]="","",MATCH(T_EMPLOYEES[[#This Row],[DEPARTMENT]],L_DEPARTMENT,0))</f>
        <v>11</v>
      </c>
      <c r="AJ496">
        <f ca="1">IF(T_EMPLOYEES[[#This Row],[EMPLOYEE NUMBER]]="","",MATCH(T_EMPLOYEES[[#This Row],[JOB TYPE]],L_JOBTYPE,0))</f>
        <v>2</v>
      </c>
      <c r="AK496">
        <f ca="1">IF(T_EMPLOYEES[[#This Row],[EMPLOYEE NUMBER]]="","",MATCH(T_EMPLOYEES[[#This Row],[JOB CATEGORY]],L_JOBCATEGORY,0))</f>
        <v>30</v>
      </c>
      <c r="AL496">
        <f ca="1">IF(T_EMPLOYEES[[#This Row],[EMPLOYEE NUMBER]]="","",MATCH(T_EMPLOYEES[[#This Row],[JOB LEVEL]],L_JOBLEVEL,0))</f>
        <v>1</v>
      </c>
      <c r="AM496">
        <f ca="1">IF(T_EMPLOYEES[[#This Row],[EMPLOYEE NUMBER]]="","",MATCH(T_EMPLOYEES[[#This Row],[JOB TITLE]],L_JOBTITLE,0))</f>
        <v>30</v>
      </c>
      <c r="AN496">
        <f ca="1">IF(T_EMPLOYEES[[#This Row],[EMPLOYEE NUMBER]]="","",MATCH(T_EMPLOYEES[[#This Row],[MANAGER]],L_EMPLABELS,0))</f>
        <v>56</v>
      </c>
      <c r="AO496">
        <f ca="1">IF(T_EMPLOYEES[[#This Row],[EMPLOYEE NUMBER]]="","",IF(T_EMPLOYEES[[#This Row],[ERROR]]="",0,1))</f>
        <v>0</v>
      </c>
      <c r="AP49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7" spans="1:42">
      <c r="A497" t="s">
        <v>51</v>
      </c>
      <c r="B497" t="s">
        <v>1582</v>
      </c>
      <c r="C497">
        <v>1025610</v>
      </c>
      <c r="D497" t="s">
        <v>1583</v>
      </c>
      <c r="E497" s="26">
        <v>36704</v>
      </c>
      <c r="F497" s="26">
        <v>44370</v>
      </c>
      <c r="H497" t="s">
        <v>40</v>
      </c>
      <c r="I497" t="s">
        <v>54</v>
      </c>
      <c r="J497" t="s">
        <v>64</v>
      </c>
      <c r="K497" t="s">
        <v>43</v>
      </c>
      <c r="L497" s="27" t="s">
        <v>45</v>
      </c>
      <c r="M497" t="s">
        <v>46</v>
      </c>
      <c r="N497" t="s">
        <v>148</v>
      </c>
      <c r="O497" t="s">
        <v>48</v>
      </c>
      <c r="P497" t="s">
        <v>148</v>
      </c>
      <c r="Q497" t="s">
        <v>222</v>
      </c>
      <c r="R497">
        <v>4</v>
      </c>
      <c r="S497" s="1">
        <v>1200000</v>
      </c>
      <c r="T497" s="1">
        <f ca="1">ROUND(T_EMPLOYEES[[#This Row],[EMP_CTC1]]/12, 0)</f>
        <v>100000</v>
      </c>
      <c r="U497" s="1">
        <v>1000000</v>
      </c>
      <c r="V497" s="1" t="s">
        <v>1065</v>
      </c>
      <c r="W497" s="1" t="s">
        <v>1065</v>
      </c>
      <c r="X49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 Lavanya (1025610)</v>
      </c>
      <c r="Y497">
        <v>120000</v>
      </c>
      <c r="Z497" s="29">
        <f t="shared" ca="1" si="8"/>
        <v>16.666666666666664</v>
      </c>
      <c r="AA497">
        <f ca="1">IF(T_EMPLOYEES[[#This Row],[EMPLOYEE NUMBER]]="","",ROW(T_EMPLOYEES[[#This Row],[EMPLOYEE LABEL]])-ROW(T_EMPLOYEES[[#Headers],[EMPLOYEE LABEL]]))</f>
        <v>494</v>
      </c>
      <c r="AB497">
        <f ca="1">IF(T_EMPLOYEES[[#This Row],[EMPLOYEE NUMBER]]="","",IF(COUNTIF(T_EMPLOYEES[EMPLOYEE NUMBER],T_EMPLOYEES[[#This Row],[EMPLOYEE NUMBER]])&gt;1,1,0))</f>
        <v>0</v>
      </c>
      <c r="AC497">
        <f ca="1">IF(T_EMPLOYEES[[#This Row],[EMPLOYEE NUMBER]]="","",IF(AND(T_EMPLOYEES[[#This Row],[DATE OF BIRTH]]&gt;0,T_EMPLOYEES[[#This Row],[DATE OF BIRTH]]&lt;TODAY()),0,1))</f>
        <v>0</v>
      </c>
      <c r="AD497">
        <f ca="1">IF(T_EMPLOYEES[[#This Row],[EMPLOYEE NUMBER]]="","",IF(AND(T_EMPLOYEES[[#This Row],[START DATE]]&gt;0,T_EMPLOYEES[[#This Row],[START DATE]]&lt;TODAY()+60),0,1))</f>
        <v>0</v>
      </c>
      <c r="AE497">
        <f ca="1">IF(T_EMPLOYEES[[#This Row],[EMPLOYEE NUMBER]]="","",MATCH(T_EMPLOYEES[[#This Row],[GENDER]],L_GENDER,0))</f>
        <v>2</v>
      </c>
      <c r="AF497">
        <f ca="1">IF(T_EMPLOYEES[[#This Row],[EMPLOYEE NUMBER]]="","",MATCH(T_EMPLOYEES[[#This Row],[HIRE SOURCE]],L_HIRESOURCE,0))</f>
        <v>4</v>
      </c>
      <c r="AG497">
        <f ca="1">IF(T_EMPLOYEES[[#This Row],[EMPLOYEE NUMBER]]="","",MATCH(T_EMPLOYEES[[#This Row],[ETHNICITY]],L_ETHNICITY,0))</f>
        <v>3</v>
      </c>
      <c r="AH497">
        <f ca="1">IF(T_EMPLOYEES[[#This Row],[EMPLOYEE NUMBER]]="","",MATCH(T_EMPLOYEES[[#This Row],[LOCATION]],L_LOCATION,0))</f>
        <v>2</v>
      </c>
      <c r="AI497">
        <f ca="1">IF(T_EMPLOYEES[[#This Row],[EMPLOYEE NUMBER]]="","",MATCH(T_EMPLOYEES[[#This Row],[DEPARTMENT]],L_DEPARTMENT,0))</f>
        <v>2</v>
      </c>
      <c r="AJ497">
        <f ca="1">IF(T_EMPLOYEES[[#This Row],[EMPLOYEE NUMBER]]="","",MATCH(T_EMPLOYEES[[#This Row],[JOB TYPE]],L_JOBTYPE,0))</f>
        <v>2</v>
      </c>
      <c r="AK497">
        <f ca="1">IF(T_EMPLOYEES[[#This Row],[EMPLOYEE NUMBER]]="","",MATCH(T_EMPLOYEES[[#This Row],[JOB CATEGORY]],L_JOBCATEGORY,0))</f>
        <v>27</v>
      </c>
      <c r="AL497">
        <f ca="1">IF(T_EMPLOYEES[[#This Row],[EMPLOYEE NUMBER]]="","",MATCH(T_EMPLOYEES[[#This Row],[JOB LEVEL]],L_JOBLEVEL,0))</f>
        <v>2</v>
      </c>
      <c r="AM497">
        <f ca="1">IF(T_EMPLOYEES[[#This Row],[EMPLOYEE NUMBER]]="","",MATCH(T_EMPLOYEES[[#This Row],[JOB TITLE]],L_JOBTITLE,0))</f>
        <v>27</v>
      </c>
      <c r="AN497">
        <f ca="1">IF(T_EMPLOYEES[[#This Row],[EMPLOYEE NUMBER]]="","",MATCH(T_EMPLOYEES[[#This Row],[MANAGER]],L_EMPLABELS,0))</f>
        <v>69</v>
      </c>
      <c r="AO497">
        <f ca="1">IF(T_EMPLOYEES[[#This Row],[EMPLOYEE NUMBER]]="","",IF(T_EMPLOYEES[[#This Row],[ERROR]]="",0,1))</f>
        <v>0</v>
      </c>
      <c r="AP49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8" spans="1:42">
      <c r="A498" t="s">
        <v>1584</v>
      </c>
      <c r="B498" t="s">
        <v>1585</v>
      </c>
      <c r="C498">
        <v>1029525</v>
      </c>
      <c r="D498" t="s">
        <v>1586</v>
      </c>
      <c r="E498" s="26">
        <v>36705</v>
      </c>
      <c r="F498" s="26">
        <v>44757</v>
      </c>
      <c r="H498" t="s">
        <v>40</v>
      </c>
      <c r="I498" t="s">
        <v>54</v>
      </c>
      <c r="J498" t="s">
        <v>64</v>
      </c>
      <c r="K498" t="s">
        <v>30</v>
      </c>
      <c r="L498" s="27" t="s">
        <v>45</v>
      </c>
      <c r="M498" t="s">
        <v>46</v>
      </c>
      <c r="N498" t="s">
        <v>151</v>
      </c>
      <c r="O498" t="s">
        <v>36</v>
      </c>
      <c r="P498" t="s">
        <v>151</v>
      </c>
      <c r="Q498" t="s">
        <v>512</v>
      </c>
      <c r="R498" s="27">
        <v>0</v>
      </c>
      <c r="S498" s="1">
        <v>1200000</v>
      </c>
      <c r="T498" s="1">
        <f ca="1">ROUND(T_EMPLOYEES[[#This Row],[EMP_CTC1]]/12, 0)</f>
        <v>100000</v>
      </c>
      <c r="U498" s="1">
        <v>1000000</v>
      </c>
      <c r="V498" s="1" t="s">
        <v>1065</v>
      </c>
      <c r="W498" s="1" t="s">
        <v>1065</v>
      </c>
      <c r="X49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Gudla Sirisha (1029525)</v>
      </c>
      <c r="Y498">
        <v>120000</v>
      </c>
      <c r="Z498" s="29">
        <f t="shared" ca="1" si="8"/>
        <v>16.666666666666664</v>
      </c>
      <c r="AA498">
        <f ca="1">IF(T_EMPLOYEES[[#This Row],[EMPLOYEE NUMBER]]="","",ROW(T_EMPLOYEES[[#This Row],[EMPLOYEE LABEL]])-ROW(T_EMPLOYEES[[#Headers],[EMPLOYEE LABEL]]))</f>
        <v>495</v>
      </c>
      <c r="AB498">
        <f ca="1">IF(T_EMPLOYEES[[#This Row],[EMPLOYEE NUMBER]]="","",IF(COUNTIF(T_EMPLOYEES[EMPLOYEE NUMBER],T_EMPLOYEES[[#This Row],[EMPLOYEE NUMBER]])&gt;1,1,0))</f>
        <v>0</v>
      </c>
      <c r="AC498">
        <f ca="1">IF(T_EMPLOYEES[[#This Row],[EMPLOYEE NUMBER]]="","",IF(AND(T_EMPLOYEES[[#This Row],[DATE OF BIRTH]]&gt;0,T_EMPLOYEES[[#This Row],[DATE OF BIRTH]]&lt;TODAY()),0,1))</f>
        <v>0</v>
      </c>
      <c r="AD498">
        <f ca="1">IF(T_EMPLOYEES[[#This Row],[EMPLOYEE NUMBER]]="","",IF(AND(T_EMPLOYEES[[#This Row],[START DATE]]&gt;0,T_EMPLOYEES[[#This Row],[START DATE]]&lt;TODAY()+60),0,1))</f>
        <v>0</v>
      </c>
      <c r="AE498">
        <f ca="1">IF(T_EMPLOYEES[[#This Row],[EMPLOYEE NUMBER]]="","",MATCH(T_EMPLOYEES[[#This Row],[GENDER]],L_GENDER,0))</f>
        <v>2</v>
      </c>
      <c r="AF498">
        <f ca="1">IF(T_EMPLOYEES[[#This Row],[EMPLOYEE NUMBER]]="","",MATCH(T_EMPLOYEES[[#This Row],[HIRE SOURCE]],L_HIRESOURCE,0))</f>
        <v>4</v>
      </c>
      <c r="AG498">
        <f ca="1">IF(T_EMPLOYEES[[#This Row],[EMPLOYEE NUMBER]]="","",MATCH(T_EMPLOYEES[[#This Row],[ETHNICITY]],L_ETHNICITY,0))</f>
        <v>3</v>
      </c>
      <c r="AH498">
        <f ca="1">IF(T_EMPLOYEES[[#This Row],[EMPLOYEE NUMBER]]="","",MATCH(T_EMPLOYEES[[#This Row],[LOCATION]],L_LOCATION,0))</f>
        <v>1</v>
      </c>
      <c r="AI498">
        <f ca="1">IF(T_EMPLOYEES[[#This Row],[EMPLOYEE NUMBER]]="","",MATCH(T_EMPLOYEES[[#This Row],[DEPARTMENT]],L_DEPARTMENT,0))</f>
        <v>2</v>
      </c>
      <c r="AJ498">
        <f ca="1">IF(T_EMPLOYEES[[#This Row],[EMPLOYEE NUMBER]]="","",MATCH(T_EMPLOYEES[[#This Row],[JOB TYPE]],L_JOBTYPE,0))</f>
        <v>2</v>
      </c>
      <c r="AK498">
        <f ca="1">IF(T_EMPLOYEES[[#This Row],[EMPLOYEE NUMBER]]="","",MATCH(T_EMPLOYEES[[#This Row],[JOB CATEGORY]],L_JOBCATEGORY,0))</f>
        <v>30</v>
      </c>
      <c r="AL498">
        <f ca="1">IF(T_EMPLOYEES[[#This Row],[EMPLOYEE NUMBER]]="","",MATCH(T_EMPLOYEES[[#This Row],[JOB LEVEL]],L_JOBLEVEL,0))</f>
        <v>1</v>
      </c>
      <c r="AM498">
        <f ca="1">IF(T_EMPLOYEES[[#This Row],[EMPLOYEE NUMBER]]="","",MATCH(T_EMPLOYEES[[#This Row],[JOB TITLE]],L_JOBTITLE,0))</f>
        <v>30</v>
      </c>
      <c r="AN498">
        <f ca="1">IF(T_EMPLOYEES[[#This Row],[EMPLOYEE NUMBER]]="","",MATCH(T_EMPLOYEES[[#This Row],[MANAGER]],L_EMPLABELS,0))</f>
        <v>39</v>
      </c>
      <c r="AO498">
        <f ca="1">IF(T_EMPLOYEES[[#This Row],[EMPLOYEE NUMBER]]="","",IF(T_EMPLOYEES[[#This Row],[ERROR]]="",0,1))</f>
        <v>0</v>
      </c>
      <c r="AP49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9" spans="1:42">
      <c r="A499" t="s">
        <v>1587</v>
      </c>
      <c r="B499" t="s">
        <v>1588</v>
      </c>
      <c r="C499">
        <v>1027420</v>
      </c>
      <c r="D499" t="s">
        <v>1589</v>
      </c>
      <c r="E499" s="26">
        <v>36706</v>
      </c>
      <c r="F499" s="26">
        <v>44531</v>
      </c>
      <c r="H499" t="s">
        <v>27</v>
      </c>
      <c r="I499" t="s">
        <v>54</v>
      </c>
      <c r="J499" t="s">
        <v>64</v>
      </c>
      <c r="K499" t="s">
        <v>30</v>
      </c>
      <c r="L499" s="27" t="s">
        <v>118</v>
      </c>
      <c r="M499" t="s">
        <v>46</v>
      </c>
      <c r="N499" t="s">
        <v>160</v>
      </c>
      <c r="O499" t="s">
        <v>48</v>
      </c>
      <c r="P499" t="s">
        <v>160</v>
      </c>
      <c r="Q499" t="s">
        <v>353</v>
      </c>
      <c r="R499">
        <v>4</v>
      </c>
      <c r="S499" s="1">
        <v>1200000</v>
      </c>
      <c r="T499" s="1">
        <f ca="1">ROUND(T_EMPLOYEES[[#This Row],[EMP_CTC1]]/12, 0)</f>
        <v>100000</v>
      </c>
      <c r="U499" s="1">
        <v>1000000</v>
      </c>
      <c r="V499" s="1" t="s">
        <v>1065</v>
      </c>
      <c r="W499" s="1" t="s">
        <v>1065</v>
      </c>
      <c r="X49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Obuli  Sundar (1027420)</v>
      </c>
      <c r="Y499">
        <v>120000</v>
      </c>
      <c r="Z499" s="29">
        <f t="shared" ca="1" si="8"/>
        <v>16.666666666666664</v>
      </c>
      <c r="AA499">
        <f ca="1">IF(T_EMPLOYEES[[#This Row],[EMPLOYEE NUMBER]]="","",ROW(T_EMPLOYEES[[#This Row],[EMPLOYEE LABEL]])-ROW(T_EMPLOYEES[[#Headers],[EMPLOYEE LABEL]]))</f>
        <v>496</v>
      </c>
      <c r="AB499">
        <f ca="1">IF(T_EMPLOYEES[[#This Row],[EMPLOYEE NUMBER]]="","",IF(COUNTIF(T_EMPLOYEES[EMPLOYEE NUMBER],T_EMPLOYEES[[#This Row],[EMPLOYEE NUMBER]])&gt;1,1,0))</f>
        <v>0</v>
      </c>
      <c r="AC499">
        <f ca="1">IF(T_EMPLOYEES[[#This Row],[EMPLOYEE NUMBER]]="","",IF(AND(T_EMPLOYEES[[#This Row],[DATE OF BIRTH]]&gt;0,T_EMPLOYEES[[#This Row],[DATE OF BIRTH]]&lt;TODAY()),0,1))</f>
        <v>0</v>
      </c>
      <c r="AD499">
        <f ca="1">IF(T_EMPLOYEES[[#This Row],[EMPLOYEE NUMBER]]="","",IF(AND(T_EMPLOYEES[[#This Row],[START DATE]]&gt;0,T_EMPLOYEES[[#This Row],[START DATE]]&lt;TODAY()+60),0,1))</f>
        <v>0</v>
      </c>
      <c r="AE499">
        <f ca="1">IF(T_EMPLOYEES[[#This Row],[EMPLOYEE NUMBER]]="","",MATCH(T_EMPLOYEES[[#This Row],[GENDER]],L_GENDER,0))</f>
        <v>1</v>
      </c>
      <c r="AF499">
        <f ca="1">IF(T_EMPLOYEES[[#This Row],[EMPLOYEE NUMBER]]="","",MATCH(T_EMPLOYEES[[#This Row],[HIRE SOURCE]],L_HIRESOURCE,0))</f>
        <v>4</v>
      </c>
      <c r="AG499">
        <f ca="1">IF(T_EMPLOYEES[[#This Row],[EMPLOYEE NUMBER]]="","",MATCH(T_EMPLOYEES[[#This Row],[ETHNICITY]],L_ETHNICITY,0))</f>
        <v>3</v>
      </c>
      <c r="AH499">
        <f ca="1">IF(T_EMPLOYEES[[#This Row],[EMPLOYEE NUMBER]]="","",MATCH(T_EMPLOYEES[[#This Row],[LOCATION]],L_LOCATION,0))</f>
        <v>1</v>
      </c>
      <c r="AI499">
        <f ca="1">IF(T_EMPLOYEES[[#This Row],[EMPLOYEE NUMBER]]="","",MATCH(T_EMPLOYEES[[#This Row],[DEPARTMENT]],L_DEPARTMENT,0))</f>
        <v>12</v>
      </c>
      <c r="AJ499">
        <f ca="1">IF(T_EMPLOYEES[[#This Row],[EMPLOYEE NUMBER]]="","",MATCH(T_EMPLOYEES[[#This Row],[JOB TYPE]],L_JOBTYPE,0))</f>
        <v>2</v>
      </c>
      <c r="AK499">
        <f ca="1">IF(T_EMPLOYEES[[#This Row],[EMPLOYEE NUMBER]]="","",MATCH(T_EMPLOYEES[[#This Row],[JOB CATEGORY]],L_JOBCATEGORY,0))</f>
        <v>39</v>
      </c>
      <c r="AL499">
        <f ca="1">IF(T_EMPLOYEES[[#This Row],[EMPLOYEE NUMBER]]="","",MATCH(T_EMPLOYEES[[#This Row],[JOB LEVEL]],L_JOBLEVEL,0))</f>
        <v>2</v>
      </c>
      <c r="AM499">
        <f ca="1">IF(T_EMPLOYEES[[#This Row],[EMPLOYEE NUMBER]]="","",MATCH(T_EMPLOYEES[[#This Row],[JOB TITLE]],L_JOBTITLE,0))</f>
        <v>39</v>
      </c>
      <c r="AN499">
        <f ca="1">IF(T_EMPLOYEES[[#This Row],[EMPLOYEE NUMBER]]="","",MATCH(T_EMPLOYEES[[#This Row],[MANAGER]],L_EMPLABELS,0))</f>
        <v>137</v>
      </c>
      <c r="AO499">
        <f ca="1">IF(T_EMPLOYEES[[#This Row],[EMPLOYEE NUMBER]]="","",IF(T_EMPLOYEES[[#This Row],[ERROR]]="",0,1))</f>
        <v>0</v>
      </c>
      <c r="AP49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0" spans="1:42">
      <c r="A500" t="s">
        <v>226</v>
      </c>
      <c r="B500" t="s">
        <v>1590</v>
      </c>
      <c r="C500">
        <v>1027412</v>
      </c>
      <c r="D500" t="s">
        <v>1591</v>
      </c>
      <c r="E500" s="26">
        <v>36720</v>
      </c>
      <c r="F500" s="26">
        <v>44531</v>
      </c>
      <c r="H500" t="s">
        <v>27</v>
      </c>
      <c r="I500" t="s">
        <v>54</v>
      </c>
      <c r="J500" t="s">
        <v>64</v>
      </c>
      <c r="K500" t="s">
        <v>30</v>
      </c>
      <c r="L500" s="27" t="s">
        <v>45</v>
      </c>
      <c r="M500" t="s">
        <v>46</v>
      </c>
      <c r="N500" t="s">
        <v>160</v>
      </c>
      <c r="O500" t="s">
        <v>48</v>
      </c>
      <c r="P500" t="s">
        <v>160</v>
      </c>
      <c r="Q500" t="s">
        <v>321</v>
      </c>
      <c r="R500" s="27">
        <v>4</v>
      </c>
      <c r="S500" s="1">
        <v>1200000</v>
      </c>
      <c r="T500" s="1">
        <f ca="1">ROUND(T_EMPLOYEES[[#This Row],[EMP_CTC1]]/12, 0)</f>
        <v>100000</v>
      </c>
      <c r="U500" s="1">
        <v>1000000</v>
      </c>
      <c r="V500" s="1" t="s">
        <v>1065</v>
      </c>
      <c r="W500" s="1" t="s">
        <v>1065</v>
      </c>
      <c r="X50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  Yashik (1027412)</v>
      </c>
      <c r="Y500">
        <v>120000</v>
      </c>
      <c r="Z500" s="29">
        <f t="shared" ca="1" si="8"/>
        <v>16.666666666666664</v>
      </c>
      <c r="AA500">
        <f ca="1">IF(T_EMPLOYEES[[#This Row],[EMPLOYEE NUMBER]]="","",ROW(T_EMPLOYEES[[#This Row],[EMPLOYEE LABEL]])-ROW(T_EMPLOYEES[[#Headers],[EMPLOYEE LABEL]]))</f>
        <v>497</v>
      </c>
      <c r="AB500">
        <f ca="1">IF(T_EMPLOYEES[[#This Row],[EMPLOYEE NUMBER]]="","",IF(COUNTIF(T_EMPLOYEES[EMPLOYEE NUMBER],T_EMPLOYEES[[#This Row],[EMPLOYEE NUMBER]])&gt;1,1,0))</f>
        <v>0</v>
      </c>
      <c r="AC500">
        <f ca="1">IF(T_EMPLOYEES[[#This Row],[EMPLOYEE NUMBER]]="","",IF(AND(T_EMPLOYEES[[#This Row],[DATE OF BIRTH]]&gt;0,T_EMPLOYEES[[#This Row],[DATE OF BIRTH]]&lt;TODAY()),0,1))</f>
        <v>0</v>
      </c>
      <c r="AD500">
        <f ca="1">IF(T_EMPLOYEES[[#This Row],[EMPLOYEE NUMBER]]="","",IF(AND(T_EMPLOYEES[[#This Row],[START DATE]]&gt;0,T_EMPLOYEES[[#This Row],[START DATE]]&lt;TODAY()+60),0,1))</f>
        <v>0</v>
      </c>
      <c r="AE500">
        <f ca="1">IF(T_EMPLOYEES[[#This Row],[EMPLOYEE NUMBER]]="","",MATCH(T_EMPLOYEES[[#This Row],[GENDER]],L_GENDER,0))</f>
        <v>1</v>
      </c>
      <c r="AF500">
        <f ca="1">IF(T_EMPLOYEES[[#This Row],[EMPLOYEE NUMBER]]="","",MATCH(T_EMPLOYEES[[#This Row],[HIRE SOURCE]],L_HIRESOURCE,0))</f>
        <v>4</v>
      </c>
      <c r="AG500">
        <f ca="1">IF(T_EMPLOYEES[[#This Row],[EMPLOYEE NUMBER]]="","",MATCH(T_EMPLOYEES[[#This Row],[ETHNICITY]],L_ETHNICITY,0))</f>
        <v>3</v>
      </c>
      <c r="AH500">
        <f ca="1">IF(T_EMPLOYEES[[#This Row],[EMPLOYEE NUMBER]]="","",MATCH(T_EMPLOYEES[[#This Row],[LOCATION]],L_LOCATION,0))</f>
        <v>1</v>
      </c>
      <c r="AI500">
        <f ca="1">IF(T_EMPLOYEES[[#This Row],[EMPLOYEE NUMBER]]="","",MATCH(T_EMPLOYEES[[#This Row],[DEPARTMENT]],L_DEPARTMENT,0))</f>
        <v>2</v>
      </c>
      <c r="AJ500">
        <f ca="1">IF(T_EMPLOYEES[[#This Row],[EMPLOYEE NUMBER]]="","",MATCH(T_EMPLOYEES[[#This Row],[JOB TYPE]],L_JOBTYPE,0))</f>
        <v>2</v>
      </c>
      <c r="AK500">
        <f ca="1">IF(T_EMPLOYEES[[#This Row],[EMPLOYEE NUMBER]]="","",MATCH(T_EMPLOYEES[[#This Row],[JOB CATEGORY]],L_JOBCATEGORY,0))</f>
        <v>39</v>
      </c>
      <c r="AL500">
        <f ca="1">IF(T_EMPLOYEES[[#This Row],[EMPLOYEE NUMBER]]="","",MATCH(T_EMPLOYEES[[#This Row],[JOB LEVEL]],L_JOBLEVEL,0))</f>
        <v>2</v>
      </c>
      <c r="AM500">
        <f ca="1">IF(T_EMPLOYEES[[#This Row],[EMPLOYEE NUMBER]]="","",MATCH(T_EMPLOYEES[[#This Row],[JOB TITLE]],L_JOBTITLE,0))</f>
        <v>39</v>
      </c>
      <c r="AN500">
        <f ca="1">IF(T_EMPLOYEES[[#This Row],[EMPLOYEE NUMBER]]="","",MATCH(T_EMPLOYEES[[#This Row],[MANAGER]],L_EMPLABELS,0))</f>
        <v>3</v>
      </c>
      <c r="AO500">
        <f ca="1">IF(T_EMPLOYEES[[#This Row],[EMPLOYEE NUMBER]]="","",IF(T_EMPLOYEES[[#This Row],[ERROR]]="",0,1))</f>
        <v>0</v>
      </c>
      <c r="AP50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1" spans="1:42">
      <c r="A501" t="s">
        <v>1069</v>
      </c>
      <c r="B501" t="s">
        <v>1592</v>
      </c>
      <c r="C501">
        <v>1030253</v>
      </c>
      <c r="D501" t="s">
        <v>1593</v>
      </c>
      <c r="E501" s="26">
        <v>36724</v>
      </c>
      <c r="F501" s="26">
        <v>44819</v>
      </c>
      <c r="H501" t="s">
        <v>40</v>
      </c>
      <c r="I501" t="s">
        <v>54</v>
      </c>
      <c r="J501" t="s">
        <v>64</v>
      </c>
      <c r="K501" t="s">
        <v>30</v>
      </c>
      <c r="L501" s="27" t="s">
        <v>114</v>
      </c>
      <c r="M501" t="s">
        <v>46</v>
      </c>
      <c r="N501" t="s">
        <v>151</v>
      </c>
      <c r="O501" t="s">
        <v>36</v>
      </c>
      <c r="P501" t="s">
        <v>151</v>
      </c>
      <c r="Q501" t="s">
        <v>468</v>
      </c>
      <c r="R501">
        <v>0</v>
      </c>
      <c r="S501" s="1">
        <v>1200000</v>
      </c>
      <c r="T501" s="1">
        <f ca="1">ROUND(T_EMPLOYEES[[#This Row],[EMP_CTC1]]/12, 0)</f>
        <v>100000</v>
      </c>
      <c r="U501" s="1">
        <v>1000000</v>
      </c>
      <c r="V501" s="1" t="s">
        <v>1065</v>
      </c>
      <c r="W501" s="1" t="s">
        <v>1065</v>
      </c>
      <c r="X50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Bhagyashree Patil (1030253)</v>
      </c>
      <c r="Y501">
        <v>120000</v>
      </c>
      <c r="Z501" s="29">
        <f t="shared" ca="1" si="8"/>
        <v>16.666666666666664</v>
      </c>
      <c r="AA501">
        <f ca="1">IF(T_EMPLOYEES[[#This Row],[EMPLOYEE NUMBER]]="","",ROW(T_EMPLOYEES[[#This Row],[EMPLOYEE LABEL]])-ROW(T_EMPLOYEES[[#Headers],[EMPLOYEE LABEL]]))</f>
        <v>498</v>
      </c>
      <c r="AB501">
        <f ca="1">IF(T_EMPLOYEES[[#This Row],[EMPLOYEE NUMBER]]="","",IF(COUNTIF(T_EMPLOYEES[EMPLOYEE NUMBER],T_EMPLOYEES[[#This Row],[EMPLOYEE NUMBER]])&gt;1,1,0))</f>
        <v>0</v>
      </c>
      <c r="AC501">
        <f ca="1">IF(T_EMPLOYEES[[#This Row],[EMPLOYEE NUMBER]]="","",IF(AND(T_EMPLOYEES[[#This Row],[DATE OF BIRTH]]&gt;0,T_EMPLOYEES[[#This Row],[DATE OF BIRTH]]&lt;TODAY()),0,1))</f>
        <v>0</v>
      </c>
      <c r="AD501">
        <f ca="1">IF(T_EMPLOYEES[[#This Row],[EMPLOYEE NUMBER]]="","",IF(AND(T_EMPLOYEES[[#This Row],[START DATE]]&gt;0,T_EMPLOYEES[[#This Row],[START DATE]]&lt;TODAY()+60),0,1))</f>
        <v>0</v>
      </c>
      <c r="AE501">
        <f ca="1">IF(T_EMPLOYEES[[#This Row],[EMPLOYEE NUMBER]]="","",MATCH(T_EMPLOYEES[[#This Row],[GENDER]],L_GENDER,0))</f>
        <v>2</v>
      </c>
      <c r="AF501">
        <f ca="1">IF(T_EMPLOYEES[[#This Row],[EMPLOYEE NUMBER]]="","",MATCH(T_EMPLOYEES[[#This Row],[HIRE SOURCE]],L_HIRESOURCE,0))</f>
        <v>4</v>
      </c>
      <c r="AG501">
        <f ca="1">IF(T_EMPLOYEES[[#This Row],[EMPLOYEE NUMBER]]="","",MATCH(T_EMPLOYEES[[#This Row],[ETHNICITY]],L_ETHNICITY,0))</f>
        <v>3</v>
      </c>
      <c r="AH501">
        <f ca="1">IF(T_EMPLOYEES[[#This Row],[EMPLOYEE NUMBER]]="","",MATCH(T_EMPLOYEES[[#This Row],[LOCATION]],L_LOCATION,0))</f>
        <v>1</v>
      </c>
      <c r="AI501">
        <f ca="1">IF(T_EMPLOYEES[[#This Row],[EMPLOYEE NUMBER]]="","",MATCH(T_EMPLOYEES[[#This Row],[DEPARTMENT]],L_DEPARTMENT,0))</f>
        <v>11</v>
      </c>
      <c r="AJ501">
        <f ca="1">IF(T_EMPLOYEES[[#This Row],[EMPLOYEE NUMBER]]="","",MATCH(T_EMPLOYEES[[#This Row],[JOB TYPE]],L_JOBTYPE,0))</f>
        <v>2</v>
      </c>
      <c r="AK501">
        <f ca="1">IF(T_EMPLOYEES[[#This Row],[EMPLOYEE NUMBER]]="","",MATCH(T_EMPLOYEES[[#This Row],[JOB CATEGORY]],L_JOBCATEGORY,0))</f>
        <v>30</v>
      </c>
      <c r="AL501">
        <f ca="1">IF(T_EMPLOYEES[[#This Row],[EMPLOYEE NUMBER]]="","",MATCH(T_EMPLOYEES[[#This Row],[JOB LEVEL]],L_JOBLEVEL,0))</f>
        <v>1</v>
      </c>
      <c r="AM501">
        <f ca="1">IF(T_EMPLOYEES[[#This Row],[EMPLOYEE NUMBER]]="","",MATCH(T_EMPLOYEES[[#This Row],[JOB TITLE]],L_JOBTITLE,0))</f>
        <v>30</v>
      </c>
      <c r="AN501">
        <f ca="1">IF(T_EMPLOYEES[[#This Row],[EMPLOYEE NUMBER]]="","",MATCH(T_EMPLOYEES[[#This Row],[MANAGER]],L_EMPLABELS,0))</f>
        <v>56</v>
      </c>
      <c r="AO501">
        <f ca="1">IF(T_EMPLOYEES[[#This Row],[EMPLOYEE NUMBER]]="","",IF(T_EMPLOYEES[[#This Row],[ERROR]]="",0,1))</f>
        <v>0</v>
      </c>
      <c r="AP50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2" spans="1:42">
      <c r="A502" t="s">
        <v>1594</v>
      </c>
      <c r="B502" t="s">
        <v>1595</v>
      </c>
      <c r="C502">
        <v>1030911</v>
      </c>
      <c r="D502" t="s">
        <v>1596</v>
      </c>
      <c r="E502" s="26">
        <v>36742</v>
      </c>
      <c r="F502" s="26">
        <v>44876</v>
      </c>
      <c r="H502" t="s">
        <v>27</v>
      </c>
      <c r="I502" t="s">
        <v>54</v>
      </c>
      <c r="J502" t="s">
        <v>64</v>
      </c>
      <c r="K502" t="s">
        <v>43</v>
      </c>
      <c r="L502" s="27" t="s">
        <v>114</v>
      </c>
      <c r="M502" t="s">
        <v>46</v>
      </c>
      <c r="N502" t="s">
        <v>151</v>
      </c>
      <c r="O502" t="s">
        <v>36</v>
      </c>
      <c r="P502" t="s">
        <v>151</v>
      </c>
      <c r="Q502" t="s">
        <v>468</v>
      </c>
      <c r="R502" s="27">
        <v>0</v>
      </c>
      <c r="S502" s="1">
        <v>1200000</v>
      </c>
      <c r="T502" s="1">
        <f ca="1">ROUND(T_EMPLOYEES[[#This Row],[EMP_CTC1]]/12, 0)</f>
        <v>100000</v>
      </c>
      <c r="U502" s="1">
        <v>1000000</v>
      </c>
      <c r="V502" s="1" t="s">
        <v>1065</v>
      </c>
      <c r="W502" s="1" t="s">
        <v>1065</v>
      </c>
      <c r="X50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Poola Partha Saradhi (1030911)</v>
      </c>
      <c r="Y502">
        <v>120000</v>
      </c>
      <c r="Z502" s="29">
        <f t="shared" ca="1" si="8"/>
        <v>16.666666666666664</v>
      </c>
      <c r="AA502">
        <f ca="1">IF(T_EMPLOYEES[[#This Row],[EMPLOYEE NUMBER]]="","",ROW(T_EMPLOYEES[[#This Row],[EMPLOYEE LABEL]])-ROW(T_EMPLOYEES[[#Headers],[EMPLOYEE LABEL]]))</f>
        <v>499</v>
      </c>
      <c r="AB502">
        <f ca="1">IF(T_EMPLOYEES[[#This Row],[EMPLOYEE NUMBER]]="","",IF(COUNTIF(T_EMPLOYEES[EMPLOYEE NUMBER],T_EMPLOYEES[[#This Row],[EMPLOYEE NUMBER]])&gt;1,1,0))</f>
        <v>0</v>
      </c>
      <c r="AC502">
        <f ca="1">IF(T_EMPLOYEES[[#This Row],[EMPLOYEE NUMBER]]="","",IF(AND(T_EMPLOYEES[[#This Row],[DATE OF BIRTH]]&gt;0,T_EMPLOYEES[[#This Row],[DATE OF BIRTH]]&lt;TODAY()),0,1))</f>
        <v>0</v>
      </c>
      <c r="AD502">
        <f ca="1">IF(T_EMPLOYEES[[#This Row],[EMPLOYEE NUMBER]]="","",IF(AND(T_EMPLOYEES[[#This Row],[START DATE]]&gt;0,T_EMPLOYEES[[#This Row],[START DATE]]&lt;TODAY()+60),0,1))</f>
        <v>0</v>
      </c>
      <c r="AE502">
        <f ca="1">IF(T_EMPLOYEES[[#This Row],[EMPLOYEE NUMBER]]="","",MATCH(T_EMPLOYEES[[#This Row],[GENDER]],L_GENDER,0))</f>
        <v>1</v>
      </c>
      <c r="AF502">
        <f ca="1">IF(T_EMPLOYEES[[#This Row],[EMPLOYEE NUMBER]]="","",MATCH(T_EMPLOYEES[[#This Row],[HIRE SOURCE]],L_HIRESOURCE,0))</f>
        <v>4</v>
      </c>
      <c r="AG502">
        <f ca="1">IF(T_EMPLOYEES[[#This Row],[EMPLOYEE NUMBER]]="","",MATCH(T_EMPLOYEES[[#This Row],[ETHNICITY]],L_ETHNICITY,0))</f>
        <v>3</v>
      </c>
      <c r="AH502">
        <f ca="1">IF(T_EMPLOYEES[[#This Row],[EMPLOYEE NUMBER]]="","",MATCH(T_EMPLOYEES[[#This Row],[LOCATION]],L_LOCATION,0))</f>
        <v>2</v>
      </c>
      <c r="AI502">
        <f ca="1">IF(T_EMPLOYEES[[#This Row],[EMPLOYEE NUMBER]]="","",MATCH(T_EMPLOYEES[[#This Row],[DEPARTMENT]],L_DEPARTMENT,0))</f>
        <v>11</v>
      </c>
      <c r="AJ502">
        <f ca="1">IF(T_EMPLOYEES[[#This Row],[EMPLOYEE NUMBER]]="","",MATCH(T_EMPLOYEES[[#This Row],[JOB TYPE]],L_JOBTYPE,0))</f>
        <v>2</v>
      </c>
      <c r="AK502">
        <f ca="1">IF(T_EMPLOYEES[[#This Row],[EMPLOYEE NUMBER]]="","",MATCH(T_EMPLOYEES[[#This Row],[JOB CATEGORY]],L_JOBCATEGORY,0))</f>
        <v>30</v>
      </c>
      <c r="AL502">
        <f ca="1">IF(T_EMPLOYEES[[#This Row],[EMPLOYEE NUMBER]]="","",MATCH(T_EMPLOYEES[[#This Row],[JOB LEVEL]],L_JOBLEVEL,0))</f>
        <v>1</v>
      </c>
      <c r="AM502">
        <f ca="1">IF(T_EMPLOYEES[[#This Row],[EMPLOYEE NUMBER]]="","",MATCH(T_EMPLOYEES[[#This Row],[JOB TITLE]],L_JOBTITLE,0))</f>
        <v>30</v>
      </c>
      <c r="AN502">
        <f ca="1">IF(T_EMPLOYEES[[#This Row],[EMPLOYEE NUMBER]]="","",MATCH(T_EMPLOYEES[[#This Row],[MANAGER]],L_EMPLABELS,0))</f>
        <v>56</v>
      </c>
      <c r="AO502">
        <f ca="1">IF(T_EMPLOYEES[[#This Row],[EMPLOYEE NUMBER]]="","",IF(T_EMPLOYEES[[#This Row],[ERROR]]="",0,1))</f>
        <v>0</v>
      </c>
      <c r="AP50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3" spans="1:42">
      <c r="A503" t="s">
        <v>676</v>
      </c>
      <c r="B503" t="s">
        <v>1597</v>
      </c>
      <c r="C503">
        <v>1027413</v>
      </c>
      <c r="D503" t="s">
        <v>1598</v>
      </c>
      <c r="E503" s="26">
        <v>36747</v>
      </c>
      <c r="F503" s="26">
        <v>44531</v>
      </c>
      <c r="H503" t="s">
        <v>27</v>
      </c>
      <c r="I503" t="s">
        <v>54</v>
      </c>
      <c r="J503" t="s">
        <v>64</v>
      </c>
      <c r="K503" t="s">
        <v>30</v>
      </c>
      <c r="L503" s="27" t="s">
        <v>114</v>
      </c>
      <c r="M503" t="s">
        <v>46</v>
      </c>
      <c r="N503" t="s">
        <v>160</v>
      </c>
      <c r="O503" t="s">
        <v>48</v>
      </c>
      <c r="P503" t="s">
        <v>160</v>
      </c>
      <c r="Q503" t="s">
        <v>505</v>
      </c>
      <c r="R503">
        <v>4</v>
      </c>
      <c r="S503" s="1">
        <v>1200000</v>
      </c>
      <c r="T503" s="1">
        <f ca="1">ROUND(T_EMPLOYEES[[#This Row],[EMP_CTC1]]/12, 0)</f>
        <v>100000</v>
      </c>
      <c r="U503" s="1">
        <v>1000000</v>
      </c>
      <c r="V503" s="1" t="s">
        <v>1065</v>
      </c>
      <c r="W503" s="1" t="s">
        <v>1065</v>
      </c>
      <c r="X50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Rahul  Sasumana (1027413)</v>
      </c>
      <c r="Y503">
        <v>120000</v>
      </c>
      <c r="Z503" s="29">
        <f t="shared" ca="1" si="8"/>
        <v>16.666666666666664</v>
      </c>
      <c r="AA503">
        <f ca="1">IF(T_EMPLOYEES[[#This Row],[EMPLOYEE NUMBER]]="","",ROW(T_EMPLOYEES[[#This Row],[EMPLOYEE LABEL]])-ROW(T_EMPLOYEES[[#Headers],[EMPLOYEE LABEL]]))</f>
        <v>500</v>
      </c>
      <c r="AB503">
        <f ca="1">IF(T_EMPLOYEES[[#This Row],[EMPLOYEE NUMBER]]="","",IF(COUNTIF(T_EMPLOYEES[EMPLOYEE NUMBER],T_EMPLOYEES[[#This Row],[EMPLOYEE NUMBER]])&gt;1,1,0))</f>
        <v>0</v>
      </c>
      <c r="AC503">
        <f ca="1">IF(T_EMPLOYEES[[#This Row],[EMPLOYEE NUMBER]]="","",IF(AND(T_EMPLOYEES[[#This Row],[DATE OF BIRTH]]&gt;0,T_EMPLOYEES[[#This Row],[DATE OF BIRTH]]&lt;TODAY()),0,1))</f>
        <v>0</v>
      </c>
      <c r="AD503">
        <f ca="1">IF(T_EMPLOYEES[[#This Row],[EMPLOYEE NUMBER]]="","",IF(AND(T_EMPLOYEES[[#This Row],[START DATE]]&gt;0,T_EMPLOYEES[[#This Row],[START DATE]]&lt;TODAY()+60),0,1))</f>
        <v>0</v>
      </c>
      <c r="AE503">
        <f ca="1">IF(T_EMPLOYEES[[#This Row],[EMPLOYEE NUMBER]]="","",MATCH(T_EMPLOYEES[[#This Row],[GENDER]],L_GENDER,0))</f>
        <v>1</v>
      </c>
      <c r="AF503">
        <f ca="1">IF(T_EMPLOYEES[[#This Row],[EMPLOYEE NUMBER]]="","",MATCH(T_EMPLOYEES[[#This Row],[HIRE SOURCE]],L_HIRESOURCE,0))</f>
        <v>4</v>
      </c>
      <c r="AG503">
        <f ca="1">IF(T_EMPLOYEES[[#This Row],[EMPLOYEE NUMBER]]="","",MATCH(T_EMPLOYEES[[#This Row],[ETHNICITY]],L_ETHNICITY,0))</f>
        <v>3</v>
      </c>
      <c r="AH503">
        <f ca="1">IF(T_EMPLOYEES[[#This Row],[EMPLOYEE NUMBER]]="","",MATCH(T_EMPLOYEES[[#This Row],[LOCATION]],L_LOCATION,0))</f>
        <v>1</v>
      </c>
      <c r="AI503">
        <f ca="1">IF(T_EMPLOYEES[[#This Row],[EMPLOYEE NUMBER]]="","",MATCH(T_EMPLOYEES[[#This Row],[DEPARTMENT]],L_DEPARTMENT,0))</f>
        <v>11</v>
      </c>
      <c r="AJ503">
        <f ca="1">IF(T_EMPLOYEES[[#This Row],[EMPLOYEE NUMBER]]="","",MATCH(T_EMPLOYEES[[#This Row],[JOB TYPE]],L_JOBTYPE,0))</f>
        <v>2</v>
      </c>
      <c r="AK503">
        <f ca="1">IF(T_EMPLOYEES[[#This Row],[EMPLOYEE NUMBER]]="","",MATCH(T_EMPLOYEES[[#This Row],[JOB CATEGORY]],L_JOBCATEGORY,0))</f>
        <v>39</v>
      </c>
      <c r="AL503">
        <f ca="1">IF(T_EMPLOYEES[[#This Row],[EMPLOYEE NUMBER]]="","",MATCH(T_EMPLOYEES[[#This Row],[JOB LEVEL]],L_JOBLEVEL,0))</f>
        <v>2</v>
      </c>
      <c r="AM503">
        <f ca="1">IF(T_EMPLOYEES[[#This Row],[EMPLOYEE NUMBER]]="","",MATCH(T_EMPLOYEES[[#This Row],[JOB TITLE]],L_JOBTITLE,0))</f>
        <v>39</v>
      </c>
      <c r="AN503">
        <f ca="1">IF(T_EMPLOYEES[[#This Row],[EMPLOYEE NUMBER]]="","",MATCH(T_EMPLOYEES[[#This Row],[MANAGER]],L_EMPLABELS,0))</f>
        <v>57</v>
      </c>
      <c r="AO503">
        <f ca="1">IF(T_EMPLOYEES[[#This Row],[EMPLOYEE NUMBER]]="","",IF(T_EMPLOYEES[[#This Row],[ERROR]]="",0,1))</f>
        <v>0</v>
      </c>
      <c r="AP50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4" spans="1:42">
      <c r="A504" t="s">
        <v>1599</v>
      </c>
      <c r="B504" t="s">
        <v>1600</v>
      </c>
      <c r="C504">
        <v>1033216</v>
      </c>
      <c r="D504" t="s">
        <v>1601</v>
      </c>
      <c r="E504" s="26">
        <v>36750</v>
      </c>
      <c r="F504" s="26">
        <v>45155</v>
      </c>
      <c r="H504" t="s">
        <v>40</v>
      </c>
      <c r="I504" t="s">
        <v>54</v>
      </c>
      <c r="J504" t="s">
        <v>64</v>
      </c>
      <c r="K504" t="s">
        <v>30</v>
      </c>
      <c r="L504" s="27" t="s">
        <v>114</v>
      </c>
      <c r="M504" t="s">
        <v>46</v>
      </c>
      <c r="N504" t="s">
        <v>151</v>
      </c>
      <c r="O504" t="s">
        <v>36</v>
      </c>
      <c r="P504" t="s">
        <v>151</v>
      </c>
      <c r="Q504" t="s">
        <v>505</v>
      </c>
      <c r="R504" s="27">
        <v>0</v>
      </c>
      <c r="S504" s="1">
        <v>1200000</v>
      </c>
      <c r="T504" s="1">
        <f ca="1">ROUND(T_EMPLOYEES[[#This Row],[EMP_CTC1]]/12, 0)</f>
        <v>100000</v>
      </c>
      <c r="U504" s="1">
        <v>1000000</v>
      </c>
      <c r="V504" s="1" t="s">
        <v>1065</v>
      </c>
      <c r="W504" s="1" t="s">
        <v>1065</v>
      </c>
      <c r="X50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Shivangi Bharti (1033216)</v>
      </c>
      <c r="Y504">
        <v>120000</v>
      </c>
      <c r="Z504" s="29">
        <f t="shared" ca="1" si="8"/>
        <v>16.666666666666664</v>
      </c>
      <c r="AA504">
        <f ca="1">IF(T_EMPLOYEES[[#This Row],[EMPLOYEE NUMBER]]="","",ROW(T_EMPLOYEES[[#This Row],[EMPLOYEE LABEL]])-ROW(T_EMPLOYEES[[#Headers],[EMPLOYEE LABEL]]))</f>
        <v>501</v>
      </c>
      <c r="AB504">
        <f ca="1">IF(T_EMPLOYEES[[#This Row],[EMPLOYEE NUMBER]]="","",IF(COUNTIF(T_EMPLOYEES[EMPLOYEE NUMBER],T_EMPLOYEES[[#This Row],[EMPLOYEE NUMBER]])&gt;1,1,0))</f>
        <v>0</v>
      </c>
      <c r="AC504">
        <f ca="1">IF(T_EMPLOYEES[[#This Row],[EMPLOYEE NUMBER]]="","",IF(AND(T_EMPLOYEES[[#This Row],[DATE OF BIRTH]]&gt;0,T_EMPLOYEES[[#This Row],[DATE OF BIRTH]]&lt;TODAY()),0,1))</f>
        <v>0</v>
      </c>
      <c r="AD504">
        <f ca="1">IF(T_EMPLOYEES[[#This Row],[EMPLOYEE NUMBER]]="","",IF(AND(T_EMPLOYEES[[#This Row],[START DATE]]&gt;0,T_EMPLOYEES[[#This Row],[START DATE]]&lt;TODAY()+60),0,1))</f>
        <v>0</v>
      </c>
      <c r="AE504">
        <f ca="1">IF(T_EMPLOYEES[[#This Row],[EMPLOYEE NUMBER]]="","",MATCH(T_EMPLOYEES[[#This Row],[GENDER]],L_GENDER,0))</f>
        <v>2</v>
      </c>
      <c r="AF504">
        <f ca="1">IF(T_EMPLOYEES[[#This Row],[EMPLOYEE NUMBER]]="","",MATCH(T_EMPLOYEES[[#This Row],[HIRE SOURCE]],L_HIRESOURCE,0))</f>
        <v>4</v>
      </c>
      <c r="AG504">
        <f ca="1">IF(T_EMPLOYEES[[#This Row],[EMPLOYEE NUMBER]]="","",MATCH(T_EMPLOYEES[[#This Row],[ETHNICITY]],L_ETHNICITY,0))</f>
        <v>3</v>
      </c>
      <c r="AH504">
        <f ca="1">IF(T_EMPLOYEES[[#This Row],[EMPLOYEE NUMBER]]="","",MATCH(T_EMPLOYEES[[#This Row],[LOCATION]],L_LOCATION,0))</f>
        <v>1</v>
      </c>
      <c r="AI504">
        <f ca="1">IF(T_EMPLOYEES[[#This Row],[EMPLOYEE NUMBER]]="","",MATCH(T_EMPLOYEES[[#This Row],[DEPARTMENT]],L_DEPARTMENT,0))</f>
        <v>11</v>
      </c>
      <c r="AJ504">
        <f ca="1">IF(T_EMPLOYEES[[#This Row],[EMPLOYEE NUMBER]]="","",MATCH(T_EMPLOYEES[[#This Row],[JOB TYPE]],L_JOBTYPE,0))</f>
        <v>2</v>
      </c>
      <c r="AK504">
        <f ca="1">IF(T_EMPLOYEES[[#This Row],[EMPLOYEE NUMBER]]="","",MATCH(T_EMPLOYEES[[#This Row],[JOB CATEGORY]],L_JOBCATEGORY,0))</f>
        <v>30</v>
      </c>
      <c r="AL504">
        <f ca="1">IF(T_EMPLOYEES[[#This Row],[EMPLOYEE NUMBER]]="","",MATCH(T_EMPLOYEES[[#This Row],[JOB LEVEL]],L_JOBLEVEL,0))</f>
        <v>1</v>
      </c>
      <c r="AM504">
        <f ca="1">IF(T_EMPLOYEES[[#This Row],[EMPLOYEE NUMBER]]="","",MATCH(T_EMPLOYEES[[#This Row],[JOB TITLE]],L_JOBTITLE,0))</f>
        <v>30</v>
      </c>
      <c r="AN504">
        <f ca="1">IF(T_EMPLOYEES[[#This Row],[EMPLOYEE NUMBER]]="","",MATCH(T_EMPLOYEES[[#This Row],[MANAGER]],L_EMPLABELS,0))</f>
        <v>57</v>
      </c>
      <c r="AO504">
        <f ca="1">IF(T_EMPLOYEES[[#This Row],[EMPLOYEE NUMBER]]="","",IF(T_EMPLOYEES[[#This Row],[ERROR]]="",0,1))</f>
        <v>0</v>
      </c>
      <c r="AP50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5" spans="1:42">
      <c r="A505" t="s">
        <v>1602</v>
      </c>
      <c r="B505" t="s">
        <v>1603</v>
      </c>
      <c r="C505">
        <v>1029869</v>
      </c>
      <c r="D505" t="s">
        <v>1604</v>
      </c>
      <c r="E505" s="26">
        <v>36757</v>
      </c>
      <c r="F505" s="26">
        <v>44791</v>
      </c>
      <c r="H505" t="s">
        <v>27</v>
      </c>
      <c r="I505" t="s">
        <v>54</v>
      </c>
      <c r="J505" t="s">
        <v>64</v>
      </c>
      <c r="K505" t="s">
        <v>30</v>
      </c>
      <c r="L505" s="27" t="s">
        <v>114</v>
      </c>
      <c r="M505" t="s">
        <v>46</v>
      </c>
      <c r="N505" t="s">
        <v>151</v>
      </c>
      <c r="O505" t="s">
        <v>36</v>
      </c>
      <c r="P505" t="s">
        <v>151</v>
      </c>
      <c r="Q505" t="s">
        <v>206</v>
      </c>
      <c r="R505">
        <v>0</v>
      </c>
      <c r="S505" s="1">
        <v>1200000</v>
      </c>
      <c r="T505" s="1">
        <f ca="1">ROUND(T_EMPLOYEES[[#This Row],[EMP_CTC1]]/12, 0)</f>
        <v>100000</v>
      </c>
      <c r="U505" s="1">
        <v>1000000</v>
      </c>
      <c r="V505" s="1" t="s">
        <v>1065</v>
      </c>
      <c r="W505" s="1" t="s">
        <v>1065</v>
      </c>
      <c r="X50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Harshit Tiwari (1029869)</v>
      </c>
      <c r="Y505">
        <v>120000</v>
      </c>
      <c r="Z505" s="29">
        <f t="shared" ca="1" si="8"/>
        <v>16.666666666666664</v>
      </c>
      <c r="AA505">
        <f ca="1">IF(T_EMPLOYEES[[#This Row],[EMPLOYEE NUMBER]]="","",ROW(T_EMPLOYEES[[#This Row],[EMPLOYEE LABEL]])-ROW(T_EMPLOYEES[[#Headers],[EMPLOYEE LABEL]]))</f>
        <v>502</v>
      </c>
      <c r="AB505">
        <f ca="1">IF(T_EMPLOYEES[[#This Row],[EMPLOYEE NUMBER]]="","",IF(COUNTIF(T_EMPLOYEES[EMPLOYEE NUMBER],T_EMPLOYEES[[#This Row],[EMPLOYEE NUMBER]])&gt;1,1,0))</f>
        <v>0</v>
      </c>
      <c r="AC505">
        <f ca="1">IF(T_EMPLOYEES[[#This Row],[EMPLOYEE NUMBER]]="","",IF(AND(T_EMPLOYEES[[#This Row],[DATE OF BIRTH]]&gt;0,T_EMPLOYEES[[#This Row],[DATE OF BIRTH]]&lt;TODAY()),0,1))</f>
        <v>0</v>
      </c>
      <c r="AD505">
        <f ca="1">IF(T_EMPLOYEES[[#This Row],[EMPLOYEE NUMBER]]="","",IF(AND(T_EMPLOYEES[[#This Row],[START DATE]]&gt;0,T_EMPLOYEES[[#This Row],[START DATE]]&lt;TODAY()+60),0,1))</f>
        <v>0</v>
      </c>
      <c r="AE505">
        <f ca="1">IF(T_EMPLOYEES[[#This Row],[EMPLOYEE NUMBER]]="","",MATCH(T_EMPLOYEES[[#This Row],[GENDER]],L_GENDER,0))</f>
        <v>1</v>
      </c>
      <c r="AF505">
        <f ca="1">IF(T_EMPLOYEES[[#This Row],[EMPLOYEE NUMBER]]="","",MATCH(T_EMPLOYEES[[#This Row],[HIRE SOURCE]],L_HIRESOURCE,0))</f>
        <v>4</v>
      </c>
      <c r="AG505">
        <f ca="1">IF(T_EMPLOYEES[[#This Row],[EMPLOYEE NUMBER]]="","",MATCH(T_EMPLOYEES[[#This Row],[ETHNICITY]],L_ETHNICITY,0))</f>
        <v>3</v>
      </c>
      <c r="AH505">
        <f ca="1">IF(T_EMPLOYEES[[#This Row],[EMPLOYEE NUMBER]]="","",MATCH(T_EMPLOYEES[[#This Row],[LOCATION]],L_LOCATION,0))</f>
        <v>1</v>
      </c>
      <c r="AI505">
        <f ca="1">IF(T_EMPLOYEES[[#This Row],[EMPLOYEE NUMBER]]="","",MATCH(T_EMPLOYEES[[#This Row],[DEPARTMENT]],L_DEPARTMENT,0))</f>
        <v>11</v>
      </c>
      <c r="AJ505">
        <f ca="1">IF(T_EMPLOYEES[[#This Row],[EMPLOYEE NUMBER]]="","",MATCH(T_EMPLOYEES[[#This Row],[JOB TYPE]],L_JOBTYPE,0))</f>
        <v>2</v>
      </c>
      <c r="AK505">
        <f ca="1">IF(T_EMPLOYEES[[#This Row],[EMPLOYEE NUMBER]]="","",MATCH(T_EMPLOYEES[[#This Row],[JOB CATEGORY]],L_JOBCATEGORY,0))</f>
        <v>30</v>
      </c>
      <c r="AL505">
        <f ca="1">IF(T_EMPLOYEES[[#This Row],[EMPLOYEE NUMBER]]="","",MATCH(T_EMPLOYEES[[#This Row],[JOB LEVEL]],L_JOBLEVEL,0))</f>
        <v>1</v>
      </c>
      <c r="AM505">
        <f ca="1">IF(T_EMPLOYEES[[#This Row],[EMPLOYEE NUMBER]]="","",MATCH(T_EMPLOYEES[[#This Row],[JOB TITLE]],L_JOBTITLE,0))</f>
        <v>30</v>
      </c>
      <c r="AN505">
        <f ca="1">IF(T_EMPLOYEES[[#This Row],[EMPLOYEE NUMBER]]="","",MATCH(T_EMPLOYEES[[#This Row],[MANAGER]],L_EMPLABELS,0))</f>
        <v>6</v>
      </c>
      <c r="AO505">
        <f ca="1">IF(T_EMPLOYEES[[#This Row],[EMPLOYEE NUMBER]]="","",IF(T_EMPLOYEES[[#This Row],[ERROR]]="",0,1))</f>
        <v>0</v>
      </c>
      <c r="AP50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6" spans="1:42">
      <c r="A506" t="s">
        <v>1605</v>
      </c>
      <c r="B506" t="s">
        <v>1606</v>
      </c>
      <c r="C506">
        <v>1026287</v>
      </c>
      <c r="D506" t="s">
        <v>1607</v>
      </c>
      <c r="E506" s="26">
        <v>36759</v>
      </c>
      <c r="F506" s="26">
        <v>44438</v>
      </c>
      <c r="H506" t="s">
        <v>40</v>
      </c>
      <c r="I506" t="s">
        <v>54</v>
      </c>
      <c r="J506" t="s">
        <v>64</v>
      </c>
      <c r="K506" t="s">
        <v>30</v>
      </c>
      <c r="L506" s="27" t="s">
        <v>114</v>
      </c>
      <c r="M506" t="s">
        <v>46</v>
      </c>
      <c r="N506" t="s">
        <v>160</v>
      </c>
      <c r="O506" t="s">
        <v>48</v>
      </c>
      <c r="P506" t="s">
        <v>160</v>
      </c>
      <c r="Q506" t="s">
        <v>206</v>
      </c>
      <c r="R506" s="27">
        <v>4</v>
      </c>
      <c r="S506" s="1">
        <v>1200000</v>
      </c>
      <c r="T506" s="1">
        <f ca="1">ROUND(T_EMPLOYEES[[#This Row],[EMP_CTC1]]/12, 0)</f>
        <v>100000</v>
      </c>
      <c r="U506" s="1">
        <v>1000000</v>
      </c>
      <c r="V506" s="1" t="s">
        <v>1065</v>
      </c>
      <c r="W506" s="1" t="s">
        <v>1065</v>
      </c>
      <c r="X50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Arti Balkrushna Yadav (1026287)</v>
      </c>
      <c r="Y506">
        <v>120000</v>
      </c>
      <c r="Z506" s="29">
        <f t="shared" ca="1" si="8"/>
        <v>16.666666666666664</v>
      </c>
      <c r="AA506">
        <f ca="1">IF(T_EMPLOYEES[[#This Row],[EMPLOYEE NUMBER]]="","",ROW(T_EMPLOYEES[[#This Row],[EMPLOYEE LABEL]])-ROW(T_EMPLOYEES[[#Headers],[EMPLOYEE LABEL]]))</f>
        <v>503</v>
      </c>
      <c r="AB506">
        <f ca="1">IF(T_EMPLOYEES[[#This Row],[EMPLOYEE NUMBER]]="","",IF(COUNTIF(T_EMPLOYEES[EMPLOYEE NUMBER],T_EMPLOYEES[[#This Row],[EMPLOYEE NUMBER]])&gt;1,1,0))</f>
        <v>0</v>
      </c>
      <c r="AC506">
        <f ca="1">IF(T_EMPLOYEES[[#This Row],[EMPLOYEE NUMBER]]="","",IF(AND(T_EMPLOYEES[[#This Row],[DATE OF BIRTH]]&gt;0,T_EMPLOYEES[[#This Row],[DATE OF BIRTH]]&lt;TODAY()),0,1))</f>
        <v>0</v>
      </c>
      <c r="AD506">
        <f ca="1">IF(T_EMPLOYEES[[#This Row],[EMPLOYEE NUMBER]]="","",IF(AND(T_EMPLOYEES[[#This Row],[START DATE]]&gt;0,T_EMPLOYEES[[#This Row],[START DATE]]&lt;TODAY()+60),0,1))</f>
        <v>0</v>
      </c>
      <c r="AE506">
        <f ca="1">IF(T_EMPLOYEES[[#This Row],[EMPLOYEE NUMBER]]="","",MATCH(T_EMPLOYEES[[#This Row],[GENDER]],L_GENDER,0))</f>
        <v>2</v>
      </c>
      <c r="AF506">
        <f ca="1">IF(T_EMPLOYEES[[#This Row],[EMPLOYEE NUMBER]]="","",MATCH(T_EMPLOYEES[[#This Row],[HIRE SOURCE]],L_HIRESOURCE,0))</f>
        <v>4</v>
      </c>
      <c r="AG506">
        <f ca="1">IF(T_EMPLOYEES[[#This Row],[EMPLOYEE NUMBER]]="","",MATCH(T_EMPLOYEES[[#This Row],[ETHNICITY]],L_ETHNICITY,0))</f>
        <v>3</v>
      </c>
      <c r="AH506">
        <f ca="1">IF(T_EMPLOYEES[[#This Row],[EMPLOYEE NUMBER]]="","",MATCH(T_EMPLOYEES[[#This Row],[LOCATION]],L_LOCATION,0))</f>
        <v>1</v>
      </c>
      <c r="AI506">
        <f ca="1">IF(T_EMPLOYEES[[#This Row],[EMPLOYEE NUMBER]]="","",MATCH(T_EMPLOYEES[[#This Row],[DEPARTMENT]],L_DEPARTMENT,0))</f>
        <v>11</v>
      </c>
      <c r="AJ506">
        <f ca="1">IF(T_EMPLOYEES[[#This Row],[EMPLOYEE NUMBER]]="","",MATCH(T_EMPLOYEES[[#This Row],[JOB TYPE]],L_JOBTYPE,0))</f>
        <v>2</v>
      </c>
      <c r="AK506">
        <f ca="1">IF(T_EMPLOYEES[[#This Row],[EMPLOYEE NUMBER]]="","",MATCH(T_EMPLOYEES[[#This Row],[JOB CATEGORY]],L_JOBCATEGORY,0))</f>
        <v>39</v>
      </c>
      <c r="AL506">
        <f ca="1">IF(T_EMPLOYEES[[#This Row],[EMPLOYEE NUMBER]]="","",MATCH(T_EMPLOYEES[[#This Row],[JOB LEVEL]],L_JOBLEVEL,0))</f>
        <v>2</v>
      </c>
      <c r="AM506">
        <f ca="1">IF(T_EMPLOYEES[[#This Row],[EMPLOYEE NUMBER]]="","",MATCH(T_EMPLOYEES[[#This Row],[JOB TITLE]],L_JOBTITLE,0))</f>
        <v>39</v>
      </c>
      <c r="AN506">
        <f ca="1">IF(T_EMPLOYEES[[#This Row],[EMPLOYEE NUMBER]]="","",MATCH(T_EMPLOYEES[[#This Row],[MANAGER]],L_EMPLABELS,0))</f>
        <v>6</v>
      </c>
      <c r="AO506">
        <f ca="1">IF(T_EMPLOYEES[[#This Row],[EMPLOYEE NUMBER]]="","",IF(T_EMPLOYEES[[#This Row],[ERROR]]="",0,1))</f>
        <v>0</v>
      </c>
      <c r="AP50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7" spans="1:42">
      <c r="A507" t="s">
        <v>1608</v>
      </c>
      <c r="B507" t="s">
        <v>1609</v>
      </c>
      <c r="C507">
        <v>1029889</v>
      </c>
      <c r="D507" t="s">
        <v>1610</v>
      </c>
      <c r="E507" s="26">
        <v>36767</v>
      </c>
      <c r="F507" s="26">
        <v>44791</v>
      </c>
      <c r="H507" t="s">
        <v>40</v>
      </c>
      <c r="I507" t="s">
        <v>54</v>
      </c>
      <c r="J507" t="s">
        <v>64</v>
      </c>
      <c r="K507" t="s">
        <v>30</v>
      </c>
      <c r="L507" s="27" t="s">
        <v>45</v>
      </c>
      <c r="M507" t="s">
        <v>46</v>
      </c>
      <c r="N507" t="s">
        <v>151</v>
      </c>
      <c r="O507" t="s">
        <v>36</v>
      </c>
      <c r="P507" t="s">
        <v>151</v>
      </c>
      <c r="Q507" t="s">
        <v>937</v>
      </c>
      <c r="R507">
        <v>0</v>
      </c>
      <c r="S507" s="1">
        <v>1200000</v>
      </c>
      <c r="T507" s="1">
        <f ca="1">ROUND(T_EMPLOYEES[[#This Row],[EMP_CTC1]]/12, 0)</f>
        <v>100000</v>
      </c>
      <c r="U507" s="1">
        <v>1000000</v>
      </c>
      <c r="V507" s="1" t="s">
        <v>1065</v>
      </c>
      <c r="W507" s="1" t="s">
        <v>1065</v>
      </c>
      <c r="X50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Karri Bhargavi (1029889)</v>
      </c>
      <c r="Y507">
        <v>120000</v>
      </c>
      <c r="Z507" s="29">
        <f t="shared" ca="1" si="8"/>
        <v>16.666666666666664</v>
      </c>
      <c r="AA507">
        <f ca="1">IF(T_EMPLOYEES[[#This Row],[EMPLOYEE NUMBER]]="","",ROW(T_EMPLOYEES[[#This Row],[EMPLOYEE LABEL]])-ROW(T_EMPLOYEES[[#Headers],[EMPLOYEE LABEL]]))</f>
        <v>504</v>
      </c>
      <c r="AB507">
        <f ca="1">IF(T_EMPLOYEES[[#This Row],[EMPLOYEE NUMBER]]="","",IF(COUNTIF(T_EMPLOYEES[EMPLOYEE NUMBER],T_EMPLOYEES[[#This Row],[EMPLOYEE NUMBER]])&gt;1,1,0))</f>
        <v>0</v>
      </c>
      <c r="AC507">
        <f ca="1">IF(T_EMPLOYEES[[#This Row],[EMPLOYEE NUMBER]]="","",IF(AND(T_EMPLOYEES[[#This Row],[DATE OF BIRTH]]&gt;0,T_EMPLOYEES[[#This Row],[DATE OF BIRTH]]&lt;TODAY()),0,1))</f>
        <v>0</v>
      </c>
      <c r="AD507">
        <f ca="1">IF(T_EMPLOYEES[[#This Row],[EMPLOYEE NUMBER]]="","",IF(AND(T_EMPLOYEES[[#This Row],[START DATE]]&gt;0,T_EMPLOYEES[[#This Row],[START DATE]]&lt;TODAY()+60),0,1))</f>
        <v>0</v>
      </c>
      <c r="AE507">
        <f ca="1">IF(T_EMPLOYEES[[#This Row],[EMPLOYEE NUMBER]]="","",MATCH(T_EMPLOYEES[[#This Row],[GENDER]],L_GENDER,0))</f>
        <v>2</v>
      </c>
      <c r="AF507">
        <f ca="1">IF(T_EMPLOYEES[[#This Row],[EMPLOYEE NUMBER]]="","",MATCH(T_EMPLOYEES[[#This Row],[HIRE SOURCE]],L_HIRESOURCE,0))</f>
        <v>4</v>
      </c>
      <c r="AG507">
        <f ca="1">IF(T_EMPLOYEES[[#This Row],[EMPLOYEE NUMBER]]="","",MATCH(T_EMPLOYEES[[#This Row],[ETHNICITY]],L_ETHNICITY,0))</f>
        <v>3</v>
      </c>
      <c r="AH507">
        <f ca="1">IF(T_EMPLOYEES[[#This Row],[EMPLOYEE NUMBER]]="","",MATCH(T_EMPLOYEES[[#This Row],[LOCATION]],L_LOCATION,0))</f>
        <v>1</v>
      </c>
      <c r="AI507">
        <f ca="1">IF(T_EMPLOYEES[[#This Row],[EMPLOYEE NUMBER]]="","",MATCH(T_EMPLOYEES[[#This Row],[DEPARTMENT]],L_DEPARTMENT,0))</f>
        <v>2</v>
      </c>
      <c r="AJ507">
        <f ca="1">IF(T_EMPLOYEES[[#This Row],[EMPLOYEE NUMBER]]="","",MATCH(T_EMPLOYEES[[#This Row],[JOB TYPE]],L_JOBTYPE,0))</f>
        <v>2</v>
      </c>
      <c r="AK507">
        <f ca="1">IF(T_EMPLOYEES[[#This Row],[EMPLOYEE NUMBER]]="","",MATCH(T_EMPLOYEES[[#This Row],[JOB CATEGORY]],L_JOBCATEGORY,0))</f>
        <v>30</v>
      </c>
      <c r="AL507">
        <f ca="1">IF(T_EMPLOYEES[[#This Row],[EMPLOYEE NUMBER]]="","",MATCH(T_EMPLOYEES[[#This Row],[JOB LEVEL]],L_JOBLEVEL,0))</f>
        <v>1</v>
      </c>
      <c r="AM507">
        <f ca="1">IF(T_EMPLOYEES[[#This Row],[EMPLOYEE NUMBER]]="","",MATCH(T_EMPLOYEES[[#This Row],[JOB TITLE]],L_JOBTITLE,0))</f>
        <v>30</v>
      </c>
      <c r="AN507">
        <f ca="1">IF(T_EMPLOYEES[[#This Row],[EMPLOYEE NUMBER]]="","",MATCH(T_EMPLOYEES[[#This Row],[MANAGER]],L_EMPLABELS,0))</f>
        <v>132</v>
      </c>
      <c r="AO507">
        <f ca="1">IF(T_EMPLOYEES[[#This Row],[EMPLOYEE NUMBER]]="","",IF(T_EMPLOYEES[[#This Row],[ERROR]]="",0,1))</f>
        <v>0</v>
      </c>
      <c r="AP50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8" spans="1:42">
      <c r="A508" t="s">
        <v>550</v>
      </c>
      <c r="B508" t="s">
        <v>293</v>
      </c>
      <c r="C508">
        <v>1033205</v>
      </c>
      <c r="D508" t="s">
        <v>1611</v>
      </c>
      <c r="E508" s="26">
        <v>36777</v>
      </c>
      <c r="F508" s="26">
        <v>45155</v>
      </c>
      <c r="H508" t="s">
        <v>27</v>
      </c>
      <c r="I508" t="s">
        <v>54</v>
      </c>
      <c r="J508" t="s">
        <v>64</v>
      </c>
      <c r="K508" t="s">
        <v>30</v>
      </c>
      <c r="L508" s="27" t="s">
        <v>114</v>
      </c>
      <c r="M508" t="s">
        <v>46</v>
      </c>
      <c r="N508" t="s">
        <v>151</v>
      </c>
      <c r="O508" t="s">
        <v>36</v>
      </c>
      <c r="P508" t="s">
        <v>151</v>
      </c>
      <c r="Q508" t="s">
        <v>505</v>
      </c>
      <c r="R508" s="27">
        <v>0</v>
      </c>
      <c r="S508" s="1">
        <v>1200000</v>
      </c>
      <c r="T508" s="1">
        <f ca="1">ROUND(T_EMPLOYEES[[#This Row],[EMP_CTC1]]/12, 0)</f>
        <v>100000</v>
      </c>
      <c r="U508" s="1">
        <v>1000000</v>
      </c>
      <c r="V508" s="1" t="s">
        <v>1065</v>
      </c>
      <c r="W508" s="1" t="s">
        <v>1065</v>
      </c>
      <c r="X50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Abhishek Kumar (1033205)</v>
      </c>
      <c r="Y508">
        <v>120000</v>
      </c>
      <c r="Z508" s="29">
        <f t="shared" ca="1" si="8"/>
        <v>16.666666666666664</v>
      </c>
      <c r="AA508">
        <f ca="1">IF(T_EMPLOYEES[[#This Row],[EMPLOYEE NUMBER]]="","",ROW(T_EMPLOYEES[[#This Row],[EMPLOYEE LABEL]])-ROW(T_EMPLOYEES[[#Headers],[EMPLOYEE LABEL]]))</f>
        <v>505</v>
      </c>
      <c r="AB508">
        <f ca="1">IF(T_EMPLOYEES[[#This Row],[EMPLOYEE NUMBER]]="","",IF(COUNTIF(T_EMPLOYEES[EMPLOYEE NUMBER],T_EMPLOYEES[[#This Row],[EMPLOYEE NUMBER]])&gt;1,1,0))</f>
        <v>0</v>
      </c>
      <c r="AC508">
        <f ca="1">IF(T_EMPLOYEES[[#This Row],[EMPLOYEE NUMBER]]="","",IF(AND(T_EMPLOYEES[[#This Row],[DATE OF BIRTH]]&gt;0,T_EMPLOYEES[[#This Row],[DATE OF BIRTH]]&lt;TODAY()),0,1))</f>
        <v>0</v>
      </c>
      <c r="AD508">
        <f ca="1">IF(T_EMPLOYEES[[#This Row],[EMPLOYEE NUMBER]]="","",IF(AND(T_EMPLOYEES[[#This Row],[START DATE]]&gt;0,T_EMPLOYEES[[#This Row],[START DATE]]&lt;TODAY()+60),0,1))</f>
        <v>0</v>
      </c>
      <c r="AE508">
        <f ca="1">IF(T_EMPLOYEES[[#This Row],[EMPLOYEE NUMBER]]="","",MATCH(T_EMPLOYEES[[#This Row],[GENDER]],L_GENDER,0))</f>
        <v>1</v>
      </c>
      <c r="AF508">
        <f ca="1">IF(T_EMPLOYEES[[#This Row],[EMPLOYEE NUMBER]]="","",MATCH(T_EMPLOYEES[[#This Row],[HIRE SOURCE]],L_HIRESOURCE,0))</f>
        <v>4</v>
      </c>
      <c r="AG508">
        <f ca="1">IF(T_EMPLOYEES[[#This Row],[EMPLOYEE NUMBER]]="","",MATCH(T_EMPLOYEES[[#This Row],[ETHNICITY]],L_ETHNICITY,0))</f>
        <v>3</v>
      </c>
      <c r="AH508">
        <f ca="1">IF(T_EMPLOYEES[[#This Row],[EMPLOYEE NUMBER]]="","",MATCH(T_EMPLOYEES[[#This Row],[LOCATION]],L_LOCATION,0))</f>
        <v>1</v>
      </c>
      <c r="AI508">
        <f ca="1">IF(T_EMPLOYEES[[#This Row],[EMPLOYEE NUMBER]]="","",MATCH(T_EMPLOYEES[[#This Row],[DEPARTMENT]],L_DEPARTMENT,0))</f>
        <v>11</v>
      </c>
      <c r="AJ508">
        <f ca="1">IF(T_EMPLOYEES[[#This Row],[EMPLOYEE NUMBER]]="","",MATCH(T_EMPLOYEES[[#This Row],[JOB TYPE]],L_JOBTYPE,0))</f>
        <v>2</v>
      </c>
      <c r="AK508">
        <f ca="1">IF(T_EMPLOYEES[[#This Row],[EMPLOYEE NUMBER]]="","",MATCH(T_EMPLOYEES[[#This Row],[JOB CATEGORY]],L_JOBCATEGORY,0))</f>
        <v>30</v>
      </c>
      <c r="AL508">
        <f ca="1">IF(T_EMPLOYEES[[#This Row],[EMPLOYEE NUMBER]]="","",MATCH(T_EMPLOYEES[[#This Row],[JOB LEVEL]],L_JOBLEVEL,0))</f>
        <v>1</v>
      </c>
      <c r="AM508">
        <f ca="1">IF(T_EMPLOYEES[[#This Row],[EMPLOYEE NUMBER]]="","",MATCH(T_EMPLOYEES[[#This Row],[JOB TITLE]],L_JOBTITLE,0))</f>
        <v>30</v>
      </c>
      <c r="AN508">
        <f ca="1">IF(T_EMPLOYEES[[#This Row],[EMPLOYEE NUMBER]]="","",MATCH(T_EMPLOYEES[[#This Row],[MANAGER]],L_EMPLABELS,0))</f>
        <v>57</v>
      </c>
      <c r="AO508">
        <f ca="1">IF(T_EMPLOYEES[[#This Row],[EMPLOYEE NUMBER]]="","",IF(T_EMPLOYEES[[#This Row],[ERROR]]="",0,1))</f>
        <v>0</v>
      </c>
      <c r="AP50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9" spans="1:42">
      <c r="A509" t="s">
        <v>1612</v>
      </c>
      <c r="B509" t="s">
        <v>1613</v>
      </c>
      <c r="C509">
        <v>1029302</v>
      </c>
      <c r="D509" t="s">
        <v>1614</v>
      </c>
      <c r="E509" s="26">
        <v>36789</v>
      </c>
      <c r="F509" s="26">
        <v>44729</v>
      </c>
      <c r="H509" t="s">
        <v>27</v>
      </c>
      <c r="I509" t="s">
        <v>54</v>
      </c>
      <c r="J509" t="s">
        <v>64</v>
      </c>
      <c r="K509" t="s">
        <v>30</v>
      </c>
      <c r="L509" s="27" t="s">
        <v>114</v>
      </c>
      <c r="M509" t="s">
        <v>46</v>
      </c>
      <c r="N509" t="s">
        <v>151</v>
      </c>
      <c r="O509" t="s">
        <v>36</v>
      </c>
      <c r="P509" t="s">
        <v>151</v>
      </c>
      <c r="Q509" t="s">
        <v>468</v>
      </c>
      <c r="R509">
        <v>0</v>
      </c>
      <c r="S509" s="1">
        <v>1200000</v>
      </c>
      <c r="T509" s="1">
        <f ca="1">ROUND(T_EMPLOYEES[[#This Row],[EMP_CTC1]]/12, 0)</f>
        <v>100000</v>
      </c>
      <c r="U509" s="1">
        <v>1000000</v>
      </c>
      <c r="V509" s="1" t="s">
        <v>1065</v>
      </c>
      <c r="W509" s="1" t="s">
        <v>1065</v>
      </c>
      <c r="X50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Kamesh Ravichandran (1029302)</v>
      </c>
      <c r="Y509">
        <v>120000</v>
      </c>
      <c r="Z509" s="29">
        <f t="shared" ca="1" si="8"/>
        <v>16.666666666666664</v>
      </c>
      <c r="AA509">
        <f ca="1">IF(T_EMPLOYEES[[#This Row],[EMPLOYEE NUMBER]]="","",ROW(T_EMPLOYEES[[#This Row],[EMPLOYEE LABEL]])-ROW(T_EMPLOYEES[[#Headers],[EMPLOYEE LABEL]]))</f>
        <v>506</v>
      </c>
      <c r="AB509">
        <f ca="1">IF(T_EMPLOYEES[[#This Row],[EMPLOYEE NUMBER]]="","",IF(COUNTIF(T_EMPLOYEES[EMPLOYEE NUMBER],T_EMPLOYEES[[#This Row],[EMPLOYEE NUMBER]])&gt;1,1,0))</f>
        <v>0</v>
      </c>
      <c r="AC509">
        <f ca="1">IF(T_EMPLOYEES[[#This Row],[EMPLOYEE NUMBER]]="","",IF(AND(T_EMPLOYEES[[#This Row],[DATE OF BIRTH]]&gt;0,T_EMPLOYEES[[#This Row],[DATE OF BIRTH]]&lt;TODAY()),0,1))</f>
        <v>0</v>
      </c>
      <c r="AD509">
        <f ca="1">IF(T_EMPLOYEES[[#This Row],[EMPLOYEE NUMBER]]="","",IF(AND(T_EMPLOYEES[[#This Row],[START DATE]]&gt;0,T_EMPLOYEES[[#This Row],[START DATE]]&lt;TODAY()+60),0,1))</f>
        <v>0</v>
      </c>
      <c r="AE509">
        <f ca="1">IF(T_EMPLOYEES[[#This Row],[EMPLOYEE NUMBER]]="","",MATCH(T_EMPLOYEES[[#This Row],[GENDER]],L_GENDER,0))</f>
        <v>1</v>
      </c>
      <c r="AF509">
        <f ca="1">IF(T_EMPLOYEES[[#This Row],[EMPLOYEE NUMBER]]="","",MATCH(T_EMPLOYEES[[#This Row],[HIRE SOURCE]],L_HIRESOURCE,0))</f>
        <v>4</v>
      </c>
      <c r="AG509">
        <f ca="1">IF(T_EMPLOYEES[[#This Row],[EMPLOYEE NUMBER]]="","",MATCH(T_EMPLOYEES[[#This Row],[ETHNICITY]],L_ETHNICITY,0))</f>
        <v>3</v>
      </c>
      <c r="AH509">
        <f ca="1">IF(T_EMPLOYEES[[#This Row],[EMPLOYEE NUMBER]]="","",MATCH(T_EMPLOYEES[[#This Row],[LOCATION]],L_LOCATION,0))</f>
        <v>1</v>
      </c>
      <c r="AI509">
        <f ca="1">IF(T_EMPLOYEES[[#This Row],[EMPLOYEE NUMBER]]="","",MATCH(T_EMPLOYEES[[#This Row],[DEPARTMENT]],L_DEPARTMENT,0))</f>
        <v>11</v>
      </c>
      <c r="AJ509">
        <f ca="1">IF(T_EMPLOYEES[[#This Row],[EMPLOYEE NUMBER]]="","",MATCH(T_EMPLOYEES[[#This Row],[JOB TYPE]],L_JOBTYPE,0))</f>
        <v>2</v>
      </c>
      <c r="AK509">
        <f ca="1">IF(T_EMPLOYEES[[#This Row],[EMPLOYEE NUMBER]]="","",MATCH(T_EMPLOYEES[[#This Row],[JOB CATEGORY]],L_JOBCATEGORY,0))</f>
        <v>30</v>
      </c>
      <c r="AL509">
        <f ca="1">IF(T_EMPLOYEES[[#This Row],[EMPLOYEE NUMBER]]="","",MATCH(T_EMPLOYEES[[#This Row],[JOB LEVEL]],L_JOBLEVEL,0))</f>
        <v>1</v>
      </c>
      <c r="AM509">
        <f ca="1">IF(T_EMPLOYEES[[#This Row],[EMPLOYEE NUMBER]]="","",MATCH(T_EMPLOYEES[[#This Row],[JOB TITLE]],L_JOBTITLE,0))</f>
        <v>30</v>
      </c>
      <c r="AN509">
        <f ca="1">IF(T_EMPLOYEES[[#This Row],[EMPLOYEE NUMBER]]="","",MATCH(T_EMPLOYEES[[#This Row],[MANAGER]],L_EMPLABELS,0))</f>
        <v>56</v>
      </c>
      <c r="AO509">
        <f ca="1">IF(T_EMPLOYEES[[#This Row],[EMPLOYEE NUMBER]]="","",IF(T_EMPLOYEES[[#This Row],[ERROR]]="",0,1))</f>
        <v>0</v>
      </c>
      <c r="AP50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0" spans="1:42">
      <c r="A510" t="s">
        <v>1615</v>
      </c>
      <c r="B510" t="s">
        <v>1616</v>
      </c>
      <c r="C510">
        <v>1029783</v>
      </c>
      <c r="D510" t="s">
        <v>1617</v>
      </c>
      <c r="E510" s="26">
        <v>36808</v>
      </c>
      <c r="F510" s="26">
        <v>44783</v>
      </c>
      <c r="H510" t="s">
        <v>27</v>
      </c>
      <c r="I510" t="s">
        <v>54</v>
      </c>
      <c r="J510" t="s">
        <v>64</v>
      </c>
      <c r="K510" t="s">
        <v>30</v>
      </c>
      <c r="L510" s="27" t="s">
        <v>114</v>
      </c>
      <c r="M510" t="s">
        <v>46</v>
      </c>
      <c r="N510" t="s">
        <v>151</v>
      </c>
      <c r="O510" t="s">
        <v>36</v>
      </c>
      <c r="P510" t="s">
        <v>151</v>
      </c>
      <c r="Q510" t="s">
        <v>206</v>
      </c>
      <c r="R510" s="27">
        <v>0</v>
      </c>
      <c r="S510" s="1">
        <v>1200000</v>
      </c>
      <c r="T510" s="1">
        <f ca="1">ROUND(T_EMPLOYEES[[#This Row],[EMP_CTC1]]/12, 0)</f>
        <v>100000</v>
      </c>
      <c r="U510" s="1">
        <v>1000000</v>
      </c>
      <c r="V510" s="1" t="s">
        <v>1065</v>
      </c>
      <c r="W510" s="1" t="s">
        <v>1065</v>
      </c>
      <c r="X51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Anumandla Madhu Kumar (1029783)</v>
      </c>
      <c r="Y510">
        <v>120000</v>
      </c>
      <c r="Z510" s="29">
        <f t="shared" ca="1" si="8"/>
        <v>16.666666666666664</v>
      </c>
      <c r="AA510">
        <f ca="1">IF(T_EMPLOYEES[[#This Row],[EMPLOYEE NUMBER]]="","",ROW(T_EMPLOYEES[[#This Row],[EMPLOYEE LABEL]])-ROW(T_EMPLOYEES[[#Headers],[EMPLOYEE LABEL]]))</f>
        <v>507</v>
      </c>
      <c r="AB510">
        <f ca="1">IF(T_EMPLOYEES[[#This Row],[EMPLOYEE NUMBER]]="","",IF(COUNTIF(T_EMPLOYEES[EMPLOYEE NUMBER],T_EMPLOYEES[[#This Row],[EMPLOYEE NUMBER]])&gt;1,1,0))</f>
        <v>0</v>
      </c>
      <c r="AC510">
        <f ca="1">IF(T_EMPLOYEES[[#This Row],[EMPLOYEE NUMBER]]="","",IF(AND(T_EMPLOYEES[[#This Row],[DATE OF BIRTH]]&gt;0,T_EMPLOYEES[[#This Row],[DATE OF BIRTH]]&lt;TODAY()),0,1))</f>
        <v>0</v>
      </c>
      <c r="AD510">
        <f ca="1">IF(T_EMPLOYEES[[#This Row],[EMPLOYEE NUMBER]]="","",IF(AND(T_EMPLOYEES[[#This Row],[START DATE]]&gt;0,T_EMPLOYEES[[#This Row],[START DATE]]&lt;TODAY()+60),0,1))</f>
        <v>0</v>
      </c>
      <c r="AE510">
        <f ca="1">IF(T_EMPLOYEES[[#This Row],[EMPLOYEE NUMBER]]="","",MATCH(T_EMPLOYEES[[#This Row],[GENDER]],L_GENDER,0))</f>
        <v>1</v>
      </c>
      <c r="AF510">
        <f ca="1">IF(T_EMPLOYEES[[#This Row],[EMPLOYEE NUMBER]]="","",MATCH(T_EMPLOYEES[[#This Row],[HIRE SOURCE]],L_HIRESOURCE,0))</f>
        <v>4</v>
      </c>
      <c r="AG510">
        <f ca="1">IF(T_EMPLOYEES[[#This Row],[EMPLOYEE NUMBER]]="","",MATCH(T_EMPLOYEES[[#This Row],[ETHNICITY]],L_ETHNICITY,0))</f>
        <v>3</v>
      </c>
      <c r="AH510">
        <f ca="1">IF(T_EMPLOYEES[[#This Row],[EMPLOYEE NUMBER]]="","",MATCH(T_EMPLOYEES[[#This Row],[LOCATION]],L_LOCATION,0))</f>
        <v>1</v>
      </c>
      <c r="AI510">
        <f ca="1">IF(T_EMPLOYEES[[#This Row],[EMPLOYEE NUMBER]]="","",MATCH(T_EMPLOYEES[[#This Row],[DEPARTMENT]],L_DEPARTMENT,0))</f>
        <v>11</v>
      </c>
      <c r="AJ510">
        <f ca="1">IF(T_EMPLOYEES[[#This Row],[EMPLOYEE NUMBER]]="","",MATCH(T_EMPLOYEES[[#This Row],[JOB TYPE]],L_JOBTYPE,0))</f>
        <v>2</v>
      </c>
      <c r="AK510">
        <f ca="1">IF(T_EMPLOYEES[[#This Row],[EMPLOYEE NUMBER]]="","",MATCH(T_EMPLOYEES[[#This Row],[JOB CATEGORY]],L_JOBCATEGORY,0))</f>
        <v>30</v>
      </c>
      <c r="AL510">
        <f ca="1">IF(T_EMPLOYEES[[#This Row],[EMPLOYEE NUMBER]]="","",MATCH(T_EMPLOYEES[[#This Row],[JOB LEVEL]],L_JOBLEVEL,0))</f>
        <v>1</v>
      </c>
      <c r="AM510">
        <f ca="1">IF(T_EMPLOYEES[[#This Row],[EMPLOYEE NUMBER]]="","",MATCH(T_EMPLOYEES[[#This Row],[JOB TITLE]],L_JOBTITLE,0))</f>
        <v>30</v>
      </c>
      <c r="AN510">
        <f ca="1">IF(T_EMPLOYEES[[#This Row],[EMPLOYEE NUMBER]]="","",MATCH(T_EMPLOYEES[[#This Row],[MANAGER]],L_EMPLABELS,0))</f>
        <v>6</v>
      </c>
      <c r="AO510">
        <f ca="1">IF(T_EMPLOYEES[[#This Row],[EMPLOYEE NUMBER]]="","",IF(T_EMPLOYEES[[#This Row],[ERROR]]="",0,1))</f>
        <v>0</v>
      </c>
      <c r="AP51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1" spans="1:42">
      <c r="A511" t="s">
        <v>1618</v>
      </c>
      <c r="B511" t="s">
        <v>971</v>
      </c>
      <c r="C511">
        <v>1033261</v>
      </c>
      <c r="D511" t="s">
        <v>1619</v>
      </c>
      <c r="E511" s="26">
        <v>36851</v>
      </c>
      <c r="F511" s="26">
        <v>45155</v>
      </c>
      <c r="H511" t="s">
        <v>27</v>
      </c>
      <c r="I511" t="s">
        <v>54</v>
      </c>
      <c r="J511" t="s">
        <v>64</v>
      </c>
      <c r="K511" t="s">
        <v>30</v>
      </c>
      <c r="L511" s="27" t="s">
        <v>114</v>
      </c>
      <c r="M511" t="s">
        <v>46</v>
      </c>
      <c r="N511" t="s">
        <v>151</v>
      </c>
      <c r="O511" t="s">
        <v>36</v>
      </c>
      <c r="P511" t="s">
        <v>151</v>
      </c>
      <c r="Q511" t="s">
        <v>468</v>
      </c>
      <c r="R511">
        <v>0</v>
      </c>
      <c r="S511" s="1">
        <v>1200000</v>
      </c>
      <c r="T511" s="1">
        <f ca="1">ROUND(T_EMPLOYEES[[#This Row],[EMP_CTC1]]/12, 0)</f>
        <v>100000</v>
      </c>
      <c r="U511" s="1">
        <v>1000000</v>
      </c>
      <c r="V511" s="1" t="s">
        <v>1065</v>
      </c>
      <c r="W511" s="1" t="s">
        <v>1065</v>
      </c>
      <c r="X51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Mukkawar Sagar (1033261)</v>
      </c>
      <c r="Y511">
        <v>120000</v>
      </c>
      <c r="Z511" s="29">
        <f t="shared" ca="1" si="8"/>
        <v>16.666666666666664</v>
      </c>
      <c r="AA511">
        <f ca="1">IF(T_EMPLOYEES[[#This Row],[EMPLOYEE NUMBER]]="","",ROW(T_EMPLOYEES[[#This Row],[EMPLOYEE LABEL]])-ROW(T_EMPLOYEES[[#Headers],[EMPLOYEE LABEL]]))</f>
        <v>508</v>
      </c>
      <c r="AB511">
        <f ca="1">IF(T_EMPLOYEES[[#This Row],[EMPLOYEE NUMBER]]="","",IF(COUNTIF(T_EMPLOYEES[EMPLOYEE NUMBER],T_EMPLOYEES[[#This Row],[EMPLOYEE NUMBER]])&gt;1,1,0))</f>
        <v>0</v>
      </c>
      <c r="AC511">
        <f ca="1">IF(T_EMPLOYEES[[#This Row],[EMPLOYEE NUMBER]]="","",IF(AND(T_EMPLOYEES[[#This Row],[DATE OF BIRTH]]&gt;0,T_EMPLOYEES[[#This Row],[DATE OF BIRTH]]&lt;TODAY()),0,1))</f>
        <v>0</v>
      </c>
      <c r="AD511">
        <f ca="1">IF(T_EMPLOYEES[[#This Row],[EMPLOYEE NUMBER]]="","",IF(AND(T_EMPLOYEES[[#This Row],[START DATE]]&gt;0,T_EMPLOYEES[[#This Row],[START DATE]]&lt;TODAY()+60),0,1))</f>
        <v>0</v>
      </c>
      <c r="AE511">
        <f ca="1">IF(T_EMPLOYEES[[#This Row],[EMPLOYEE NUMBER]]="","",MATCH(T_EMPLOYEES[[#This Row],[GENDER]],L_GENDER,0))</f>
        <v>1</v>
      </c>
      <c r="AF511">
        <f ca="1">IF(T_EMPLOYEES[[#This Row],[EMPLOYEE NUMBER]]="","",MATCH(T_EMPLOYEES[[#This Row],[HIRE SOURCE]],L_HIRESOURCE,0))</f>
        <v>4</v>
      </c>
      <c r="AG511">
        <f ca="1">IF(T_EMPLOYEES[[#This Row],[EMPLOYEE NUMBER]]="","",MATCH(T_EMPLOYEES[[#This Row],[ETHNICITY]],L_ETHNICITY,0))</f>
        <v>3</v>
      </c>
      <c r="AH511">
        <f ca="1">IF(T_EMPLOYEES[[#This Row],[EMPLOYEE NUMBER]]="","",MATCH(T_EMPLOYEES[[#This Row],[LOCATION]],L_LOCATION,0))</f>
        <v>1</v>
      </c>
      <c r="AI511">
        <f ca="1">IF(T_EMPLOYEES[[#This Row],[EMPLOYEE NUMBER]]="","",MATCH(T_EMPLOYEES[[#This Row],[DEPARTMENT]],L_DEPARTMENT,0))</f>
        <v>11</v>
      </c>
      <c r="AJ511">
        <f ca="1">IF(T_EMPLOYEES[[#This Row],[EMPLOYEE NUMBER]]="","",MATCH(T_EMPLOYEES[[#This Row],[JOB TYPE]],L_JOBTYPE,0))</f>
        <v>2</v>
      </c>
      <c r="AK511">
        <f ca="1">IF(T_EMPLOYEES[[#This Row],[EMPLOYEE NUMBER]]="","",MATCH(T_EMPLOYEES[[#This Row],[JOB CATEGORY]],L_JOBCATEGORY,0))</f>
        <v>30</v>
      </c>
      <c r="AL511">
        <f ca="1">IF(T_EMPLOYEES[[#This Row],[EMPLOYEE NUMBER]]="","",MATCH(T_EMPLOYEES[[#This Row],[JOB LEVEL]],L_JOBLEVEL,0))</f>
        <v>1</v>
      </c>
      <c r="AM511">
        <f ca="1">IF(T_EMPLOYEES[[#This Row],[EMPLOYEE NUMBER]]="","",MATCH(T_EMPLOYEES[[#This Row],[JOB TITLE]],L_JOBTITLE,0))</f>
        <v>30</v>
      </c>
      <c r="AN511">
        <f ca="1">IF(T_EMPLOYEES[[#This Row],[EMPLOYEE NUMBER]]="","",MATCH(T_EMPLOYEES[[#This Row],[MANAGER]],L_EMPLABELS,0))</f>
        <v>56</v>
      </c>
      <c r="AO511">
        <f ca="1">IF(T_EMPLOYEES[[#This Row],[EMPLOYEE NUMBER]]="","",IF(T_EMPLOYEES[[#This Row],[ERROR]]="",0,1))</f>
        <v>0</v>
      </c>
      <c r="AP51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2" spans="1:42">
      <c r="A512" t="s">
        <v>1080</v>
      </c>
      <c r="B512" t="s">
        <v>1620</v>
      </c>
      <c r="C512">
        <v>1029895</v>
      </c>
      <c r="D512" t="s">
        <v>1621</v>
      </c>
      <c r="E512" s="26">
        <v>36857</v>
      </c>
      <c r="F512" s="26">
        <v>44791</v>
      </c>
      <c r="H512" t="s">
        <v>27</v>
      </c>
      <c r="I512" t="s">
        <v>54</v>
      </c>
      <c r="J512" t="s">
        <v>64</v>
      </c>
      <c r="K512" t="s">
        <v>30</v>
      </c>
      <c r="L512" s="27" t="s">
        <v>114</v>
      </c>
      <c r="M512" t="s">
        <v>46</v>
      </c>
      <c r="N512" t="s">
        <v>151</v>
      </c>
      <c r="O512" t="s">
        <v>36</v>
      </c>
      <c r="P512" t="s">
        <v>151</v>
      </c>
      <c r="Q512" t="s">
        <v>468</v>
      </c>
      <c r="R512" s="27">
        <v>0</v>
      </c>
      <c r="S512" s="1">
        <v>1200000</v>
      </c>
      <c r="T512" s="1">
        <f ca="1">ROUND(T_EMPLOYEES[[#This Row],[EMP_CTC1]]/12, 0)</f>
        <v>100000</v>
      </c>
      <c r="U512" s="1">
        <v>1000000</v>
      </c>
      <c r="V512" s="1" t="s">
        <v>1065</v>
      </c>
      <c r="W512" s="1" t="s">
        <v>1065</v>
      </c>
      <c r="X51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Veera Satya Kishore Swamy Allaka (1029895)</v>
      </c>
      <c r="Y512">
        <v>120000</v>
      </c>
      <c r="Z512" s="29">
        <f t="shared" ca="1" si="8"/>
        <v>16.666666666666664</v>
      </c>
      <c r="AA512">
        <f ca="1">IF(T_EMPLOYEES[[#This Row],[EMPLOYEE NUMBER]]="","",ROW(T_EMPLOYEES[[#This Row],[EMPLOYEE LABEL]])-ROW(T_EMPLOYEES[[#Headers],[EMPLOYEE LABEL]]))</f>
        <v>509</v>
      </c>
      <c r="AB512">
        <f ca="1">IF(T_EMPLOYEES[[#This Row],[EMPLOYEE NUMBER]]="","",IF(COUNTIF(T_EMPLOYEES[EMPLOYEE NUMBER],T_EMPLOYEES[[#This Row],[EMPLOYEE NUMBER]])&gt;1,1,0))</f>
        <v>0</v>
      </c>
      <c r="AC512">
        <f ca="1">IF(T_EMPLOYEES[[#This Row],[EMPLOYEE NUMBER]]="","",IF(AND(T_EMPLOYEES[[#This Row],[DATE OF BIRTH]]&gt;0,T_EMPLOYEES[[#This Row],[DATE OF BIRTH]]&lt;TODAY()),0,1))</f>
        <v>0</v>
      </c>
      <c r="AD512">
        <f ca="1">IF(T_EMPLOYEES[[#This Row],[EMPLOYEE NUMBER]]="","",IF(AND(T_EMPLOYEES[[#This Row],[START DATE]]&gt;0,T_EMPLOYEES[[#This Row],[START DATE]]&lt;TODAY()+60),0,1))</f>
        <v>0</v>
      </c>
      <c r="AE512">
        <f ca="1">IF(T_EMPLOYEES[[#This Row],[EMPLOYEE NUMBER]]="","",MATCH(T_EMPLOYEES[[#This Row],[GENDER]],L_GENDER,0))</f>
        <v>1</v>
      </c>
      <c r="AF512">
        <f ca="1">IF(T_EMPLOYEES[[#This Row],[EMPLOYEE NUMBER]]="","",MATCH(T_EMPLOYEES[[#This Row],[HIRE SOURCE]],L_HIRESOURCE,0))</f>
        <v>4</v>
      </c>
      <c r="AG512">
        <f ca="1">IF(T_EMPLOYEES[[#This Row],[EMPLOYEE NUMBER]]="","",MATCH(T_EMPLOYEES[[#This Row],[ETHNICITY]],L_ETHNICITY,0))</f>
        <v>3</v>
      </c>
      <c r="AH512">
        <f ca="1">IF(T_EMPLOYEES[[#This Row],[EMPLOYEE NUMBER]]="","",MATCH(T_EMPLOYEES[[#This Row],[LOCATION]],L_LOCATION,0))</f>
        <v>1</v>
      </c>
      <c r="AI512">
        <f ca="1">IF(T_EMPLOYEES[[#This Row],[EMPLOYEE NUMBER]]="","",MATCH(T_EMPLOYEES[[#This Row],[DEPARTMENT]],L_DEPARTMENT,0))</f>
        <v>11</v>
      </c>
      <c r="AJ512">
        <f ca="1">IF(T_EMPLOYEES[[#This Row],[EMPLOYEE NUMBER]]="","",MATCH(T_EMPLOYEES[[#This Row],[JOB TYPE]],L_JOBTYPE,0))</f>
        <v>2</v>
      </c>
      <c r="AK512">
        <f ca="1">IF(T_EMPLOYEES[[#This Row],[EMPLOYEE NUMBER]]="","",MATCH(T_EMPLOYEES[[#This Row],[JOB CATEGORY]],L_JOBCATEGORY,0))</f>
        <v>30</v>
      </c>
      <c r="AL512">
        <f ca="1">IF(T_EMPLOYEES[[#This Row],[EMPLOYEE NUMBER]]="","",MATCH(T_EMPLOYEES[[#This Row],[JOB LEVEL]],L_JOBLEVEL,0))</f>
        <v>1</v>
      </c>
      <c r="AM512">
        <f ca="1">IF(T_EMPLOYEES[[#This Row],[EMPLOYEE NUMBER]]="","",MATCH(T_EMPLOYEES[[#This Row],[JOB TITLE]],L_JOBTITLE,0))</f>
        <v>30</v>
      </c>
      <c r="AN512">
        <f ca="1">IF(T_EMPLOYEES[[#This Row],[EMPLOYEE NUMBER]]="","",MATCH(T_EMPLOYEES[[#This Row],[MANAGER]],L_EMPLABELS,0))</f>
        <v>56</v>
      </c>
      <c r="AO512">
        <f ca="1">IF(T_EMPLOYEES[[#This Row],[EMPLOYEE NUMBER]]="","",IF(T_EMPLOYEES[[#This Row],[ERROR]]="",0,1))</f>
        <v>0</v>
      </c>
      <c r="AP51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3" spans="1:42">
      <c r="A513" t="s">
        <v>1622</v>
      </c>
      <c r="B513" t="s">
        <v>1623</v>
      </c>
      <c r="C513">
        <v>1033204</v>
      </c>
      <c r="D513" t="s">
        <v>1624</v>
      </c>
      <c r="E513" s="26">
        <v>36862</v>
      </c>
      <c r="F513" s="26">
        <v>45155</v>
      </c>
      <c r="H513" t="s">
        <v>27</v>
      </c>
      <c r="I513" t="s">
        <v>54</v>
      </c>
      <c r="J513" t="s">
        <v>64</v>
      </c>
      <c r="K513" t="s">
        <v>30</v>
      </c>
      <c r="L513" s="27" t="s">
        <v>114</v>
      </c>
      <c r="M513" t="s">
        <v>46</v>
      </c>
      <c r="N513" t="s">
        <v>151</v>
      </c>
      <c r="O513" t="s">
        <v>36</v>
      </c>
      <c r="P513" t="s">
        <v>151</v>
      </c>
      <c r="Q513" t="s">
        <v>505</v>
      </c>
      <c r="R513">
        <v>0</v>
      </c>
      <c r="S513" s="1">
        <v>1200000</v>
      </c>
      <c r="T513" s="1">
        <f ca="1">ROUND(T_EMPLOYEES[[#This Row],[EMP_CTC1]]/12, 0)</f>
        <v>100000</v>
      </c>
      <c r="U513" s="1">
        <v>1000000</v>
      </c>
      <c r="V513" s="1" t="s">
        <v>1065</v>
      </c>
      <c r="W513" s="1" t="s">
        <v>1065</v>
      </c>
      <c r="X51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Ayush Samanta (1033204)</v>
      </c>
      <c r="Y513">
        <v>120000</v>
      </c>
      <c r="Z513" s="29">
        <f t="shared" ca="1" si="8"/>
        <v>16.666666666666664</v>
      </c>
      <c r="AA513">
        <f ca="1">IF(T_EMPLOYEES[[#This Row],[EMPLOYEE NUMBER]]="","",ROW(T_EMPLOYEES[[#This Row],[EMPLOYEE LABEL]])-ROW(T_EMPLOYEES[[#Headers],[EMPLOYEE LABEL]]))</f>
        <v>510</v>
      </c>
      <c r="AB513">
        <f ca="1">IF(T_EMPLOYEES[[#This Row],[EMPLOYEE NUMBER]]="","",IF(COUNTIF(T_EMPLOYEES[EMPLOYEE NUMBER],T_EMPLOYEES[[#This Row],[EMPLOYEE NUMBER]])&gt;1,1,0))</f>
        <v>0</v>
      </c>
      <c r="AC513">
        <f ca="1">IF(T_EMPLOYEES[[#This Row],[EMPLOYEE NUMBER]]="","",IF(AND(T_EMPLOYEES[[#This Row],[DATE OF BIRTH]]&gt;0,T_EMPLOYEES[[#This Row],[DATE OF BIRTH]]&lt;TODAY()),0,1))</f>
        <v>0</v>
      </c>
      <c r="AD513">
        <f ca="1">IF(T_EMPLOYEES[[#This Row],[EMPLOYEE NUMBER]]="","",IF(AND(T_EMPLOYEES[[#This Row],[START DATE]]&gt;0,T_EMPLOYEES[[#This Row],[START DATE]]&lt;TODAY()+60),0,1))</f>
        <v>0</v>
      </c>
      <c r="AE513">
        <f ca="1">IF(T_EMPLOYEES[[#This Row],[EMPLOYEE NUMBER]]="","",MATCH(T_EMPLOYEES[[#This Row],[GENDER]],L_GENDER,0))</f>
        <v>1</v>
      </c>
      <c r="AF513">
        <f ca="1">IF(T_EMPLOYEES[[#This Row],[EMPLOYEE NUMBER]]="","",MATCH(T_EMPLOYEES[[#This Row],[HIRE SOURCE]],L_HIRESOURCE,0))</f>
        <v>4</v>
      </c>
      <c r="AG513">
        <f ca="1">IF(T_EMPLOYEES[[#This Row],[EMPLOYEE NUMBER]]="","",MATCH(T_EMPLOYEES[[#This Row],[ETHNICITY]],L_ETHNICITY,0))</f>
        <v>3</v>
      </c>
      <c r="AH513">
        <f ca="1">IF(T_EMPLOYEES[[#This Row],[EMPLOYEE NUMBER]]="","",MATCH(T_EMPLOYEES[[#This Row],[LOCATION]],L_LOCATION,0))</f>
        <v>1</v>
      </c>
      <c r="AI513">
        <f ca="1">IF(T_EMPLOYEES[[#This Row],[EMPLOYEE NUMBER]]="","",MATCH(T_EMPLOYEES[[#This Row],[DEPARTMENT]],L_DEPARTMENT,0))</f>
        <v>11</v>
      </c>
      <c r="AJ513">
        <f ca="1">IF(T_EMPLOYEES[[#This Row],[EMPLOYEE NUMBER]]="","",MATCH(T_EMPLOYEES[[#This Row],[JOB TYPE]],L_JOBTYPE,0))</f>
        <v>2</v>
      </c>
      <c r="AK513">
        <f ca="1">IF(T_EMPLOYEES[[#This Row],[EMPLOYEE NUMBER]]="","",MATCH(T_EMPLOYEES[[#This Row],[JOB CATEGORY]],L_JOBCATEGORY,0))</f>
        <v>30</v>
      </c>
      <c r="AL513">
        <f ca="1">IF(T_EMPLOYEES[[#This Row],[EMPLOYEE NUMBER]]="","",MATCH(T_EMPLOYEES[[#This Row],[JOB LEVEL]],L_JOBLEVEL,0))</f>
        <v>1</v>
      </c>
      <c r="AM513">
        <f ca="1">IF(T_EMPLOYEES[[#This Row],[EMPLOYEE NUMBER]]="","",MATCH(T_EMPLOYEES[[#This Row],[JOB TITLE]],L_JOBTITLE,0))</f>
        <v>30</v>
      </c>
      <c r="AN513">
        <f ca="1">IF(T_EMPLOYEES[[#This Row],[EMPLOYEE NUMBER]]="","",MATCH(T_EMPLOYEES[[#This Row],[MANAGER]],L_EMPLABELS,0))</f>
        <v>57</v>
      </c>
      <c r="AO513">
        <f ca="1">IF(T_EMPLOYEES[[#This Row],[EMPLOYEE NUMBER]]="","",IF(T_EMPLOYEES[[#This Row],[ERROR]]="",0,1))</f>
        <v>0</v>
      </c>
      <c r="AP51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4" spans="1:42">
      <c r="A514" t="s">
        <v>1625</v>
      </c>
      <c r="B514" t="s">
        <v>1626</v>
      </c>
      <c r="C514">
        <v>1030216</v>
      </c>
      <c r="D514" t="s">
        <v>1627</v>
      </c>
      <c r="E514" s="26">
        <v>36872</v>
      </c>
      <c r="F514" s="26">
        <v>44819</v>
      </c>
      <c r="H514" t="s">
        <v>40</v>
      </c>
      <c r="I514" t="s">
        <v>54</v>
      </c>
      <c r="J514" t="s">
        <v>64</v>
      </c>
      <c r="K514" t="s">
        <v>30</v>
      </c>
      <c r="L514" s="27" t="s">
        <v>110</v>
      </c>
      <c r="M514" t="s">
        <v>46</v>
      </c>
      <c r="N514" t="s">
        <v>151</v>
      </c>
      <c r="O514" t="s">
        <v>36</v>
      </c>
      <c r="P514" t="s">
        <v>151</v>
      </c>
      <c r="Q514" t="s">
        <v>861</v>
      </c>
      <c r="R514" s="27">
        <v>0</v>
      </c>
      <c r="S514" s="1">
        <v>1200000</v>
      </c>
      <c r="T514" s="1">
        <f ca="1">ROUND(T_EMPLOYEES[[#This Row],[EMP_CTC1]]/12, 0)</f>
        <v>100000</v>
      </c>
      <c r="U514" s="1">
        <v>1000000</v>
      </c>
      <c r="V514" s="1" t="s">
        <v>1065</v>
      </c>
      <c r="W514" s="1" t="s">
        <v>1065</v>
      </c>
      <c r="X51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Kusuma M G (1030216)</v>
      </c>
      <c r="Y514">
        <v>120000</v>
      </c>
      <c r="Z514" s="29">
        <f t="shared" ca="1" si="8"/>
        <v>16.666666666666664</v>
      </c>
      <c r="AA514">
        <f ca="1">IF(T_EMPLOYEES[[#This Row],[EMPLOYEE NUMBER]]="","",ROW(T_EMPLOYEES[[#This Row],[EMPLOYEE LABEL]])-ROW(T_EMPLOYEES[[#Headers],[EMPLOYEE LABEL]]))</f>
        <v>511</v>
      </c>
      <c r="AB514">
        <f ca="1">IF(T_EMPLOYEES[[#This Row],[EMPLOYEE NUMBER]]="","",IF(COUNTIF(T_EMPLOYEES[EMPLOYEE NUMBER],T_EMPLOYEES[[#This Row],[EMPLOYEE NUMBER]])&gt;1,1,0))</f>
        <v>0</v>
      </c>
      <c r="AC514">
        <f ca="1">IF(T_EMPLOYEES[[#This Row],[EMPLOYEE NUMBER]]="","",IF(AND(T_EMPLOYEES[[#This Row],[DATE OF BIRTH]]&gt;0,T_EMPLOYEES[[#This Row],[DATE OF BIRTH]]&lt;TODAY()),0,1))</f>
        <v>0</v>
      </c>
      <c r="AD514">
        <f ca="1">IF(T_EMPLOYEES[[#This Row],[EMPLOYEE NUMBER]]="","",IF(AND(T_EMPLOYEES[[#This Row],[START DATE]]&gt;0,T_EMPLOYEES[[#This Row],[START DATE]]&lt;TODAY()+60),0,1))</f>
        <v>0</v>
      </c>
      <c r="AE514">
        <f ca="1">IF(T_EMPLOYEES[[#This Row],[EMPLOYEE NUMBER]]="","",MATCH(T_EMPLOYEES[[#This Row],[GENDER]],L_GENDER,0))</f>
        <v>2</v>
      </c>
      <c r="AF514">
        <f ca="1">IF(T_EMPLOYEES[[#This Row],[EMPLOYEE NUMBER]]="","",MATCH(T_EMPLOYEES[[#This Row],[HIRE SOURCE]],L_HIRESOURCE,0))</f>
        <v>4</v>
      </c>
      <c r="AG514">
        <f ca="1">IF(T_EMPLOYEES[[#This Row],[EMPLOYEE NUMBER]]="","",MATCH(T_EMPLOYEES[[#This Row],[ETHNICITY]],L_ETHNICITY,0))</f>
        <v>3</v>
      </c>
      <c r="AH514">
        <f ca="1">IF(T_EMPLOYEES[[#This Row],[EMPLOYEE NUMBER]]="","",MATCH(T_EMPLOYEES[[#This Row],[LOCATION]],L_LOCATION,0))</f>
        <v>1</v>
      </c>
      <c r="AI514">
        <f ca="1">IF(T_EMPLOYEES[[#This Row],[EMPLOYEE NUMBER]]="","",MATCH(T_EMPLOYEES[[#This Row],[DEPARTMENT]],L_DEPARTMENT,0))</f>
        <v>10</v>
      </c>
      <c r="AJ514">
        <f ca="1">IF(T_EMPLOYEES[[#This Row],[EMPLOYEE NUMBER]]="","",MATCH(T_EMPLOYEES[[#This Row],[JOB TYPE]],L_JOBTYPE,0))</f>
        <v>2</v>
      </c>
      <c r="AK514">
        <f ca="1">IF(T_EMPLOYEES[[#This Row],[EMPLOYEE NUMBER]]="","",MATCH(T_EMPLOYEES[[#This Row],[JOB CATEGORY]],L_JOBCATEGORY,0))</f>
        <v>30</v>
      </c>
      <c r="AL514">
        <f ca="1">IF(T_EMPLOYEES[[#This Row],[EMPLOYEE NUMBER]]="","",MATCH(T_EMPLOYEES[[#This Row],[JOB LEVEL]],L_JOBLEVEL,0))</f>
        <v>1</v>
      </c>
      <c r="AM514">
        <f ca="1">IF(T_EMPLOYEES[[#This Row],[EMPLOYEE NUMBER]]="","",MATCH(T_EMPLOYEES[[#This Row],[JOB TITLE]],L_JOBTITLE,0))</f>
        <v>30</v>
      </c>
      <c r="AN514">
        <f ca="1">IF(T_EMPLOYEES[[#This Row],[EMPLOYEE NUMBER]]="","",MATCH(T_EMPLOYEES[[#This Row],[MANAGER]],L_EMPLABELS,0))</f>
        <v>130</v>
      </c>
      <c r="AO514">
        <f ca="1">IF(T_EMPLOYEES[[#This Row],[EMPLOYEE NUMBER]]="","",IF(T_EMPLOYEES[[#This Row],[ERROR]]="",0,1))</f>
        <v>0</v>
      </c>
      <c r="AP51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5" spans="1:42">
      <c r="A515" t="s">
        <v>1628</v>
      </c>
      <c r="B515" t="s">
        <v>1629</v>
      </c>
      <c r="C515">
        <v>1030912</v>
      </c>
      <c r="D515" t="s">
        <v>1630</v>
      </c>
      <c r="E515" s="26">
        <v>36876</v>
      </c>
      <c r="F515" s="26">
        <v>44876</v>
      </c>
      <c r="H515" t="s">
        <v>40</v>
      </c>
      <c r="I515" t="s">
        <v>54</v>
      </c>
      <c r="J515" t="s">
        <v>64</v>
      </c>
      <c r="K515" t="s">
        <v>30</v>
      </c>
      <c r="L515" s="27" t="s">
        <v>130</v>
      </c>
      <c r="M515" t="s">
        <v>46</v>
      </c>
      <c r="N515" t="s">
        <v>151</v>
      </c>
      <c r="O515" t="s">
        <v>36</v>
      </c>
      <c r="P515" t="s">
        <v>151</v>
      </c>
      <c r="Q515" t="s">
        <v>337</v>
      </c>
      <c r="R515">
        <v>0</v>
      </c>
      <c r="S515" s="1">
        <v>1200000</v>
      </c>
      <c r="T515" s="1">
        <f ca="1">ROUND(T_EMPLOYEES[[#This Row],[EMP_CTC1]]/12, 0)</f>
        <v>100000</v>
      </c>
      <c r="U515" s="1">
        <v>1000000</v>
      </c>
      <c r="V515" s="1" t="s">
        <v>1065</v>
      </c>
      <c r="W515" s="1" t="s">
        <v>1065</v>
      </c>
      <c r="X51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Komirisetty Jyotirmayi (1030912)</v>
      </c>
      <c r="Y515">
        <v>120000</v>
      </c>
      <c r="Z515" s="29">
        <f t="shared" ca="1" si="8"/>
        <v>16.666666666666664</v>
      </c>
      <c r="AA515">
        <f ca="1">IF(T_EMPLOYEES[[#This Row],[EMPLOYEE NUMBER]]="","",ROW(T_EMPLOYEES[[#This Row],[EMPLOYEE LABEL]])-ROW(T_EMPLOYEES[[#Headers],[EMPLOYEE LABEL]]))</f>
        <v>512</v>
      </c>
      <c r="AB515">
        <f ca="1">IF(T_EMPLOYEES[[#This Row],[EMPLOYEE NUMBER]]="","",IF(COUNTIF(T_EMPLOYEES[EMPLOYEE NUMBER],T_EMPLOYEES[[#This Row],[EMPLOYEE NUMBER]])&gt;1,1,0))</f>
        <v>0</v>
      </c>
      <c r="AC515">
        <f ca="1">IF(T_EMPLOYEES[[#This Row],[EMPLOYEE NUMBER]]="","",IF(AND(T_EMPLOYEES[[#This Row],[DATE OF BIRTH]]&gt;0,T_EMPLOYEES[[#This Row],[DATE OF BIRTH]]&lt;TODAY()),0,1))</f>
        <v>0</v>
      </c>
      <c r="AD515">
        <f ca="1">IF(T_EMPLOYEES[[#This Row],[EMPLOYEE NUMBER]]="","",IF(AND(T_EMPLOYEES[[#This Row],[START DATE]]&gt;0,T_EMPLOYEES[[#This Row],[START DATE]]&lt;TODAY()+60),0,1))</f>
        <v>0</v>
      </c>
      <c r="AE515">
        <f ca="1">IF(T_EMPLOYEES[[#This Row],[EMPLOYEE NUMBER]]="","",MATCH(T_EMPLOYEES[[#This Row],[GENDER]],L_GENDER,0))</f>
        <v>2</v>
      </c>
      <c r="AF515">
        <f ca="1">IF(T_EMPLOYEES[[#This Row],[EMPLOYEE NUMBER]]="","",MATCH(T_EMPLOYEES[[#This Row],[HIRE SOURCE]],L_HIRESOURCE,0))</f>
        <v>4</v>
      </c>
      <c r="AG515">
        <f ca="1">IF(T_EMPLOYEES[[#This Row],[EMPLOYEE NUMBER]]="","",MATCH(T_EMPLOYEES[[#This Row],[ETHNICITY]],L_ETHNICITY,0))</f>
        <v>3</v>
      </c>
      <c r="AH515">
        <f ca="1">IF(T_EMPLOYEES[[#This Row],[EMPLOYEE NUMBER]]="","",MATCH(T_EMPLOYEES[[#This Row],[LOCATION]],L_LOCATION,0))</f>
        <v>1</v>
      </c>
      <c r="AI515">
        <f ca="1">IF(T_EMPLOYEES[[#This Row],[EMPLOYEE NUMBER]]="","",MATCH(T_EMPLOYEES[[#This Row],[DEPARTMENT]],L_DEPARTMENT,0))</f>
        <v>16</v>
      </c>
      <c r="AJ515">
        <f ca="1">IF(T_EMPLOYEES[[#This Row],[EMPLOYEE NUMBER]]="","",MATCH(T_EMPLOYEES[[#This Row],[JOB TYPE]],L_JOBTYPE,0))</f>
        <v>2</v>
      </c>
      <c r="AK515">
        <f ca="1">IF(T_EMPLOYEES[[#This Row],[EMPLOYEE NUMBER]]="","",MATCH(T_EMPLOYEES[[#This Row],[JOB CATEGORY]],L_JOBCATEGORY,0))</f>
        <v>30</v>
      </c>
      <c r="AL515">
        <f ca="1">IF(T_EMPLOYEES[[#This Row],[EMPLOYEE NUMBER]]="","",MATCH(T_EMPLOYEES[[#This Row],[JOB LEVEL]],L_JOBLEVEL,0))</f>
        <v>1</v>
      </c>
      <c r="AM515">
        <f ca="1">IF(T_EMPLOYEES[[#This Row],[EMPLOYEE NUMBER]]="","",MATCH(T_EMPLOYEES[[#This Row],[JOB TITLE]],L_JOBTITLE,0))</f>
        <v>30</v>
      </c>
      <c r="AN515">
        <f ca="1">IF(T_EMPLOYEES[[#This Row],[EMPLOYEE NUMBER]]="","",MATCH(T_EMPLOYEES[[#This Row],[MANAGER]],L_EMPLABELS,0))</f>
        <v>48</v>
      </c>
      <c r="AO515">
        <f ca="1">IF(T_EMPLOYEES[[#This Row],[EMPLOYEE NUMBER]]="","",IF(T_EMPLOYEES[[#This Row],[ERROR]]="",0,1))</f>
        <v>0</v>
      </c>
      <c r="AP51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6" spans="1:42">
      <c r="A516" t="s">
        <v>1631</v>
      </c>
      <c r="B516" t="s">
        <v>1632</v>
      </c>
      <c r="C516">
        <v>1029784</v>
      </c>
      <c r="D516" t="s">
        <v>1633</v>
      </c>
      <c r="E516" s="26">
        <v>36880</v>
      </c>
      <c r="F516" s="26">
        <v>44783</v>
      </c>
      <c r="H516" t="s">
        <v>27</v>
      </c>
      <c r="I516" t="s">
        <v>54</v>
      </c>
      <c r="J516" t="s">
        <v>64</v>
      </c>
      <c r="K516" t="s">
        <v>30</v>
      </c>
      <c r="L516" s="27" t="s">
        <v>114</v>
      </c>
      <c r="M516" t="s">
        <v>46</v>
      </c>
      <c r="N516" t="s">
        <v>151</v>
      </c>
      <c r="O516" t="s">
        <v>36</v>
      </c>
      <c r="P516" t="s">
        <v>151</v>
      </c>
      <c r="Q516" t="s">
        <v>505</v>
      </c>
      <c r="R516" s="27">
        <v>0</v>
      </c>
      <c r="S516" s="1">
        <v>1200000</v>
      </c>
      <c r="T516" s="1">
        <f ca="1">ROUND(T_EMPLOYEES[[#This Row],[EMP_CTC1]]/12, 0)</f>
        <v>100000</v>
      </c>
      <c r="U516" s="1">
        <v>1000000</v>
      </c>
      <c r="V516" s="1" t="s">
        <v>1065</v>
      </c>
      <c r="W516" s="1" t="s">
        <v>1065</v>
      </c>
      <c r="X51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Jaison Jaideep Lobo (1029784)</v>
      </c>
      <c r="Y516">
        <v>120000</v>
      </c>
      <c r="Z516" s="29">
        <f t="shared" ca="1" si="8"/>
        <v>16.666666666666664</v>
      </c>
      <c r="AA516">
        <f ca="1">IF(T_EMPLOYEES[[#This Row],[EMPLOYEE NUMBER]]="","",ROW(T_EMPLOYEES[[#This Row],[EMPLOYEE LABEL]])-ROW(T_EMPLOYEES[[#Headers],[EMPLOYEE LABEL]]))</f>
        <v>513</v>
      </c>
      <c r="AB516">
        <f ca="1">IF(T_EMPLOYEES[[#This Row],[EMPLOYEE NUMBER]]="","",IF(COUNTIF(T_EMPLOYEES[EMPLOYEE NUMBER],T_EMPLOYEES[[#This Row],[EMPLOYEE NUMBER]])&gt;1,1,0))</f>
        <v>0</v>
      </c>
      <c r="AC516">
        <f ca="1">IF(T_EMPLOYEES[[#This Row],[EMPLOYEE NUMBER]]="","",IF(AND(T_EMPLOYEES[[#This Row],[DATE OF BIRTH]]&gt;0,T_EMPLOYEES[[#This Row],[DATE OF BIRTH]]&lt;TODAY()),0,1))</f>
        <v>0</v>
      </c>
      <c r="AD516">
        <f ca="1">IF(T_EMPLOYEES[[#This Row],[EMPLOYEE NUMBER]]="","",IF(AND(T_EMPLOYEES[[#This Row],[START DATE]]&gt;0,T_EMPLOYEES[[#This Row],[START DATE]]&lt;TODAY()+60),0,1))</f>
        <v>0</v>
      </c>
      <c r="AE516">
        <f ca="1">IF(T_EMPLOYEES[[#This Row],[EMPLOYEE NUMBER]]="","",MATCH(T_EMPLOYEES[[#This Row],[GENDER]],L_GENDER,0))</f>
        <v>1</v>
      </c>
      <c r="AF516">
        <f ca="1">IF(T_EMPLOYEES[[#This Row],[EMPLOYEE NUMBER]]="","",MATCH(T_EMPLOYEES[[#This Row],[HIRE SOURCE]],L_HIRESOURCE,0))</f>
        <v>4</v>
      </c>
      <c r="AG516">
        <f ca="1">IF(T_EMPLOYEES[[#This Row],[EMPLOYEE NUMBER]]="","",MATCH(T_EMPLOYEES[[#This Row],[ETHNICITY]],L_ETHNICITY,0))</f>
        <v>3</v>
      </c>
      <c r="AH516">
        <f ca="1">IF(T_EMPLOYEES[[#This Row],[EMPLOYEE NUMBER]]="","",MATCH(T_EMPLOYEES[[#This Row],[LOCATION]],L_LOCATION,0))</f>
        <v>1</v>
      </c>
      <c r="AI516">
        <f ca="1">IF(T_EMPLOYEES[[#This Row],[EMPLOYEE NUMBER]]="","",MATCH(T_EMPLOYEES[[#This Row],[DEPARTMENT]],L_DEPARTMENT,0))</f>
        <v>11</v>
      </c>
      <c r="AJ516">
        <f ca="1">IF(T_EMPLOYEES[[#This Row],[EMPLOYEE NUMBER]]="","",MATCH(T_EMPLOYEES[[#This Row],[JOB TYPE]],L_JOBTYPE,0))</f>
        <v>2</v>
      </c>
      <c r="AK516">
        <f ca="1">IF(T_EMPLOYEES[[#This Row],[EMPLOYEE NUMBER]]="","",MATCH(T_EMPLOYEES[[#This Row],[JOB CATEGORY]],L_JOBCATEGORY,0))</f>
        <v>30</v>
      </c>
      <c r="AL516">
        <f ca="1">IF(T_EMPLOYEES[[#This Row],[EMPLOYEE NUMBER]]="","",MATCH(T_EMPLOYEES[[#This Row],[JOB LEVEL]],L_JOBLEVEL,0))</f>
        <v>1</v>
      </c>
      <c r="AM516">
        <f ca="1">IF(T_EMPLOYEES[[#This Row],[EMPLOYEE NUMBER]]="","",MATCH(T_EMPLOYEES[[#This Row],[JOB TITLE]],L_JOBTITLE,0))</f>
        <v>30</v>
      </c>
      <c r="AN516">
        <f ca="1">IF(T_EMPLOYEES[[#This Row],[EMPLOYEE NUMBER]]="","",MATCH(T_EMPLOYEES[[#This Row],[MANAGER]],L_EMPLABELS,0))</f>
        <v>57</v>
      </c>
      <c r="AO516">
        <f ca="1">IF(T_EMPLOYEES[[#This Row],[EMPLOYEE NUMBER]]="","",IF(T_EMPLOYEES[[#This Row],[ERROR]]="",0,1))</f>
        <v>0</v>
      </c>
      <c r="AP51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7" spans="1:42">
      <c r="A517" t="s">
        <v>63</v>
      </c>
      <c r="B517" t="s">
        <v>1634</v>
      </c>
      <c r="C517">
        <v>1033134</v>
      </c>
      <c r="D517" t="s">
        <v>1635</v>
      </c>
      <c r="E517" s="26">
        <v>36882</v>
      </c>
      <c r="F517" s="26">
        <v>45140</v>
      </c>
      <c r="H517" t="s">
        <v>27</v>
      </c>
      <c r="I517" t="s">
        <v>54</v>
      </c>
      <c r="J517" t="s">
        <v>64</v>
      </c>
      <c r="K517" t="s">
        <v>30</v>
      </c>
      <c r="L517" s="27" t="s">
        <v>45</v>
      </c>
      <c r="M517" t="s">
        <v>46</v>
      </c>
      <c r="N517" t="s">
        <v>156</v>
      </c>
      <c r="O517" t="s">
        <v>36</v>
      </c>
      <c r="P517" t="s">
        <v>156</v>
      </c>
      <c r="Q517" t="s">
        <v>907</v>
      </c>
      <c r="R517">
        <v>0</v>
      </c>
      <c r="S517" s="1">
        <v>1200000</v>
      </c>
      <c r="T517" s="1">
        <f ca="1">ROUND(T_EMPLOYEES[[#This Row],[EMP_CTC1]]/12, 0)</f>
        <v>100000</v>
      </c>
      <c r="U517" s="1">
        <v>1000000</v>
      </c>
      <c r="V517" s="1" t="s">
        <v>1065</v>
      </c>
      <c r="W517" s="1" t="s">
        <v>1065</v>
      </c>
      <c r="X51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 S Thimmaiah (1033134)</v>
      </c>
      <c r="Y517">
        <v>120000</v>
      </c>
      <c r="Z517" s="29">
        <f t="shared" ca="1" si="8"/>
        <v>16.666666666666664</v>
      </c>
      <c r="AA517">
        <f ca="1">IF(T_EMPLOYEES[[#This Row],[EMPLOYEE NUMBER]]="","",ROW(T_EMPLOYEES[[#This Row],[EMPLOYEE LABEL]])-ROW(T_EMPLOYEES[[#Headers],[EMPLOYEE LABEL]]))</f>
        <v>514</v>
      </c>
      <c r="AB517">
        <f ca="1">IF(T_EMPLOYEES[[#This Row],[EMPLOYEE NUMBER]]="","",IF(COUNTIF(T_EMPLOYEES[EMPLOYEE NUMBER],T_EMPLOYEES[[#This Row],[EMPLOYEE NUMBER]])&gt;1,1,0))</f>
        <v>0</v>
      </c>
      <c r="AC517">
        <f ca="1">IF(T_EMPLOYEES[[#This Row],[EMPLOYEE NUMBER]]="","",IF(AND(T_EMPLOYEES[[#This Row],[DATE OF BIRTH]]&gt;0,T_EMPLOYEES[[#This Row],[DATE OF BIRTH]]&lt;TODAY()),0,1))</f>
        <v>0</v>
      </c>
      <c r="AD517">
        <f ca="1">IF(T_EMPLOYEES[[#This Row],[EMPLOYEE NUMBER]]="","",IF(AND(T_EMPLOYEES[[#This Row],[START DATE]]&gt;0,T_EMPLOYEES[[#This Row],[START DATE]]&lt;TODAY()+60),0,1))</f>
        <v>0</v>
      </c>
      <c r="AE517">
        <f ca="1">IF(T_EMPLOYEES[[#This Row],[EMPLOYEE NUMBER]]="","",MATCH(T_EMPLOYEES[[#This Row],[GENDER]],L_GENDER,0))</f>
        <v>1</v>
      </c>
      <c r="AF517">
        <f ca="1">IF(T_EMPLOYEES[[#This Row],[EMPLOYEE NUMBER]]="","",MATCH(T_EMPLOYEES[[#This Row],[HIRE SOURCE]],L_HIRESOURCE,0))</f>
        <v>4</v>
      </c>
      <c r="AG517">
        <f ca="1">IF(T_EMPLOYEES[[#This Row],[EMPLOYEE NUMBER]]="","",MATCH(T_EMPLOYEES[[#This Row],[ETHNICITY]],L_ETHNICITY,0))</f>
        <v>3</v>
      </c>
      <c r="AH517">
        <f ca="1">IF(T_EMPLOYEES[[#This Row],[EMPLOYEE NUMBER]]="","",MATCH(T_EMPLOYEES[[#This Row],[LOCATION]],L_LOCATION,0))</f>
        <v>1</v>
      </c>
      <c r="AI517">
        <f ca="1">IF(T_EMPLOYEES[[#This Row],[EMPLOYEE NUMBER]]="","",MATCH(T_EMPLOYEES[[#This Row],[DEPARTMENT]],L_DEPARTMENT,0))</f>
        <v>2</v>
      </c>
      <c r="AJ517">
        <f ca="1">IF(T_EMPLOYEES[[#This Row],[EMPLOYEE NUMBER]]="","",MATCH(T_EMPLOYEES[[#This Row],[JOB TYPE]],L_JOBTYPE,0))</f>
        <v>2</v>
      </c>
      <c r="AK517">
        <f ca="1">IF(T_EMPLOYEES[[#This Row],[EMPLOYEE NUMBER]]="","",MATCH(T_EMPLOYEES[[#This Row],[JOB CATEGORY]],L_JOBCATEGORY,0))</f>
        <v>35</v>
      </c>
      <c r="AL517">
        <f ca="1">IF(T_EMPLOYEES[[#This Row],[EMPLOYEE NUMBER]]="","",MATCH(T_EMPLOYEES[[#This Row],[JOB LEVEL]],L_JOBLEVEL,0))</f>
        <v>1</v>
      </c>
      <c r="AM517">
        <f ca="1">IF(T_EMPLOYEES[[#This Row],[EMPLOYEE NUMBER]]="","",MATCH(T_EMPLOYEES[[#This Row],[JOB TITLE]],L_JOBTITLE,0))</f>
        <v>35</v>
      </c>
      <c r="AN517">
        <f ca="1">IF(T_EMPLOYEES[[#This Row],[EMPLOYEE NUMBER]]="","",MATCH(T_EMPLOYEES[[#This Row],[MANAGER]],L_EMPLABELS,0))</f>
        <v>108</v>
      </c>
      <c r="AO517">
        <f ca="1">IF(T_EMPLOYEES[[#This Row],[EMPLOYEE NUMBER]]="","",IF(T_EMPLOYEES[[#This Row],[ERROR]]="",0,1))</f>
        <v>0</v>
      </c>
      <c r="AP51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8" spans="1:42">
      <c r="A518" t="s">
        <v>1636</v>
      </c>
      <c r="B518" t="s">
        <v>1637</v>
      </c>
      <c r="C518">
        <v>1032869</v>
      </c>
      <c r="D518" t="s">
        <v>1638</v>
      </c>
      <c r="E518" s="26">
        <v>36890</v>
      </c>
      <c r="F518" s="26">
        <v>45075</v>
      </c>
      <c r="H518" t="s">
        <v>40</v>
      </c>
      <c r="I518" t="s">
        <v>54</v>
      </c>
      <c r="J518" t="s">
        <v>64</v>
      </c>
      <c r="K518" t="s">
        <v>30</v>
      </c>
      <c r="L518" s="27" t="s">
        <v>45</v>
      </c>
      <c r="M518" t="s">
        <v>46</v>
      </c>
      <c r="N518" t="s">
        <v>151</v>
      </c>
      <c r="O518" t="s">
        <v>36</v>
      </c>
      <c r="P518" t="s">
        <v>151</v>
      </c>
      <c r="Q518" t="s">
        <v>907</v>
      </c>
      <c r="R518" s="27">
        <v>0</v>
      </c>
      <c r="S518" s="1">
        <v>1200000</v>
      </c>
      <c r="T518" s="1">
        <f ca="1">ROUND(T_EMPLOYEES[[#This Row],[EMP_CTC1]]/12, 0)</f>
        <v>100000</v>
      </c>
      <c r="U518" s="1">
        <v>1000000</v>
      </c>
      <c r="V518" s="1" t="s">
        <v>1065</v>
      </c>
      <c r="W518" s="1" t="s">
        <v>1065</v>
      </c>
      <c r="X51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Kedarisetty Sruthi (1032869)</v>
      </c>
      <c r="Y518">
        <v>120000</v>
      </c>
      <c r="Z518" s="29">
        <f t="shared" ref="Z518:Z581" ca="1" si="9">(S518 - U518)/S518 * 100</f>
        <v>16.666666666666664</v>
      </c>
      <c r="AA518">
        <f ca="1">IF(T_EMPLOYEES[[#This Row],[EMPLOYEE NUMBER]]="","",ROW(T_EMPLOYEES[[#This Row],[EMPLOYEE LABEL]])-ROW(T_EMPLOYEES[[#Headers],[EMPLOYEE LABEL]]))</f>
        <v>515</v>
      </c>
      <c r="AB518">
        <f ca="1">IF(T_EMPLOYEES[[#This Row],[EMPLOYEE NUMBER]]="","",IF(COUNTIF(T_EMPLOYEES[EMPLOYEE NUMBER],T_EMPLOYEES[[#This Row],[EMPLOYEE NUMBER]])&gt;1,1,0))</f>
        <v>0</v>
      </c>
      <c r="AC518">
        <f ca="1">IF(T_EMPLOYEES[[#This Row],[EMPLOYEE NUMBER]]="","",IF(AND(T_EMPLOYEES[[#This Row],[DATE OF BIRTH]]&gt;0,T_EMPLOYEES[[#This Row],[DATE OF BIRTH]]&lt;TODAY()),0,1))</f>
        <v>0</v>
      </c>
      <c r="AD518">
        <f ca="1">IF(T_EMPLOYEES[[#This Row],[EMPLOYEE NUMBER]]="","",IF(AND(T_EMPLOYEES[[#This Row],[START DATE]]&gt;0,T_EMPLOYEES[[#This Row],[START DATE]]&lt;TODAY()+60),0,1))</f>
        <v>0</v>
      </c>
      <c r="AE518">
        <f ca="1">IF(T_EMPLOYEES[[#This Row],[EMPLOYEE NUMBER]]="","",MATCH(T_EMPLOYEES[[#This Row],[GENDER]],L_GENDER,0))</f>
        <v>2</v>
      </c>
      <c r="AF518">
        <f ca="1">IF(T_EMPLOYEES[[#This Row],[EMPLOYEE NUMBER]]="","",MATCH(T_EMPLOYEES[[#This Row],[HIRE SOURCE]],L_HIRESOURCE,0))</f>
        <v>4</v>
      </c>
      <c r="AG518">
        <f ca="1">IF(T_EMPLOYEES[[#This Row],[EMPLOYEE NUMBER]]="","",MATCH(T_EMPLOYEES[[#This Row],[ETHNICITY]],L_ETHNICITY,0))</f>
        <v>3</v>
      </c>
      <c r="AH518">
        <f ca="1">IF(T_EMPLOYEES[[#This Row],[EMPLOYEE NUMBER]]="","",MATCH(T_EMPLOYEES[[#This Row],[LOCATION]],L_LOCATION,0))</f>
        <v>1</v>
      </c>
      <c r="AI518">
        <f ca="1">IF(T_EMPLOYEES[[#This Row],[EMPLOYEE NUMBER]]="","",MATCH(T_EMPLOYEES[[#This Row],[DEPARTMENT]],L_DEPARTMENT,0))</f>
        <v>2</v>
      </c>
      <c r="AJ518">
        <f ca="1">IF(T_EMPLOYEES[[#This Row],[EMPLOYEE NUMBER]]="","",MATCH(T_EMPLOYEES[[#This Row],[JOB TYPE]],L_JOBTYPE,0))</f>
        <v>2</v>
      </c>
      <c r="AK518">
        <f ca="1">IF(T_EMPLOYEES[[#This Row],[EMPLOYEE NUMBER]]="","",MATCH(T_EMPLOYEES[[#This Row],[JOB CATEGORY]],L_JOBCATEGORY,0))</f>
        <v>30</v>
      </c>
      <c r="AL518">
        <f ca="1">IF(T_EMPLOYEES[[#This Row],[EMPLOYEE NUMBER]]="","",MATCH(T_EMPLOYEES[[#This Row],[JOB LEVEL]],L_JOBLEVEL,0))</f>
        <v>1</v>
      </c>
      <c r="AM518">
        <f ca="1">IF(T_EMPLOYEES[[#This Row],[EMPLOYEE NUMBER]]="","",MATCH(T_EMPLOYEES[[#This Row],[JOB TITLE]],L_JOBTITLE,0))</f>
        <v>30</v>
      </c>
      <c r="AN518">
        <f ca="1">IF(T_EMPLOYEES[[#This Row],[EMPLOYEE NUMBER]]="","",MATCH(T_EMPLOYEES[[#This Row],[MANAGER]],L_EMPLABELS,0))</f>
        <v>108</v>
      </c>
      <c r="AO518">
        <f ca="1">IF(T_EMPLOYEES[[#This Row],[EMPLOYEE NUMBER]]="","",IF(T_EMPLOYEES[[#This Row],[ERROR]]="",0,1))</f>
        <v>0</v>
      </c>
      <c r="AP51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9" spans="1:42">
      <c r="A519" t="s">
        <v>1639</v>
      </c>
      <c r="B519" t="s">
        <v>1640</v>
      </c>
      <c r="C519">
        <v>1030219</v>
      </c>
      <c r="D519" t="s">
        <v>1641</v>
      </c>
      <c r="E519" s="26">
        <v>36901</v>
      </c>
      <c r="F519" s="26">
        <v>44819</v>
      </c>
      <c r="H519" t="s">
        <v>27</v>
      </c>
      <c r="I519" t="s">
        <v>54</v>
      </c>
      <c r="J519" t="s">
        <v>64</v>
      </c>
      <c r="K519" t="s">
        <v>30</v>
      </c>
      <c r="L519" s="27" t="s">
        <v>114</v>
      </c>
      <c r="M519" t="s">
        <v>46</v>
      </c>
      <c r="N519" t="s">
        <v>151</v>
      </c>
      <c r="O519" t="s">
        <v>36</v>
      </c>
      <c r="P519" t="s">
        <v>151</v>
      </c>
      <c r="Q519" t="s">
        <v>505</v>
      </c>
      <c r="R519">
        <v>0</v>
      </c>
      <c r="S519" s="1">
        <v>1200000</v>
      </c>
      <c r="T519" s="1">
        <f ca="1">ROUND(T_EMPLOYEES[[#This Row],[EMP_CTC1]]/12, 0)</f>
        <v>100000</v>
      </c>
      <c r="U519" s="1">
        <v>1000000</v>
      </c>
      <c r="V519" s="1" t="s">
        <v>1065</v>
      </c>
      <c r="W519" s="1" t="s">
        <v>1065</v>
      </c>
      <c r="X51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Vijay Kumar S (1030219)</v>
      </c>
      <c r="Y519">
        <v>120000</v>
      </c>
      <c r="Z519" s="29">
        <f t="shared" ca="1" si="9"/>
        <v>16.666666666666664</v>
      </c>
      <c r="AA519">
        <f ca="1">IF(T_EMPLOYEES[[#This Row],[EMPLOYEE NUMBER]]="","",ROW(T_EMPLOYEES[[#This Row],[EMPLOYEE LABEL]])-ROW(T_EMPLOYEES[[#Headers],[EMPLOYEE LABEL]]))</f>
        <v>516</v>
      </c>
      <c r="AB519">
        <f ca="1">IF(T_EMPLOYEES[[#This Row],[EMPLOYEE NUMBER]]="","",IF(COUNTIF(T_EMPLOYEES[EMPLOYEE NUMBER],T_EMPLOYEES[[#This Row],[EMPLOYEE NUMBER]])&gt;1,1,0))</f>
        <v>0</v>
      </c>
      <c r="AC519">
        <f ca="1">IF(T_EMPLOYEES[[#This Row],[EMPLOYEE NUMBER]]="","",IF(AND(T_EMPLOYEES[[#This Row],[DATE OF BIRTH]]&gt;0,T_EMPLOYEES[[#This Row],[DATE OF BIRTH]]&lt;TODAY()),0,1))</f>
        <v>0</v>
      </c>
      <c r="AD519">
        <f ca="1">IF(T_EMPLOYEES[[#This Row],[EMPLOYEE NUMBER]]="","",IF(AND(T_EMPLOYEES[[#This Row],[START DATE]]&gt;0,T_EMPLOYEES[[#This Row],[START DATE]]&lt;TODAY()+60),0,1))</f>
        <v>0</v>
      </c>
      <c r="AE519">
        <f ca="1">IF(T_EMPLOYEES[[#This Row],[EMPLOYEE NUMBER]]="","",MATCH(T_EMPLOYEES[[#This Row],[GENDER]],L_GENDER,0))</f>
        <v>1</v>
      </c>
      <c r="AF519">
        <f ca="1">IF(T_EMPLOYEES[[#This Row],[EMPLOYEE NUMBER]]="","",MATCH(T_EMPLOYEES[[#This Row],[HIRE SOURCE]],L_HIRESOURCE,0))</f>
        <v>4</v>
      </c>
      <c r="AG519">
        <f ca="1">IF(T_EMPLOYEES[[#This Row],[EMPLOYEE NUMBER]]="","",MATCH(T_EMPLOYEES[[#This Row],[ETHNICITY]],L_ETHNICITY,0))</f>
        <v>3</v>
      </c>
      <c r="AH519">
        <f ca="1">IF(T_EMPLOYEES[[#This Row],[EMPLOYEE NUMBER]]="","",MATCH(T_EMPLOYEES[[#This Row],[LOCATION]],L_LOCATION,0))</f>
        <v>1</v>
      </c>
      <c r="AI519">
        <f ca="1">IF(T_EMPLOYEES[[#This Row],[EMPLOYEE NUMBER]]="","",MATCH(T_EMPLOYEES[[#This Row],[DEPARTMENT]],L_DEPARTMENT,0))</f>
        <v>11</v>
      </c>
      <c r="AJ519">
        <f ca="1">IF(T_EMPLOYEES[[#This Row],[EMPLOYEE NUMBER]]="","",MATCH(T_EMPLOYEES[[#This Row],[JOB TYPE]],L_JOBTYPE,0))</f>
        <v>2</v>
      </c>
      <c r="AK519">
        <f ca="1">IF(T_EMPLOYEES[[#This Row],[EMPLOYEE NUMBER]]="","",MATCH(T_EMPLOYEES[[#This Row],[JOB CATEGORY]],L_JOBCATEGORY,0))</f>
        <v>30</v>
      </c>
      <c r="AL519">
        <f ca="1">IF(T_EMPLOYEES[[#This Row],[EMPLOYEE NUMBER]]="","",MATCH(T_EMPLOYEES[[#This Row],[JOB LEVEL]],L_JOBLEVEL,0))</f>
        <v>1</v>
      </c>
      <c r="AM519">
        <f ca="1">IF(T_EMPLOYEES[[#This Row],[EMPLOYEE NUMBER]]="","",MATCH(T_EMPLOYEES[[#This Row],[JOB TITLE]],L_JOBTITLE,0))</f>
        <v>30</v>
      </c>
      <c r="AN519">
        <f ca="1">IF(T_EMPLOYEES[[#This Row],[EMPLOYEE NUMBER]]="","",MATCH(T_EMPLOYEES[[#This Row],[MANAGER]],L_EMPLABELS,0))</f>
        <v>57</v>
      </c>
      <c r="AO519">
        <f ca="1">IF(T_EMPLOYEES[[#This Row],[EMPLOYEE NUMBER]]="","",IF(T_EMPLOYEES[[#This Row],[ERROR]]="",0,1))</f>
        <v>0</v>
      </c>
      <c r="AP51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0" spans="1:42">
      <c r="A520" t="s">
        <v>1468</v>
      </c>
      <c r="B520" t="s">
        <v>594</v>
      </c>
      <c r="C520">
        <v>1029867</v>
      </c>
      <c r="D520" t="s">
        <v>1642</v>
      </c>
      <c r="E520" s="26">
        <v>36903</v>
      </c>
      <c r="F520" s="26">
        <v>44791</v>
      </c>
      <c r="H520" t="s">
        <v>27</v>
      </c>
      <c r="I520" t="s">
        <v>54</v>
      </c>
      <c r="J520" t="s">
        <v>64</v>
      </c>
      <c r="K520" t="s">
        <v>30</v>
      </c>
      <c r="L520" s="27" t="s">
        <v>114</v>
      </c>
      <c r="M520" t="s">
        <v>46</v>
      </c>
      <c r="N520" t="s">
        <v>151</v>
      </c>
      <c r="O520" t="s">
        <v>36</v>
      </c>
      <c r="P520" t="s">
        <v>151</v>
      </c>
      <c r="Q520" t="s">
        <v>468</v>
      </c>
      <c r="R520" s="27">
        <v>0</v>
      </c>
      <c r="S520" s="1">
        <v>1200000</v>
      </c>
      <c r="T520" s="1">
        <f ca="1">ROUND(T_EMPLOYEES[[#This Row],[EMP_CTC1]]/12, 0)</f>
        <v>100000</v>
      </c>
      <c r="U520" s="1">
        <v>1000000</v>
      </c>
      <c r="V520" s="1" t="s">
        <v>1065</v>
      </c>
      <c r="W520" s="1" t="s">
        <v>1065</v>
      </c>
      <c r="X52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Gaurav Sharma (1029867)</v>
      </c>
      <c r="Y520">
        <v>120000</v>
      </c>
      <c r="Z520" s="29">
        <f t="shared" ca="1" si="9"/>
        <v>16.666666666666664</v>
      </c>
      <c r="AA520">
        <f ca="1">IF(T_EMPLOYEES[[#This Row],[EMPLOYEE NUMBER]]="","",ROW(T_EMPLOYEES[[#This Row],[EMPLOYEE LABEL]])-ROW(T_EMPLOYEES[[#Headers],[EMPLOYEE LABEL]]))</f>
        <v>517</v>
      </c>
      <c r="AB520">
        <f ca="1">IF(T_EMPLOYEES[[#This Row],[EMPLOYEE NUMBER]]="","",IF(COUNTIF(T_EMPLOYEES[EMPLOYEE NUMBER],T_EMPLOYEES[[#This Row],[EMPLOYEE NUMBER]])&gt;1,1,0))</f>
        <v>0</v>
      </c>
      <c r="AC520">
        <f ca="1">IF(T_EMPLOYEES[[#This Row],[EMPLOYEE NUMBER]]="","",IF(AND(T_EMPLOYEES[[#This Row],[DATE OF BIRTH]]&gt;0,T_EMPLOYEES[[#This Row],[DATE OF BIRTH]]&lt;TODAY()),0,1))</f>
        <v>0</v>
      </c>
      <c r="AD520">
        <f ca="1">IF(T_EMPLOYEES[[#This Row],[EMPLOYEE NUMBER]]="","",IF(AND(T_EMPLOYEES[[#This Row],[START DATE]]&gt;0,T_EMPLOYEES[[#This Row],[START DATE]]&lt;TODAY()+60),0,1))</f>
        <v>0</v>
      </c>
      <c r="AE520">
        <f ca="1">IF(T_EMPLOYEES[[#This Row],[EMPLOYEE NUMBER]]="","",MATCH(T_EMPLOYEES[[#This Row],[GENDER]],L_GENDER,0))</f>
        <v>1</v>
      </c>
      <c r="AF520">
        <f ca="1">IF(T_EMPLOYEES[[#This Row],[EMPLOYEE NUMBER]]="","",MATCH(T_EMPLOYEES[[#This Row],[HIRE SOURCE]],L_HIRESOURCE,0))</f>
        <v>4</v>
      </c>
      <c r="AG520">
        <f ca="1">IF(T_EMPLOYEES[[#This Row],[EMPLOYEE NUMBER]]="","",MATCH(T_EMPLOYEES[[#This Row],[ETHNICITY]],L_ETHNICITY,0))</f>
        <v>3</v>
      </c>
      <c r="AH520">
        <f ca="1">IF(T_EMPLOYEES[[#This Row],[EMPLOYEE NUMBER]]="","",MATCH(T_EMPLOYEES[[#This Row],[LOCATION]],L_LOCATION,0))</f>
        <v>1</v>
      </c>
      <c r="AI520">
        <f ca="1">IF(T_EMPLOYEES[[#This Row],[EMPLOYEE NUMBER]]="","",MATCH(T_EMPLOYEES[[#This Row],[DEPARTMENT]],L_DEPARTMENT,0))</f>
        <v>11</v>
      </c>
      <c r="AJ520">
        <f ca="1">IF(T_EMPLOYEES[[#This Row],[EMPLOYEE NUMBER]]="","",MATCH(T_EMPLOYEES[[#This Row],[JOB TYPE]],L_JOBTYPE,0))</f>
        <v>2</v>
      </c>
      <c r="AK520">
        <f ca="1">IF(T_EMPLOYEES[[#This Row],[EMPLOYEE NUMBER]]="","",MATCH(T_EMPLOYEES[[#This Row],[JOB CATEGORY]],L_JOBCATEGORY,0))</f>
        <v>30</v>
      </c>
      <c r="AL520">
        <f ca="1">IF(T_EMPLOYEES[[#This Row],[EMPLOYEE NUMBER]]="","",MATCH(T_EMPLOYEES[[#This Row],[JOB LEVEL]],L_JOBLEVEL,0))</f>
        <v>1</v>
      </c>
      <c r="AM520">
        <f ca="1">IF(T_EMPLOYEES[[#This Row],[EMPLOYEE NUMBER]]="","",MATCH(T_EMPLOYEES[[#This Row],[JOB TITLE]],L_JOBTITLE,0))</f>
        <v>30</v>
      </c>
      <c r="AN520">
        <f ca="1">IF(T_EMPLOYEES[[#This Row],[EMPLOYEE NUMBER]]="","",MATCH(T_EMPLOYEES[[#This Row],[MANAGER]],L_EMPLABELS,0))</f>
        <v>56</v>
      </c>
      <c r="AO520">
        <f ca="1">IF(T_EMPLOYEES[[#This Row],[EMPLOYEE NUMBER]]="","",IF(T_EMPLOYEES[[#This Row],[ERROR]]="",0,1))</f>
        <v>0</v>
      </c>
      <c r="AP52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1" spans="1:42">
      <c r="A521" t="s">
        <v>889</v>
      </c>
      <c r="B521" t="s">
        <v>1643</v>
      </c>
      <c r="C521">
        <v>1029303</v>
      </c>
      <c r="D521" t="s">
        <v>1644</v>
      </c>
      <c r="E521" s="26">
        <v>36909</v>
      </c>
      <c r="F521" s="26">
        <v>44729</v>
      </c>
      <c r="H521" t="s">
        <v>27</v>
      </c>
      <c r="I521" t="s">
        <v>54</v>
      </c>
      <c r="J521" t="s">
        <v>64</v>
      </c>
      <c r="K521" t="s">
        <v>30</v>
      </c>
      <c r="L521" s="27" t="s">
        <v>114</v>
      </c>
      <c r="M521" t="s">
        <v>46</v>
      </c>
      <c r="N521" t="s">
        <v>151</v>
      </c>
      <c r="O521" t="s">
        <v>36</v>
      </c>
      <c r="P521" t="s">
        <v>151</v>
      </c>
      <c r="Q521" t="s">
        <v>206</v>
      </c>
      <c r="R521">
        <v>0</v>
      </c>
      <c r="S521" s="1">
        <v>1200000</v>
      </c>
      <c r="T521" s="1">
        <f ca="1">ROUND(T_EMPLOYEES[[#This Row],[EMP_CTC1]]/12, 0)</f>
        <v>100000</v>
      </c>
      <c r="U521" s="1">
        <v>1000000</v>
      </c>
      <c r="V521" s="1" t="s">
        <v>1065</v>
      </c>
      <c r="W521" s="1" t="s">
        <v>1065</v>
      </c>
      <c r="X52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Dinesh Arjun T (1029303)</v>
      </c>
      <c r="Y521">
        <v>120000</v>
      </c>
      <c r="Z521" s="29">
        <f t="shared" ca="1" si="9"/>
        <v>16.666666666666664</v>
      </c>
      <c r="AA521">
        <f ca="1">IF(T_EMPLOYEES[[#This Row],[EMPLOYEE NUMBER]]="","",ROW(T_EMPLOYEES[[#This Row],[EMPLOYEE LABEL]])-ROW(T_EMPLOYEES[[#Headers],[EMPLOYEE LABEL]]))</f>
        <v>518</v>
      </c>
      <c r="AB521">
        <f ca="1">IF(T_EMPLOYEES[[#This Row],[EMPLOYEE NUMBER]]="","",IF(COUNTIF(T_EMPLOYEES[EMPLOYEE NUMBER],T_EMPLOYEES[[#This Row],[EMPLOYEE NUMBER]])&gt;1,1,0))</f>
        <v>0</v>
      </c>
      <c r="AC521">
        <f ca="1">IF(T_EMPLOYEES[[#This Row],[EMPLOYEE NUMBER]]="","",IF(AND(T_EMPLOYEES[[#This Row],[DATE OF BIRTH]]&gt;0,T_EMPLOYEES[[#This Row],[DATE OF BIRTH]]&lt;TODAY()),0,1))</f>
        <v>0</v>
      </c>
      <c r="AD521">
        <f ca="1">IF(T_EMPLOYEES[[#This Row],[EMPLOYEE NUMBER]]="","",IF(AND(T_EMPLOYEES[[#This Row],[START DATE]]&gt;0,T_EMPLOYEES[[#This Row],[START DATE]]&lt;TODAY()+60),0,1))</f>
        <v>0</v>
      </c>
      <c r="AE521">
        <f ca="1">IF(T_EMPLOYEES[[#This Row],[EMPLOYEE NUMBER]]="","",MATCH(T_EMPLOYEES[[#This Row],[GENDER]],L_GENDER,0))</f>
        <v>1</v>
      </c>
      <c r="AF521">
        <f ca="1">IF(T_EMPLOYEES[[#This Row],[EMPLOYEE NUMBER]]="","",MATCH(T_EMPLOYEES[[#This Row],[HIRE SOURCE]],L_HIRESOURCE,0))</f>
        <v>4</v>
      </c>
      <c r="AG521">
        <f ca="1">IF(T_EMPLOYEES[[#This Row],[EMPLOYEE NUMBER]]="","",MATCH(T_EMPLOYEES[[#This Row],[ETHNICITY]],L_ETHNICITY,0))</f>
        <v>3</v>
      </c>
      <c r="AH521">
        <f ca="1">IF(T_EMPLOYEES[[#This Row],[EMPLOYEE NUMBER]]="","",MATCH(T_EMPLOYEES[[#This Row],[LOCATION]],L_LOCATION,0))</f>
        <v>1</v>
      </c>
      <c r="AI521">
        <f ca="1">IF(T_EMPLOYEES[[#This Row],[EMPLOYEE NUMBER]]="","",MATCH(T_EMPLOYEES[[#This Row],[DEPARTMENT]],L_DEPARTMENT,0))</f>
        <v>11</v>
      </c>
      <c r="AJ521">
        <f ca="1">IF(T_EMPLOYEES[[#This Row],[EMPLOYEE NUMBER]]="","",MATCH(T_EMPLOYEES[[#This Row],[JOB TYPE]],L_JOBTYPE,0))</f>
        <v>2</v>
      </c>
      <c r="AK521">
        <f ca="1">IF(T_EMPLOYEES[[#This Row],[EMPLOYEE NUMBER]]="","",MATCH(T_EMPLOYEES[[#This Row],[JOB CATEGORY]],L_JOBCATEGORY,0))</f>
        <v>30</v>
      </c>
      <c r="AL521">
        <f ca="1">IF(T_EMPLOYEES[[#This Row],[EMPLOYEE NUMBER]]="","",MATCH(T_EMPLOYEES[[#This Row],[JOB LEVEL]],L_JOBLEVEL,0))</f>
        <v>1</v>
      </c>
      <c r="AM521">
        <f ca="1">IF(T_EMPLOYEES[[#This Row],[EMPLOYEE NUMBER]]="","",MATCH(T_EMPLOYEES[[#This Row],[JOB TITLE]],L_JOBTITLE,0))</f>
        <v>30</v>
      </c>
      <c r="AN521">
        <f ca="1">IF(T_EMPLOYEES[[#This Row],[EMPLOYEE NUMBER]]="","",MATCH(T_EMPLOYEES[[#This Row],[MANAGER]],L_EMPLABELS,0))</f>
        <v>6</v>
      </c>
      <c r="AO521">
        <f ca="1">IF(T_EMPLOYEES[[#This Row],[EMPLOYEE NUMBER]]="","",IF(T_EMPLOYEES[[#This Row],[ERROR]]="",0,1))</f>
        <v>0</v>
      </c>
      <c r="AP52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2" spans="1:42">
      <c r="A522" t="s">
        <v>1645</v>
      </c>
      <c r="B522" t="s">
        <v>293</v>
      </c>
      <c r="C522">
        <v>1033232</v>
      </c>
      <c r="D522" t="s">
        <v>1646</v>
      </c>
      <c r="E522" s="26">
        <v>36911</v>
      </c>
      <c r="F522" s="26">
        <v>45155</v>
      </c>
      <c r="H522" t="s">
        <v>27</v>
      </c>
      <c r="I522" t="s">
        <v>54</v>
      </c>
      <c r="J522" t="s">
        <v>64</v>
      </c>
      <c r="K522" t="s">
        <v>30</v>
      </c>
      <c r="L522" s="27" t="s">
        <v>114</v>
      </c>
      <c r="M522" t="s">
        <v>46</v>
      </c>
      <c r="N522" t="s">
        <v>151</v>
      </c>
      <c r="O522" t="s">
        <v>36</v>
      </c>
      <c r="P522" t="s">
        <v>151</v>
      </c>
      <c r="Q522" t="s">
        <v>468</v>
      </c>
      <c r="R522" s="27">
        <v>0</v>
      </c>
      <c r="S522" s="1">
        <v>1200000</v>
      </c>
      <c r="T522" s="1">
        <f ca="1">ROUND(T_EMPLOYEES[[#This Row],[EMP_CTC1]]/12, 0)</f>
        <v>100000</v>
      </c>
      <c r="U522" s="1">
        <v>1000000</v>
      </c>
      <c r="V522" s="1" t="s">
        <v>1065</v>
      </c>
      <c r="W522" s="1" t="s">
        <v>1065</v>
      </c>
      <c r="X52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Harsh Kumar (1033232)</v>
      </c>
      <c r="Y522">
        <v>120000</v>
      </c>
      <c r="Z522" s="29">
        <f t="shared" ca="1" si="9"/>
        <v>16.666666666666664</v>
      </c>
      <c r="AA522">
        <f ca="1">IF(T_EMPLOYEES[[#This Row],[EMPLOYEE NUMBER]]="","",ROW(T_EMPLOYEES[[#This Row],[EMPLOYEE LABEL]])-ROW(T_EMPLOYEES[[#Headers],[EMPLOYEE LABEL]]))</f>
        <v>519</v>
      </c>
      <c r="AB522">
        <f ca="1">IF(T_EMPLOYEES[[#This Row],[EMPLOYEE NUMBER]]="","",IF(COUNTIF(T_EMPLOYEES[EMPLOYEE NUMBER],T_EMPLOYEES[[#This Row],[EMPLOYEE NUMBER]])&gt;1,1,0))</f>
        <v>0</v>
      </c>
      <c r="AC522">
        <f ca="1">IF(T_EMPLOYEES[[#This Row],[EMPLOYEE NUMBER]]="","",IF(AND(T_EMPLOYEES[[#This Row],[DATE OF BIRTH]]&gt;0,T_EMPLOYEES[[#This Row],[DATE OF BIRTH]]&lt;TODAY()),0,1))</f>
        <v>0</v>
      </c>
      <c r="AD522">
        <f ca="1">IF(T_EMPLOYEES[[#This Row],[EMPLOYEE NUMBER]]="","",IF(AND(T_EMPLOYEES[[#This Row],[START DATE]]&gt;0,T_EMPLOYEES[[#This Row],[START DATE]]&lt;TODAY()+60),0,1))</f>
        <v>0</v>
      </c>
      <c r="AE522">
        <f ca="1">IF(T_EMPLOYEES[[#This Row],[EMPLOYEE NUMBER]]="","",MATCH(T_EMPLOYEES[[#This Row],[GENDER]],L_GENDER,0))</f>
        <v>1</v>
      </c>
      <c r="AF522">
        <f ca="1">IF(T_EMPLOYEES[[#This Row],[EMPLOYEE NUMBER]]="","",MATCH(T_EMPLOYEES[[#This Row],[HIRE SOURCE]],L_HIRESOURCE,0))</f>
        <v>4</v>
      </c>
      <c r="AG522">
        <f ca="1">IF(T_EMPLOYEES[[#This Row],[EMPLOYEE NUMBER]]="","",MATCH(T_EMPLOYEES[[#This Row],[ETHNICITY]],L_ETHNICITY,0))</f>
        <v>3</v>
      </c>
      <c r="AH522">
        <f ca="1">IF(T_EMPLOYEES[[#This Row],[EMPLOYEE NUMBER]]="","",MATCH(T_EMPLOYEES[[#This Row],[LOCATION]],L_LOCATION,0))</f>
        <v>1</v>
      </c>
      <c r="AI522">
        <f ca="1">IF(T_EMPLOYEES[[#This Row],[EMPLOYEE NUMBER]]="","",MATCH(T_EMPLOYEES[[#This Row],[DEPARTMENT]],L_DEPARTMENT,0))</f>
        <v>11</v>
      </c>
      <c r="AJ522">
        <f ca="1">IF(T_EMPLOYEES[[#This Row],[EMPLOYEE NUMBER]]="","",MATCH(T_EMPLOYEES[[#This Row],[JOB TYPE]],L_JOBTYPE,0))</f>
        <v>2</v>
      </c>
      <c r="AK522">
        <f ca="1">IF(T_EMPLOYEES[[#This Row],[EMPLOYEE NUMBER]]="","",MATCH(T_EMPLOYEES[[#This Row],[JOB CATEGORY]],L_JOBCATEGORY,0))</f>
        <v>30</v>
      </c>
      <c r="AL522">
        <f ca="1">IF(T_EMPLOYEES[[#This Row],[EMPLOYEE NUMBER]]="","",MATCH(T_EMPLOYEES[[#This Row],[JOB LEVEL]],L_JOBLEVEL,0))</f>
        <v>1</v>
      </c>
      <c r="AM522">
        <f ca="1">IF(T_EMPLOYEES[[#This Row],[EMPLOYEE NUMBER]]="","",MATCH(T_EMPLOYEES[[#This Row],[JOB TITLE]],L_JOBTITLE,0))</f>
        <v>30</v>
      </c>
      <c r="AN522">
        <f ca="1">IF(T_EMPLOYEES[[#This Row],[EMPLOYEE NUMBER]]="","",MATCH(T_EMPLOYEES[[#This Row],[MANAGER]],L_EMPLABELS,0))</f>
        <v>56</v>
      </c>
      <c r="AO522">
        <f ca="1">IF(T_EMPLOYEES[[#This Row],[EMPLOYEE NUMBER]]="","",IF(T_EMPLOYEES[[#This Row],[ERROR]]="",0,1))</f>
        <v>0</v>
      </c>
      <c r="AP52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3" spans="1:42">
      <c r="A523" t="s">
        <v>1647</v>
      </c>
      <c r="B523" t="s">
        <v>1648</v>
      </c>
      <c r="C523">
        <v>1029909</v>
      </c>
      <c r="D523" t="s">
        <v>1649</v>
      </c>
      <c r="E523" s="26">
        <v>36913</v>
      </c>
      <c r="F523" s="26">
        <v>44791</v>
      </c>
      <c r="H523" t="s">
        <v>27</v>
      </c>
      <c r="I523" t="s">
        <v>54</v>
      </c>
      <c r="J523" t="s">
        <v>64</v>
      </c>
      <c r="K523" t="s">
        <v>30</v>
      </c>
      <c r="L523" s="27" t="s">
        <v>114</v>
      </c>
      <c r="M523" t="s">
        <v>46</v>
      </c>
      <c r="N523" t="s">
        <v>151</v>
      </c>
      <c r="O523" t="s">
        <v>36</v>
      </c>
      <c r="P523" t="s">
        <v>151</v>
      </c>
      <c r="Q523" t="s">
        <v>505</v>
      </c>
      <c r="R523">
        <v>0</v>
      </c>
      <c r="S523" s="1">
        <v>1200000</v>
      </c>
      <c r="T523" s="1">
        <f ca="1">ROUND(T_EMPLOYEES[[#This Row],[EMP_CTC1]]/12, 0)</f>
        <v>100000</v>
      </c>
      <c r="U523" s="1">
        <v>1000000</v>
      </c>
      <c r="V523" s="1" t="s">
        <v>1065</v>
      </c>
      <c r="W523" s="1" t="s">
        <v>1065</v>
      </c>
      <c r="X52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Kodithyala Sumanth Chandra (1029909)</v>
      </c>
      <c r="Y523">
        <v>120000</v>
      </c>
      <c r="Z523" s="29">
        <f t="shared" ca="1" si="9"/>
        <v>16.666666666666664</v>
      </c>
      <c r="AA523">
        <f ca="1">IF(T_EMPLOYEES[[#This Row],[EMPLOYEE NUMBER]]="","",ROW(T_EMPLOYEES[[#This Row],[EMPLOYEE LABEL]])-ROW(T_EMPLOYEES[[#Headers],[EMPLOYEE LABEL]]))</f>
        <v>520</v>
      </c>
      <c r="AB523">
        <f ca="1">IF(T_EMPLOYEES[[#This Row],[EMPLOYEE NUMBER]]="","",IF(COUNTIF(T_EMPLOYEES[EMPLOYEE NUMBER],T_EMPLOYEES[[#This Row],[EMPLOYEE NUMBER]])&gt;1,1,0))</f>
        <v>0</v>
      </c>
      <c r="AC523">
        <f ca="1">IF(T_EMPLOYEES[[#This Row],[EMPLOYEE NUMBER]]="","",IF(AND(T_EMPLOYEES[[#This Row],[DATE OF BIRTH]]&gt;0,T_EMPLOYEES[[#This Row],[DATE OF BIRTH]]&lt;TODAY()),0,1))</f>
        <v>0</v>
      </c>
      <c r="AD523">
        <f ca="1">IF(T_EMPLOYEES[[#This Row],[EMPLOYEE NUMBER]]="","",IF(AND(T_EMPLOYEES[[#This Row],[START DATE]]&gt;0,T_EMPLOYEES[[#This Row],[START DATE]]&lt;TODAY()+60),0,1))</f>
        <v>0</v>
      </c>
      <c r="AE523">
        <f ca="1">IF(T_EMPLOYEES[[#This Row],[EMPLOYEE NUMBER]]="","",MATCH(T_EMPLOYEES[[#This Row],[GENDER]],L_GENDER,0))</f>
        <v>1</v>
      </c>
      <c r="AF523">
        <f ca="1">IF(T_EMPLOYEES[[#This Row],[EMPLOYEE NUMBER]]="","",MATCH(T_EMPLOYEES[[#This Row],[HIRE SOURCE]],L_HIRESOURCE,0))</f>
        <v>4</v>
      </c>
      <c r="AG523">
        <f ca="1">IF(T_EMPLOYEES[[#This Row],[EMPLOYEE NUMBER]]="","",MATCH(T_EMPLOYEES[[#This Row],[ETHNICITY]],L_ETHNICITY,0))</f>
        <v>3</v>
      </c>
      <c r="AH523">
        <f ca="1">IF(T_EMPLOYEES[[#This Row],[EMPLOYEE NUMBER]]="","",MATCH(T_EMPLOYEES[[#This Row],[LOCATION]],L_LOCATION,0))</f>
        <v>1</v>
      </c>
      <c r="AI523">
        <f ca="1">IF(T_EMPLOYEES[[#This Row],[EMPLOYEE NUMBER]]="","",MATCH(T_EMPLOYEES[[#This Row],[DEPARTMENT]],L_DEPARTMENT,0))</f>
        <v>11</v>
      </c>
      <c r="AJ523">
        <f ca="1">IF(T_EMPLOYEES[[#This Row],[EMPLOYEE NUMBER]]="","",MATCH(T_EMPLOYEES[[#This Row],[JOB TYPE]],L_JOBTYPE,0))</f>
        <v>2</v>
      </c>
      <c r="AK523">
        <f ca="1">IF(T_EMPLOYEES[[#This Row],[EMPLOYEE NUMBER]]="","",MATCH(T_EMPLOYEES[[#This Row],[JOB CATEGORY]],L_JOBCATEGORY,0))</f>
        <v>30</v>
      </c>
      <c r="AL523">
        <f ca="1">IF(T_EMPLOYEES[[#This Row],[EMPLOYEE NUMBER]]="","",MATCH(T_EMPLOYEES[[#This Row],[JOB LEVEL]],L_JOBLEVEL,0))</f>
        <v>1</v>
      </c>
      <c r="AM523">
        <f ca="1">IF(T_EMPLOYEES[[#This Row],[EMPLOYEE NUMBER]]="","",MATCH(T_EMPLOYEES[[#This Row],[JOB TITLE]],L_JOBTITLE,0))</f>
        <v>30</v>
      </c>
      <c r="AN523">
        <f ca="1">IF(T_EMPLOYEES[[#This Row],[EMPLOYEE NUMBER]]="","",MATCH(T_EMPLOYEES[[#This Row],[MANAGER]],L_EMPLABELS,0))</f>
        <v>57</v>
      </c>
      <c r="AO523">
        <f ca="1">IF(T_EMPLOYEES[[#This Row],[EMPLOYEE NUMBER]]="","",IF(T_EMPLOYEES[[#This Row],[ERROR]]="",0,1))</f>
        <v>0</v>
      </c>
      <c r="AP52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4" spans="1:42">
      <c r="A524" t="s">
        <v>1650</v>
      </c>
      <c r="B524" t="s">
        <v>1651</v>
      </c>
      <c r="C524">
        <v>1029891</v>
      </c>
      <c r="D524" t="s">
        <v>1652</v>
      </c>
      <c r="E524" s="26">
        <v>36919</v>
      </c>
      <c r="F524" s="26">
        <v>44791</v>
      </c>
      <c r="H524" t="s">
        <v>40</v>
      </c>
      <c r="I524" t="s">
        <v>54</v>
      </c>
      <c r="J524" t="s">
        <v>64</v>
      </c>
      <c r="K524" t="s">
        <v>30</v>
      </c>
      <c r="L524" s="27" t="s">
        <v>45</v>
      </c>
      <c r="M524" t="s">
        <v>46</v>
      </c>
      <c r="N524" t="s">
        <v>151</v>
      </c>
      <c r="O524" t="s">
        <v>36</v>
      </c>
      <c r="P524" t="s">
        <v>151</v>
      </c>
      <c r="Q524" t="s">
        <v>1312</v>
      </c>
      <c r="R524" s="27">
        <v>0</v>
      </c>
      <c r="S524" s="1">
        <v>1200000</v>
      </c>
      <c r="T524" s="1">
        <f ca="1">ROUND(T_EMPLOYEES[[#This Row],[EMP_CTC1]]/12, 0)</f>
        <v>100000</v>
      </c>
      <c r="U524" s="1">
        <v>1000000</v>
      </c>
      <c r="V524" s="1" t="s">
        <v>1065</v>
      </c>
      <c r="W524" s="1" t="s">
        <v>1065</v>
      </c>
      <c r="X52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Yengali Vaishnavi (1029891)</v>
      </c>
      <c r="Y524">
        <v>120000</v>
      </c>
      <c r="Z524" s="29">
        <f t="shared" ca="1" si="9"/>
        <v>16.666666666666664</v>
      </c>
      <c r="AA524">
        <f ca="1">IF(T_EMPLOYEES[[#This Row],[EMPLOYEE NUMBER]]="","",ROW(T_EMPLOYEES[[#This Row],[EMPLOYEE LABEL]])-ROW(T_EMPLOYEES[[#Headers],[EMPLOYEE LABEL]]))</f>
        <v>521</v>
      </c>
      <c r="AB524">
        <f ca="1">IF(T_EMPLOYEES[[#This Row],[EMPLOYEE NUMBER]]="","",IF(COUNTIF(T_EMPLOYEES[EMPLOYEE NUMBER],T_EMPLOYEES[[#This Row],[EMPLOYEE NUMBER]])&gt;1,1,0))</f>
        <v>0</v>
      </c>
      <c r="AC524">
        <f ca="1">IF(T_EMPLOYEES[[#This Row],[EMPLOYEE NUMBER]]="","",IF(AND(T_EMPLOYEES[[#This Row],[DATE OF BIRTH]]&gt;0,T_EMPLOYEES[[#This Row],[DATE OF BIRTH]]&lt;TODAY()),0,1))</f>
        <v>0</v>
      </c>
      <c r="AD524">
        <f ca="1">IF(T_EMPLOYEES[[#This Row],[EMPLOYEE NUMBER]]="","",IF(AND(T_EMPLOYEES[[#This Row],[START DATE]]&gt;0,T_EMPLOYEES[[#This Row],[START DATE]]&lt;TODAY()+60),0,1))</f>
        <v>0</v>
      </c>
      <c r="AE524">
        <f ca="1">IF(T_EMPLOYEES[[#This Row],[EMPLOYEE NUMBER]]="","",MATCH(T_EMPLOYEES[[#This Row],[GENDER]],L_GENDER,0))</f>
        <v>2</v>
      </c>
      <c r="AF524">
        <f ca="1">IF(T_EMPLOYEES[[#This Row],[EMPLOYEE NUMBER]]="","",MATCH(T_EMPLOYEES[[#This Row],[HIRE SOURCE]],L_HIRESOURCE,0))</f>
        <v>4</v>
      </c>
      <c r="AG524">
        <f ca="1">IF(T_EMPLOYEES[[#This Row],[EMPLOYEE NUMBER]]="","",MATCH(T_EMPLOYEES[[#This Row],[ETHNICITY]],L_ETHNICITY,0))</f>
        <v>3</v>
      </c>
      <c r="AH524">
        <f ca="1">IF(T_EMPLOYEES[[#This Row],[EMPLOYEE NUMBER]]="","",MATCH(T_EMPLOYEES[[#This Row],[LOCATION]],L_LOCATION,0))</f>
        <v>1</v>
      </c>
      <c r="AI524">
        <f ca="1">IF(T_EMPLOYEES[[#This Row],[EMPLOYEE NUMBER]]="","",MATCH(T_EMPLOYEES[[#This Row],[DEPARTMENT]],L_DEPARTMENT,0))</f>
        <v>2</v>
      </c>
      <c r="AJ524">
        <f ca="1">IF(T_EMPLOYEES[[#This Row],[EMPLOYEE NUMBER]]="","",MATCH(T_EMPLOYEES[[#This Row],[JOB TYPE]],L_JOBTYPE,0))</f>
        <v>2</v>
      </c>
      <c r="AK524">
        <f ca="1">IF(T_EMPLOYEES[[#This Row],[EMPLOYEE NUMBER]]="","",MATCH(T_EMPLOYEES[[#This Row],[JOB CATEGORY]],L_JOBCATEGORY,0))</f>
        <v>30</v>
      </c>
      <c r="AL524">
        <f ca="1">IF(T_EMPLOYEES[[#This Row],[EMPLOYEE NUMBER]]="","",MATCH(T_EMPLOYEES[[#This Row],[JOB LEVEL]],L_JOBLEVEL,0))</f>
        <v>1</v>
      </c>
      <c r="AM524">
        <f ca="1">IF(T_EMPLOYEES[[#This Row],[EMPLOYEE NUMBER]]="","",MATCH(T_EMPLOYEES[[#This Row],[JOB TITLE]],L_JOBTITLE,0))</f>
        <v>30</v>
      </c>
      <c r="AN524">
        <f ca="1">IF(T_EMPLOYEES[[#This Row],[EMPLOYEE NUMBER]]="","",MATCH(T_EMPLOYEES[[#This Row],[MANAGER]],L_EMPLABELS,0))</f>
        <v>144</v>
      </c>
      <c r="AO524">
        <f ca="1">IF(T_EMPLOYEES[[#This Row],[EMPLOYEE NUMBER]]="","",IF(T_EMPLOYEES[[#This Row],[ERROR]]="",0,1))</f>
        <v>0</v>
      </c>
      <c r="AP52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5" spans="1:42">
      <c r="A525" t="s">
        <v>1653</v>
      </c>
      <c r="B525" t="s">
        <v>1654</v>
      </c>
      <c r="C525">
        <v>1033257</v>
      </c>
      <c r="D525" t="s">
        <v>1655</v>
      </c>
      <c r="E525" s="26">
        <v>36922</v>
      </c>
      <c r="F525" s="26">
        <v>45155</v>
      </c>
      <c r="H525" t="s">
        <v>27</v>
      </c>
      <c r="I525" t="s">
        <v>54</v>
      </c>
      <c r="J525" t="s">
        <v>64</v>
      </c>
      <c r="K525" t="s">
        <v>30</v>
      </c>
      <c r="L525" s="27" t="s">
        <v>45</v>
      </c>
      <c r="M525" t="s">
        <v>46</v>
      </c>
      <c r="N525" t="s">
        <v>151</v>
      </c>
      <c r="O525" t="s">
        <v>36</v>
      </c>
      <c r="P525" t="s">
        <v>151</v>
      </c>
      <c r="Q525" t="s">
        <v>726</v>
      </c>
      <c r="R525">
        <v>0</v>
      </c>
      <c r="S525" s="1">
        <v>1200000</v>
      </c>
      <c r="T525" s="1">
        <f ca="1">ROUND(T_EMPLOYEES[[#This Row],[EMP_CTC1]]/12, 0)</f>
        <v>100000</v>
      </c>
      <c r="U525" s="1">
        <v>1000000</v>
      </c>
      <c r="V525" s="1" t="s">
        <v>1065</v>
      </c>
      <c r="W525" s="1" t="s">
        <v>1065</v>
      </c>
      <c r="X52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Thota Sai Kiran (1033257)</v>
      </c>
      <c r="Y525">
        <v>120000</v>
      </c>
      <c r="Z525" s="29">
        <f t="shared" ca="1" si="9"/>
        <v>16.666666666666664</v>
      </c>
      <c r="AA525">
        <f ca="1">IF(T_EMPLOYEES[[#This Row],[EMPLOYEE NUMBER]]="","",ROW(T_EMPLOYEES[[#This Row],[EMPLOYEE LABEL]])-ROW(T_EMPLOYEES[[#Headers],[EMPLOYEE LABEL]]))</f>
        <v>522</v>
      </c>
      <c r="AB525">
        <f ca="1">IF(T_EMPLOYEES[[#This Row],[EMPLOYEE NUMBER]]="","",IF(COUNTIF(T_EMPLOYEES[EMPLOYEE NUMBER],T_EMPLOYEES[[#This Row],[EMPLOYEE NUMBER]])&gt;1,1,0))</f>
        <v>0</v>
      </c>
      <c r="AC525">
        <f ca="1">IF(T_EMPLOYEES[[#This Row],[EMPLOYEE NUMBER]]="","",IF(AND(T_EMPLOYEES[[#This Row],[DATE OF BIRTH]]&gt;0,T_EMPLOYEES[[#This Row],[DATE OF BIRTH]]&lt;TODAY()),0,1))</f>
        <v>0</v>
      </c>
      <c r="AD525">
        <f ca="1">IF(T_EMPLOYEES[[#This Row],[EMPLOYEE NUMBER]]="","",IF(AND(T_EMPLOYEES[[#This Row],[START DATE]]&gt;0,T_EMPLOYEES[[#This Row],[START DATE]]&lt;TODAY()+60),0,1))</f>
        <v>0</v>
      </c>
      <c r="AE525">
        <f ca="1">IF(T_EMPLOYEES[[#This Row],[EMPLOYEE NUMBER]]="","",MATCH(T_EMPLOYEES[[#This Row],[GENDER]],L_GENDER,0))</f>
        <v>1</v>
      </c>
      <c r="AF525">
        <f ca="1">IF(T_EMPLOYEES[[#This Row],[EMPLOYEE NUMBER]]="","",MATCH(T_EMPLOYEES[[#This Row],[HIRE SOURCE]],L_HIRESOURCE,0))</f>
        <v>4</v>
      </c>
      <c r="AG525">
        <f ca="1">IF(T_EMPLOYEES[[#This Row],[EMPLOYEE NUMBER]]="","",MATCH(T_EMPLOYEES[[#This Row],[ETHNICITY]],L_ETHNICITY,0))</f>
        <v>3</v>
      </c>
      <c r="AH525">
        <f ca="1">IF(T_EMPLOYEES[[#This Row],[EMPLOYEE NUMBER]]="","",MATCH(T_EMPLOYEES[[#This Row],[LOCATION]],L_LOCATION,0))</f>
        <v>1</v>
      </c>
      <c r="AI525">
        <f ca="1">IF(T_EMPLOYEES[[#This Row],[EMPLOYEE NUMBER]]="","",MATCH(T_EMPLOYEES[[#This Row],[DEPARTMENT]],L_DEPARTMENT,0))</f>
        <v>2</v>
      </c>
      <c r="AJ525">
        <f ca="1">IF(T_EMPLOYEES[[#This Row],[EMPLOYEE NUMBER]]="","",MATCH(T_EMPLOYEES[[#This Row],[JOB TYPE]],L_JOBTYPE,0))</f>
        <v>2</v>
      </c>
      <c r="AK525">
        <f ca="1">IF(T_EMPLOYEES[[#This Row],[EMPLOYEE NUMBER]]="","",MATCH(T_EMPLOYEES[[#This Row],[JOB CATEGORY]],L_JOBCATEGORY,0))</f>
        <v>30</v>
      </c>
      <c r="AL525">
        <f ca="1">IF(T_EMPLOYEES[[#This Row],[EMPLOYEE NUMBER]]="","",MATCH(T_EMPLOYEES[[#This Row],[JOB LEVEL]],L_JOBLEVEL,0))</f>
        <v>1</v>
      </c>
      <c r="AM525">
        <f ca="1">IF(T_EMPLOYEES[[#This Row],[EMPLOYEE NUMBER]]="","",MATCH(T_EMPLOYEES[[#This Row],[JOB TITLE]],L_JOBTITLE,0))</f>
        <v>30</v>
      </c>
      <c r="AN525">
        <f ca="1">IF(T_EMPLOYEES[[#This Row],[EMPLOYEE NUMBER]]="","",MATCH(T_EMPLOYEES[[#This Row],[MANAGER]],L_EMPLABELS,0))</f>
        <v>59</v>
      </c>
      <c r="AO525">
        <f ca="1">IF(T_EMPLOYEES[[#This Row],[EMPLOYEE NUMBER]]="","",IF(T_EMPLOYEES[[#This Row],[ERROR]]="",0,1))</f>
        <v>0</v>
      </c>
      <c r="AP52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6" spans="1:42">
      <c r="A526" t="s">
        <v>1656</v>
      </c>
      <c r="B526" t="s">
        <v>1657</v>
      </c>
      <c r="C526">
        <v>1030213</v>
      </c>
      <c r="D526" t="s">
        <v>1658</v>
      </c>
      <c r="E526" s="26">
        <v>36934</v>
      </c>
      <c r="F526" s="26">
        <v>44819</v>
      </c>
      <c r="H526" t="s">
        <v>27</v>
      </c>
      <c r="I526" t="s">
        <v>54</v>
      </c>
      <c r="J526" t="s">
        <v>64</v>
      </c>
      <c r="K526" t="s">
        <v>30</v>
      </c>
      <c r="L526" s="27" t="s">
        <v>114</v>
      </c>
      <c r="M526" t="s">
        <v>46</v>
      </c>
      <c r="N526" t="s">
        <v>151</v>
      </c>
      <c r="O526" t="s">
        <v>36</v>
      </c>
      <c r="P526" t="s">
        <v>151</v>
      </c>
      <c r="Q526" t="s">
        <v>468</v>
      </c>
      <c r="R526" s="27">
        <v>0</v>
      </c>
      <c r="S526" s="1">
        <v>1200000</v>
      </c>
      <c r="T526" s="1">
        <f ca="1">ROUND(T_EMPLOYEES[[#This Row],[EMP_CTC1]]/12, 0)</f>
        <v>100000</v>
      </c>
      <c r="U526" s="1">
        <v>1000000</v>
      </c>
      <c r="V526" s="1" t="s">
        <v>1065</v>
      </c>
      <c r="W526" s="1" t="s">
        <v>1065</v>
      </c>
      <c r="X52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Rallapalli  Lashareef (1030213)</v>
      </c>
      <c r="Y526">
        <v>120000</v>
      </c>
      <c r="Z526" s="29">
        <f t="shared" ca="1" si="9"/>
        <v>16.666666666666664</v>
      </c>
      <c r="AA526">
        <f ca="1">IF(T_EMPLOYEES[[#This Row],[EMPLOYEE NUMBER]]="","",ROW(T_EMPLOYEES[[#This Row],[EMPLOYEE LABEL]])-ROW(T_EMPLOYEES[[#Headers],[EMPLOYEE LABEL]]))</f>
        <v>523</v>
      </c>
      <c r="AB526">
        <f ca="1">IF(T_EMPLOYEES[[#This Row],[EMPLOYEE NUMBER]]="","",IF(COUNTIF(T_EMPLOYEES[EMPLOYEE NUMBER],T_EMPLOYEES[[#This Row],[EMPLOYEE NUMBER]])&gt;1,1,0))</f>
        <v>0</v>
      </c>
      <c r="AC526">
        <f ca="1">IF(T_EMPLOYEES[[#This Row],[EMPLOYEE NUMBER]]="","",IF(AND(T_EMPLOYEES[[#This Row],[DATE OF BIRTH]]&gt;0,T_EMPLOYEES[[#This Row],[DATE OF BIRTH]]&lt;TODAY()),0,1))</f>
        <v>0</v>
      </c>
      <c r="AD526">
        <f ca="1">IF(T_EMPLOYEES[[#This Row],[EMPLOYEE NUMBER]]="","",IF(AND(T_EMPLOYEES[[#This Row],[START DATE]]&gt;0,T_EMPLOYEES[[#This Row],[START DATE]]&lt;TODAY()+60),0,1))</f>
        <v>0</v>
      </c>
      <c r="AE526">
        <f ca="1">IF(T_EMPLOYEES[[#This Row],[EMPLOYEE NUMBER]]="","",MATCH(T_EMPLOYEES[[#This Row],[GENDER]],L_GENDER,0))</f>
        <v>1</v>
      </c>
      <c r="AF526">
        <f ca="1">IF(T_EMPLOYEES[[#This Row],[EMPLOYEE NUMBER]]="","",MATCH(T_EMPLOYEES[[#This Row],[HIRE SOURCE]],L_HIRESOURCE,0))</f>
        <v>4</v>
      </c>
      <c r="AG526">
        <f ca="1">IF(T_EMPLOYEES[[#This Row],[EMPLOYEE NUMBER]]="","",MATCH(T_EMPLOYEES[[#This Row],[ETHNICITY]],L_ETHNICITY,0))</f>
        <v>3</v>
      </c>
      <c r="AH526">
        <f ca="1">IF(T_EMPLOYEES[[#This Row],[EMPLOYEE NUMBER]]="","",MATCH(T_EMPLOYEES[[#This Row],[LOCATION]],L_LOCATION,0))</f>
        <v>1</v>
      </c>
      <c r="AI526">
        <f ca="1">IF(T_EMPLOYEES[[#This Row],[EMPLOYEE NUMBER]]="","",MATCH(T_EMPLOYEES[[#This Row],[DEPARTMENT]],L_DEPARTMENT,0))</f>
        <v>11</v>
      </c>
      <c r="AJ526">
        <f ca="1">IF(T_EMPLOYEES[[#This Row],[EMPLOYEE NUMBER]]="","",MATCH(T_EMPLOYEES[[#This Row],[JOB TYPE]],L_JOBTYPE,0))</f>
        <v>2</v>
      </c>
      <c r="AK526">
        <f ca="1">IF(T_EMPLOYEES[[#This Row],[EMPLOYEE NUMBER]]="","",MATCH(T_EMPLOYEES[[#This Row],[JOB CATEGORY]],L_JOBCATEGORY,0))</f>
        <v>30</v>
      </c>
      <c r="AL526">
        <f ca="1">IF(T_EMPLOYEES[[#This Row],[EMPLOYEE NUMBER]]="","",MATCH(T_EMPLOYEES[[#This Row],[JOB LEVEL]],L_JOBLEVEL,0))</f>
        <v>1</v>
      </c>
      <c r="AM526">
        <f ca="1">IF(T_EMPLOYEES[[#This Row],[EMPLOYEE NUMBER]]="","",MATCH(T_EMPLOYEES[[#This Row],[JOB TITLE]],L_JOBTITLE,0))</f>
        <v>30</v>
      </c>
      <c r="AN526">
        <f ca="1">IF(T_EMPLOYEES[[#This Row],[EMPLOYEE NUMBER]]="","",MATCH(T_EMPLOYEES[[#This Row],[MANAGER]],L_EMPLABELS,0))</f>
        <v>56</v>
      </c>
      <c r="AO526">
        <f ca="1">IF(T_EMPLOYEES[[#This Row],[EMPLOYEE NUMBER]]="","",IF(T_EMPLOYEES[[#This Row],[ERROR]]="",0,1))</f>
        <v>0</v>
      </c>
      <c r="AP52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7" spans="1:42">
      <c r="A527" t="s">
        <v>1659</v>
      </c>
      <c r="B527" t="s">
        <v>1660</v>
      </c>
      <c r="C527">
        <v>1033258</v>
      </c>
      <c r="D527" t="s">
        <v>1661</v>
      </c>
      <c r="E527" s="26">
        <v>36941</v>
      </c>
      <c r="F527" s="26">
        <v>45155</v>
      </c>
      <c r="H527" t="s">
        <v>27</v>
      </c>
      <c r="I527" t="s">
        <v>54</v>
      </c>
      <c r="J527" t="s">
        <v>64</v>
      </c>
      <c r="K527" t="s">
        <v>30</v>
      </c>
      <c r="L527" s="27" t="s">
        <v>45</v>
      </c>
      <c r="M527" t="s">
        <v>46</v>
      </c>
      <c r="N527" t="s">
        <v>151</v>
      </c>
      <c r="O527" t="s">
        <v>36</v>
      </c>
      <c r="P527" t="s">
        <v>151</v>
      </c>
      <c r="Q527" t="s">
        <v>1522</v>
      </c>
      <c r="R527">
        <v>0</v>
      </c>
      <c r="S527" s="1">
        <v>1200000</v>
      </c>
      <c r="T527" s="1">
        <f ca="1">ROUND(T_EMPLOYEES[[#This Row],[EMP_CTC1]]/12, 0)</f>
        <v>100000</v>
      </c>
      <c r="U527" s="1">
        <v>1000000</v>
      </c>
      <c r="V527" s="1" t="s">
        <v>1065</v>
      </c>
      <c r="W527" s="1" t="s">
        <v>1065</v>
      </c>
      <c r="X52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Vootla Bhanuchander (1033258)</v>
      </c>
      <c r="Y527">
        <v>120000</v>
      </c>
      <c r="Z527" s="29">
        <f t="shared" ca="1" si="9"/>
        <v>16.666666666666664</v>
      </c>
      <c r="AA527">
        <f ca="1">IF(T_EMPLOYEES[[#This Row],[EMPLOYEE NUMBER]]="","",ROW(T_EMPLOYEES[[#This Row],[EMPLOYEE LABEL]])-ROW(T_EMPLOYEES[[#Headers],[EMPLOYEE LABEL]]))</f>
        <v>524</v>
      </c>
      <c r="AB527">
        <f ca="1">IF(T_EMPLOYEES[[#This Row],[EMPLOYEE NUMBER]]="","",IF(COUNTIF(T_EMPLOYEES[EMPLOYEE NUMBER],T_EMPLOYEES[[#This Row],[EMPLOYEE NUMBER]])&gt;1,1,0))</f>
        <v>0</v>
      </c>
      <c r="AC527">
        <f ca="1">IF(T_EMPLOYEES[[#This Row],[EMPLOYEE NUMBER]]="","",IF(AND(T_EMPLOYEES[[#This Row],[DATE OF BIRTH]]&gt;0,T_EMPLOYEES[[#This Row],[DATE OF BIRTH]]&lt;TODAY()),0,1))</f>
        <v>0</v>
      </c>
      <c r="AD527">
        <f ca="1">IF(T_EMPLOYEES[[#This Row],[EMPLOYEE NUMBER]]="","",IF(AND(T_EMPLOYEES[[#This Row],[START DATE]]&gt;0,T_EMPLOYEES[[#This Row],[START DATE]]&lt;TODAY()+60),0,1))</f>
        <v>0</v>
      </c>
      <c r="AE527">
        <f ca="1">IF(T_EMPLOYEES[[#This Row],[EMPLOYEE NUMBER]]="","",MATCH(T_EMPLOYEES[[#This Row],[GENDER]],L_GENDER,0))</f>
        <v>1</v>
      </c>
      <c r="AF527">
        <f ca="1">IF(T_EMPLOYEES[[#This Row],[EMPLOYEE NUMBER]]="","",MATCH(T_EMPLOYEES[[#This Row],[HIRE SOURCE]],L_HIRESOURCE,0))</f>
        <v>4</v>
      </c>
      <c r="AG527">
        <f ca="1">IF(T_EMPLOYEES[[#This Row],[EMPLOYEE NUMBER]]="","",MATCH(T_EMPLOYEES[[#This Row],[ETHNICITY]],L_ETHNICITY,0))</f>
        <v>3</v>
      </c>
      <c r="AH527">
        <f ca="1">IF(T_EMPLOYEES[[#This Row],[EMPLOYEE NUMBER]]="","",MATCH(T_EMPLOYEES[[#This Row],[LOCATION]],L_LOCATION,0))</f>
        <v>1</v>
      </c>
      <c r="AI527">
        <f ca="1">IF(T_EMPLOYEES[[#This Row],[EMPLOYEE NUMBER]]="","",MATCH(T_EMPLOYEES[[#This Row],[DEPARTMENT]],L_DEPARTMENT,0))</f>
        <v>2</v>
      </c>
      <c r="AJ527">
        <f ca="1">IF(T_EMPLOYEES[[#This Row],[EMPLOYEE NUMBER]]="","",MATCH(T_EMPLOYEES[[#This Row],[JOB TYPE]],L_JOBTYPE,0))</f>
        <v>2</v>
      </c>
      <c r="AK527">
        <f ca="1">IF(T_EMPLOYEES[[#This Row],[EMPLOYEE NUMBER]]="","",MATCH(T_EMPLOYEES[[#This Row],[JOB CATEGORY]],L_JOBCATEGORY,0))</f>
        <v>30</v>
      </c>
      <c r="AL527">
        <f ca="1">IF(T_EMPLOYEES[[#This Row],[EMPLOYEE NUMBER]]="","",MATCH(T_EMPLOYEES[[#This Row],[JOB LEVEL]],L_JOBLEVEL,0))</f>
        <v>1</v>
      </c>
      <c r="AM527">
        <f ca="1">IF(T_EMPLOYEES[[#This Row],[EMPLOYEE NUMBER]]="","",MATCH(T_EMPLOYEES[[#This Row],[JOB TITLE]],L_JOBTITLE,0))</f>
        <v>30</v>
      </c>
      <c r="AN527">
        <f ca="1">IF(T_EMPLOYEES[[#This Row],[EMPLOYEE NUMBER]]="","",MATCH(T_EMPLOYEES[[#This Row],[MANAGER]],L_EMPLABELS,0))</f>
        <v>38</v>
      </c>
      <c r="AO527">
        <f ca="1">IF(T_EMPLOYEES[[#This Row],[EMPLOYEE NUMBER]]="","",IF(T_EMPLOYEES[[#This Row],[ERROR]]="",0,1))</f>
        <v>0</v>
      </c>
      <c r="AP52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8" spans="1:42">
      <c r="A528" t="s">
        <v>919</v>
      </c>
      <c r="B528" t="s">
        <v>1662</v>
      </c>
      <c r="C528">
        <v>1033212</v>
      </c>
      <c r="D528" t="s">
        <v>1663</v>
      </c>
      <c r="E528" s="26">
        <v>36953</v>
      </c>
      <c r="F528" s="26">
        <v>45155</v>
      </c>
      <c r="H528" t="s">
        <v>27</v>
      </c>
      <c r="I528" t="s">
        <v>54</v>
      </c>
      <c r="J528" t="s">
        <v>64</v>
      </c>
      <c r="K528" t="s">
        <v>30</v>
      </c>
      <c r="L528" s="27" t="s">
        <v>114</v>
      </c>
      <c r="M528" t="s">
        <v>46</v>
      </c>
      <c r="N528" t="s">
        <v>151</v>
      </c>
      <c r="O528" t="s">
        <v>36</v>
      </c>
      <c r="P528" t="s">
        <v>151</v>
      </c>
      <c r="Q528" t="s">
        <v>468</v>
      </c>
      <c r="R528" s="27">
        <v>0</v>
      </c>
      <c r="S528" s="1">
        <v>1200000</v>
      </c>
      <c r="T528" s="1">
        <f ca="1">ROUND(T_EMPLOYEES[[#This Row],[EMP_CTC1]]/12, 0)</f>
        <v>100000</v>
      </c>
      <c r="U528" s="1">
        <v>1000000</v>
      </c>
      <c r="V528" s="1" t="s">
        <v>207</v>
      </c>
      <c r="W528" s="1" t="s">
        <v>207</v>
      </c>
      <c r="X52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Sourav Sahoo (1033212)</v>
      </c>
      <c r="Y528">
        <v>120000</v>
      </c>
      <c r="Z528" s="29">
        <f t="shared" ca="1" si="9"/>
        <v>16.666666666666664</v>
      </c>
      <c r="AA528">
        <f ca="1">IF(T_EMPLOYEES[[#This Row],[EMPLOYEE NUMBER]]="","",ROW(T_EMPLOYEES[[#This Row],[EMPLOYEE LABEL]])-ROW(T_EMPLOYEES[[#Headers],[EMPLOYEE LABEL]]))</f>
        <v>525</v>
      </c>
      <c r="AB528">
        <f ca="1">IF(T_EMPLOYEES[[#This Row],[EMPLOYEE NUMBER]]="","",IF(COUNTIF(T_EMPLOYEES[EMPLOYEE NUMBER],T_EMPLOYEES[[#This Row],[EMPLOYEE NUMBER]])&gt;1,1,0))</f>
        <v>0</v>
      </c>
      <c r="AC528">
        <f ca="1">IF(T_EMPLOYEES[[#This Row],[EMPLOYEE NUMBER]]="","",IF(AND(T_EMPLOYEES[[#This Row],[DATE OF BIRTH]]&gt;0,T_EMPLOYEES[[#This Row],[DATE OF BIRTH]]&lt;TODAY()),0,1))</f>
        <v>0</v>
      </c>
      <c r="AD528">
        <f ca="1">IF(T_EMPLOYEES[[#This Row],[EMPLOYEE NUMBER]]="","",IF(AND(T_EMPLOYEES[[#This Row],[START DATE]]&gt;0,T_EMPLOYEES[[#This Row],[START DATE]]&lt;TODAY()+60),0,1))</f>
        <v>0</v>
      </c>
      <c r="AE528">
        <f ca="1">IF(T_EMPLOYEES[[#This Row],[EMPLOYEE NUMBER]]="","",MATCH(T_EMPLOYEES[[#This Row],[GENDER]],L_GENDER,0))</f>
        <v>1</v>
      </c>
      <c r="AF528">
        <f ca="1">IF(T_EMPLOYEES[[#This Row],[EMPLOYEE NUMBER]]="","",MATCH(T_EMPLOYEES[[#This Row],[HIRE SOURCE]],L_HIRESOURCE,0))</f>
        <v>4</v>
      </c>
      <c r="AG528">
        <f ca="1">IF(T_EMPLOYEES[[#This Row],[EMPLOYEE NUMBER]]="","",MATCH(T_EMPLOYEES[[#This Row],[ETHNICITY]],L_ETHNICITY,0))</f>
        <v>3</v>
      </c>
      <c r="AH528">
        <f ca="1">IF(T_EMPLOYEES[[#This Row],[EMPLOYEE NUMBER]]="","",MATCH(T_EMPLOYEES[[#This Row],[LOCATION]],L_LOCATION,0))</f>
        <v>1</v>
      </c>
      <c r="AI528">
        <f ca="1">IF(T_EMPLOYEES[[#This Row],[EMPLOYEE NUMBER]]="","",MATCH(T_EMPLOYEES[[#This Row],[DEPARTMENT]],L_DEPARTMENT,0))</f>
        <v>11</v>
      </c>
      <c r="AJ528">
        <f ca="1">IF(T_EMPLOYEES[[#This Row],[EMPLOYEE NUMBER]]="","",MATCH(T_EMPLOYEES[[#This Row],[JOB TYPE]],L_JOBTYPE,0))</f>
        <v>2</v>
      </c>
      <c r="AK528">
        <f ca="1">IF(T_EMPLOYEES[[#This Row],[EMPLOYEE NUMBER]]="","",MATCH(T_EMPLOYEES[[#This Row],[JOB CATEGORY]],L_JOBCATEGORY,0))</f>
        <v>30</v>
      </c>
      <c r="AL528">
        <f ca="1">IF(T_EMPLOYEES[[#This Row],[EMPLOYEE NUMBER]]="","",MATCH(T_EMPLOYEES[[#This Row],[JOB LEVEL]],L_JOBLEVEL,0))</f>
        <v>1</v>
      </c>
      <c r="AM528">
        <f ca="1">IF(T_EMPLOYEES[[#This Row],[EMPLOYEE NUMBER]]="","",MATCH(T_EMPLOYEES[[#This Row],[JOB TITLE]],L_JOBTITLE,0))</f>
        <v>30</v>
      </c>
      <c r="AN528">
        <f ca="1">IF(T_EMPLOYEES[[#This Row],[EMPLOYEE NUMBER]]="","",MATCH(T_EMPLOYEES[[#This Row],[MANAGER]],L_EMPLABELS,0))</f>
        <v>56</v>
      </c>
      <c r="AO528">
        <f ca="1">IF(T_EMPLOYEES[[#This Row],[EMPLOYEE NUMBER]]="","",IF(T_EMPLOYEES[[#This Row],[ERROR]]="",0,1))</f>
        <v>0</v>
      </c>
      <c r="AP52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9" spans="1:42">
      <c r="A529" t="s">
        <v>51</v>
      </c>
      <c r="B529" t="s">
        <v>1664</v>
      </c>
      <c r="C529">
        <v>1027423</v>
      </c>
      <c r="D529" t="s">
        <v>1665</v>
      </c>
      <c r="E529" s="26">
        <v>36954</v>
      </c>
      <c r="F529" s="26">
        <v>44531</v>
      </c>
      <c r="H529" t="s">
        <v>27</v>
      </c>
      <c r="I529" t="s">
        <v>54</v>
      </c>
      <c r="J529" t="s">
        <v>64</v>
      </c>
      <c r="K529" t="s">
        <v>30</v>
      </c>
      <c r="L529" s="27" t="s">
        <v>114</v>
      </c>
      <c r="M529" t="s">
        <v>46</v>
      </c>
      <c r="N529" t="s">
        <v>160</v>
      </c>
      <c r="O529" t="s">
        <v>48</v>
      </c>
      <c r="P529" t="s">
        <v>160</v>
      </c>
      <c r="Q529" t="s">
        <v>206</v>
      </c>
      <c r="R529">
        <v>4</v>
      </c>
      <c r="S529" s="1">
        <v>1200000</v>
      </c>
      <c r="T529" s="1">
        <f ca="1">ROUND(T_EMPLOYEES[[#This Row],[EMP_CTC1]]/12, 0)</f>
        <v>100000</v>
      </c>
      <c r="U529" s="1">
        <v>1000000</v>
      </c>
      <c r="V529" s="1" t="s">
        <v>207</v>
      </c>
      <c r="W529" s="1" t="s">
        <v>207</v>
      </c>
      <c r="X52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  Gowtham (1027423)</v>
      </c>
      <c r="Y529">
        <v>120000</v>
      </c>
      <c r="Z529" s="29">
        <f t="shared" ca="1" si="9"/>
        <v>16.666666666666664</v>
      </c>
      <c r="AA529">
        <f ca="1">IF(T_EMPLOYEES[[#This Row],[EMPLOYEE NUMBER]]="","",ROW(T_EMPLOYEES[[#This Row],[EMPLOYEE LABEL]])-ROW(T_EMPLOYEES[[#Headers],[EMPLOYEE LABEL]]))</f>
        <v>526</v>
      </c>
      <c r="AB529">
        <f ca="1">IF(T_EMPLOYEES[[#This Row],[EMPLOYEE NUMBER]]="","",IF(COUNTIF(T_EMPLOYEES[EMPLOYEE NUMBER],T_EMPLOYEES[[#This Row],[EMPLOYEE NUMBER]])&gt;1,1,0))</f>
        <v>0</v>
      </c>
      <c r="AC529">
        <f ca="1">IF(T_EMPLOYEES[[#This Row],[EMPLOYEE NUMBER]]="","",IF(AND(T_EMPLOYEES[[#This Row],[DATE OF BIRTH]]&gt;0,T_EMPLOYEES[[#This Row],[DATE OF BIRTH]]&lt;TODAY()),0,1))</f>
        <v>0</v>
      </c>
      <c r="AD529">
        <f ca="1">IF(T_EMPLOYEES[[#This Row],[EMPLOYEE NUMBER]]="","",IF(AND(T_EMPLOYEES[[#This Row],[START DATE]]&gt;0,T_EMPLOYEES[[#This Row],[START DATE]]&lt;TODAY()+60),0,1))</f>
        <v>0</v>
      </c>
      <c r="AE529">
        <f ca="1">IF(T_EMPLOYEES[[#This Row],[EMPLOYEE NUMBER]]="","",MATCH(T_EMPLOYEES[[#This Row],[GENDER]],L_GENDER,0))</f>
        <v>1</v>
      </c>
      <c r="AF529">
        <f ca="1">IF(T_EMPLOYEES[[#This Row],[EMPLOYEE NUMBER]]="","",MATCH(T_EMPLOYEES[[#This Row],[HIRE SOURCE]],L_HIRESOURCE,0))</f>
        <v>4</v>
      </c>
      <c r="AG529">
        <f ca="1">IF(T_EMPLOYEES[[#This Row],[EMPLOYEE NUMBER]]="","",MATCH(T_EMPLOYEES[[#This Row],[ETHNICITY]],L_ETHNICITY,0))</f>
        <v>3</v>
      </c>
      <c r="AH529">
        <f ca="1">IF(T_EMPLOYEES[[#This Row],[EMPLOYEE NUMBER]]="","",MATCH(T_EMPLOYEES[[#This Row],[LOCATION]],L_LOCATION,0))</f>
        <v>1</v>
      </c>
      <c r="AI529">
        <f ca="1">IF(T_EMPLOYEES[[#This Row],[EMPLOYEE NUMBER]]="","",MATCH(T_EMPLOYEES[[#This Row],[DEPARTMENT]],L_DEPARTMENT,0))</f>
        <v>11</v>
      </c>
      <c r="AJ529">
        <f ca="1">IF(T_EMPLOYEES[[#This Row],[EMPLOYEE NUMBER]]="","",MATCH(T_EMPLOYEES[[#This Row],[JOB TYPE]],L_JOBTYPE,0))</f>
        <v>2</v>
      </c>
      <c r="AK529">
        <f ca="1">IF(T_EMPLOYEES[[#This Row],[EMPLOYEE NUMBER]]="","",MATCH(T_EMPLOYEES[[#This Row],[JOB CATEGORY]],L_JOBCATEGORY,0))</f>
        <v>39</v>
      </c>
      <c r="AL529">
        <f ca="1">IF(T_EMPLOYEES[[#This Row],[EMPLOYEE NUMBER]]="","",MATCH(T_EMPLOYEES[[#This Row],[JOB LEVEL]],L_JOBLEVEL,0))</f>
        <v>2</v>
      </c>
      <c r="AM529">
        <f ca="1">IF(T_EMPLOYEES[[#This Row],[EMPLOYEE NUMBER]]="","",MATCH(T_EMPLOYEES[[#This Row],[JOB TITLE]],L_JOBTITLE,0))</f>
        <v>39</v>
      </c>
      <c r="AN529">
        <f ca="1">IF(T_EMPLOYEES[[#This Row],[EMPLOYEE NUMBER]]="","",MATCH(T_EMPLOYEES[[#This Row],[MANAGER]],L_EMPLABELS,0))</f>
        <v>6</v>
      </c>
      <c r="AO529">
        <f ca="1">IF(T_EMPLOYEES[[#This Row],[EMPLOYEE NUMBER]]="","",IF(T_EMPLOYEES[[#This Row],[ERROR]]="",0,1))</f>
        <v>0</v>
      </c>
      <c r="AP52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0" spans="1:42">
      <c r="A530" t="s">
        <v>1666</v>
      </c>
      <c r="B530" t="s">
        <v>1667</v>
      </c>
      <c r="C530">
        <v>1029524</v>
      </c>
      <c r="D530" t="s">
        <v>1668</v>
      </c>
      <c r="E530" s="26">
        <v>36956</v>
      </c>
      <c r="F530" s="26">
        <v>44757</v>
      </c>
      <c r="H530" t="s">
        <v>27</v>
      </c>
      <c r="I530" t="s">
        <v>54</v>
      </c>
      <c r="J530" t="s">
        <v>64</v>
      </c>
      <c r="K530" t="s">
        <v>30</v>
      </c>
      <c r="L530" s="27" t="s">
        <v>45</v>
      </c>
      <c r="M530" t="s">
        <v>46</v>
      </c>
      <c r="N530" t="s">
        <v>151</v>
      </c>
      <c r="O530" t="s">
        <v>36</v>
      </c>
      <c r="P530" t="s">
        <v>151</v>
      </c>
      <c r="Q530" t="s">
        <v>512</v>
      </c>
      <c r="R530" s="27">
        <v>0</v>
      </c>
      <c r="S530" s="1">
        <v>1200000</v>
      </c>
      <c r="T530" s="1">
        <f ca="1">ROUND(T_EMPLOYEES[[#This Row],[EMP_CTC1]]/12, 0)</f>
        <v>100000</v>
      </c>
      <c r="U530" s="1">
        <v>1000000</v>
      </c>
      <c r="V530" s="1" t="s">
        <v>207</v>
      </c>
      <c r="W530" s="1" t="s">
        <v>207</v>
      </c>
      <c r="X53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Basina Rohit Kumar (1029524)</v>
      </c>
      <c r="Y530">
        <v>120000</v>
      </c>
      <c r="Z530" s="29">
        <f t="shared" ca="1" si="9"/>
        <v>16.666666666666664</v>
      </c>
      <c r="AA530">
        <f ca="1">IF(T_EMPLOYEES[[#This Row],[EMPLOYEE NUMBER]]="","",ROW(T_EMPLOYEES[[#This Row],[EMPLOYEE LABEL]])-ROW(T_EMPLOYEES[[#Headers],[EMPLOYEE LABEL]]))</f>
        <v>527</v>
      </c>
      <c r="AB530">
        <f ca="1">IF(T_EMPLOYEES[[#This Row],[EMPLOYEE NUMBER]]="","",IF(COUNTIF(T_EMPLOYEES[EMPLOYEE NUMBER],T_EMPLOYEES[[#This Row],[EMPLOYEE NUMBER]])&gt;1,1,0))</f>
        <v>0</v>
      </c>
      <c r="AC530">
        <f ca="1">IF(T_EMPLOYEES[[#This Row],[EMPLOYEE NUMBER]]="","",IF(AND(T_EMPLOYEES[[#This Row],[DATE OF BIRTH]]&gt;0,T_EMPLOYEES[[#This Row],[DATE OF BIRTH]]&lt;TODAY()),0,1))</f>
        <v>0</v>
      </c>
      <c r="AD530">
        <f ca="1">IF(T_EMPLOYEES[[#This Row],[EMPLOYEE NUMBER]]="","",IF(AND(T_EMPLOYEES[[#This Row],[START DATE]]&gt;0,T_EMPLOYEES[[#This Row],[START DATE]]&lt;TODAY()+60),0,1))</f>
        <v>0</v>
      </c>
      <c r="AE530">
        <f ca="1">IF(T_EMPLOYEES[[#This Row],[EMPLOYEE NUMBER]]="","",MATCH(T_EMPLOYEES[[#This Row],[GENDER]],L_GENDER,0))</f>
        <v>1</v>
      </c>
      <c r="AF530">
        <f ca="1">IF(T_EMPLOYEES[[#This Row],[EMPLOYEE NUMBER]]="","",MATCH(T_EMPLOYEES[[#This Row],[HIRE SOURCE]],L_HIRESOURCE,0))</f>
        <v>4</v>
      </c>
      <c r="AG530">
        <f ca="1">IF(T_EMPLOYEES[[#This Row],[EMPLOYEE NUMBER]]="","",MATCH(T_EMPLOYEES[[#This Row],[ETHNICITY]],L_ETHNICITY,0))</f>
        <v>3</v>
      </c>
      <c r="AH530">
        <f ca="1">IF(T_EMPLOYEES[[#This Row],[EMPLOYEE NUMBER]]="","",MATCH(T_EMPLOYEES[[#This Row],[LOCATION]],L_LOCATION,0))</f>
        <v>1</v>
      </c>
      <c r="AI530">
        <f ca="1">IF(T_EMPLOYEES[[#This Row],[EMPLOYEE NUMBER]]="","",MATCH(T_EMPLOYEES[[#This Row],[DEPARTMENT]],L_DEPARTMENT,0))</f>
        <v>2</v>
      </c>
      <c r="AJ530">
        <f ca="1">IF(T_EMPLOYEES[[#This Row],[EMPLOYEE NUMBER]]="","",MATCH(T_EMPLOYEES[[#This Row],[JOB TYPE]],L_JOBTYPE,0))</f>
        <v>2</v>
      </c>
      <c r="AK530">
        <f ca="1">IF(T_EMPLOYEES[[#This Row],[EMPLOYEE NUMBER]]="","",MATCH(T_EMPLOYEES[[#This Row],[JOB CATEGORY]],L_JOBCATEGORY,0))</f>
        <v>30</v>
      </c>
      <c r="AL530">
        <f ca="1">IF(T_EMPLOYEES[[#This Row],[EMPLOYEE NUMBER]]="","",MATCH(T_EMPLOYEES[[#This Row],[JOB LEVEL]],L_JOBLEVEL,0))</f>
        <v>1</v>
      </c>
      <c r="AM530">
        <f ca="1">IF(T_EMPLOYEES[[#This Row],[EMPLOYEE NUMBER]]="","",MATCH(T_EMPLOYEES[[#This Row],[JOB TITLE]],L_JOBTITLE,0))</f>
        <v>30</v>
      </c>
      <c r="AN530">
        <f ca="1">IF(T_EMPLOYEES[[#This Row],[EMPLOYEE NUMBER]]="","",MATCH(T_EMPLOYEES[[#This Row],[MANAGER]],L_EMPLABELS,0))</f>
        <v>39</v>
      </c>
      <c r="AO530">
        <f ca="1">IF(T_EMPLOYEES[[#This Row],[EMPLOYEE NUMBER]]="","",IF(T_EMPLOYEES[[#This Row],[ERROR]]="",0,1))</f>
        <v>0</v>
      </c>
      <c r="AP53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1" spans="1:42">
      <c r="A531" t="s">
        <v>1669</v>
      </c>
      <c r="B531" t="s">
        <v>1670</v>
      </c>
      <c r="C531">
        <v>1029527</v>
      </c>
      <c r="D531" t="s">
        <v>1671</v>
      </c>
      <c r="E531" s="26">
        <v>36965</v>
      </c>
      <c r="F531" s="26">
        <v>44757</v>
      </c>
      <c r="H531" t="s">
        <v>27</v>
      </c>
      <c r="I531" t="s">
        <v>54</v>
      </c>
      <c r="J531" t="s">
        <v>64</v>
      </c>
      <c r="K531" t="s">
        <v>30</v>
      </c>
      <c r="L531" s="27" t="s">
        <v>118</v>
      </c>
      <c r="M531" t="s">
        <v>46</v>
      </c>
      <c r="N531" t="s">
        <v>151</v>
      </c>
      <c r="O531" t="s">
        <v>36</v>
      </c>
      <c r="P531" t="s">
        <v>151</v>
      </c>
      <c r="Q531" t="s">
        <v>353</v>
      </c>
      <c r="R531">
        <v>0</v>
      </c>
      <c r="S531" s="1">
        <v>1200000</v>
      </c>
      <c r="T531" s="1">
        <f ca="1">ROUND(T_EMPLOYEES[[#This Row],[EMP_CTC1]]/12, 0)</f>
        <v>100000</v>
      </c>
      <c r="U531" s="1">
        <v>1000000</v>
      </c>
      <c r="V531" s="1" t="s">
        <v>207</v>
      </c>
      <c r="W531" s="1" t="s">
        <v>207</v>
      </c>
      <c r="X53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Sarath Madugula (1029527)</v>
      </c>
      <c r="Y531">
        <v>120000</v>
      </c>
      <c r="Z531" s="29">
        <f t="shared" ca="1" si="9"/>
        <v>16.666666666666664</v>
      </c>
      <c r="AA531">
        <f ca="1">IF(T_EMPLOYEES[[#This Row],[EMPLOYEE NUMBER]]="","",ROW(T_EMPLOYEES[[#This Row],[EMPLOYEE LABEL]])-ROW(T_EMPLOYEES[[#Headers],[EMPLOYEE LABEL]]))</f>
        <v>528</v>
      </c>
      <c r="AB531">
        <f ca="1">IF(T_EMPLOYEES[[#This Row],[EMPLOYEE NUMBER]]="","",IF(COUNTIF(T_EMPLOYEES[EMPLOYEE NUMBER],T_EMPLOYEES[[#This Row],[EMPLOYEE NUMBER]])&gt;1,1,0))</f>
        <v>0</v>
      </c>
      <c r="AC531">
        <f ca="1">IF(T_EMPLOYEES[[#This Row],[EMPLOYEE NUMBER]]="","",IF(AND(T_EMPLOYEES[[#This Row],[DATE OF BIRTH]]&gt;0,T_EMPLOYEES[[#This Row],[DATE OF BIRTH]]&lt;TODAY()),0,1))</f>
        <v>0</v>
      </c>
      <c r="AD531">
        <f ca="1">IF(T_EMPLOYEES[[#This Row],[EMPLOYEE NUMBER]]="","",IF(AND(T_EMPLOYEES[[#This Row],[START DATE]]&gt;0,T_EMPLOYEES[[#This Row],[START DATE]]&lt;TODAY()+60),0,1))</f>
        <v>0</v>
      </c>
      <c r="AE531">
        <f ca="1">IF(T_EMPLOYEES[[#This Row],[EMPLOYEE NUMBER]]="","",MATCH(T_EMPLOYEES[[#This Row],[GENDER]],L_GENDER,0))</f>
        <v>1</v>
      </c>
      <c r="AF531">
        <f ca="1">IF(T_EMPLOYEES[[#This Row],[EMPLOYEE NUMBER]]="","",MATCH(T_EMPLOYEES[[#This Row],[HIRE SOURCE]],L_HIRESOURCE,0))</f>
        <v>4</v>
      </c>
      <c r="AG531">
        <f ca="1">IF(T_EMPLOYEES[[#This Row],[EMPLOYEE NUMBER]]="","",MATCH(T_EMPLOYEES[[#This Row],[ETHNICITY]],L_ETHNICITY,0))</f>
        <v>3</v>
      </c>
      <c r="AH531">
        <f ca="1">IF(T_EMPLOYEES[[#This Row],[EMPLOYEE NUMBER]]="","",MATCH(T_EMPLOYEES[[#This Row],[LOCATION]],L_LOCATION,0))</f>
        <v>1</v>
      </c>
      <c r="AI531">
        <f ca="1">IF(T_EMPLOYEES[[#This Row],[EMPLOYEE NUMBER]]="","",MATCH(T_EMPLOYEES[[#This Row],[DEPARTMENT]],L_DEPARTMENT,0))</f>
        <v>12</v>
      </c>
      <c r="AJ531">
        <f ca="1">IF(T_EMPLOYEES[[#This Row],[EMPLOYEE NUMBER]]="","",MATCH(T_EMPLOYEES[[#This Row],[JOB TYPE]],L_JOBTYPE,0))</f>
        <v>2</v>
      </c>
      <c r="AK531">
        <f ca="1">IF(T_EMPLOYEES[[#This Row],[EMPLOYEE NUMBER]]="","",MATCH(T_EMPLOYEES[[#This Row],[JOB CATEGORY]],L_JOBCATEGORY,0))</f>
        <v>30</v>
      </c>
      <c r="AL531">
        <f ca="1">IF(T_EMPLOYEES[[#This Row],[EMPLOYEE NUMBER]]="","",MATCH(T_EMPLOYEES[[#This Row],[JOB LEVEL]],L_JOBLEVEL,0))</f>
        <v>1</v>
      </c>
      <c r="AM531">
        <f ca="1">IF(T_EMPLOYEES[[#This Row],[EMPLOYEE NUMBER]]="","",MATCH(T_EMPLOYEES[[#This Row],[JOB TITLE]],L_JOBTITLE,0))</f>
        <v>30</v>
      </c>
      <c r="AN531">
        <f ca="1">IF(T_EMPLOYEES[[#This Row],[EMPLOYEE NUMBER]]="","",MATCH(T_EMPLOYEES[[#This Row],[MANAGER]],L_EMPLABELS,0))</f>
        <v>137</v>
      </c>
      <c r="AO531">
        <f ca="1">IF(T_EMPLOYEES[[#This Row],[EMPLOYEE NUMBER]]="","",IF(T_EMPLOYEES[[#This Row],[ERROR]]="",0,1))</f>
        <v>0</v>
      </c>
      <c r="AP53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2" spans="1:42">
      <c r="A532" t="s">
        <v>1672</v>
      </c>
      <c r="B532" t="s">
        <v>594</v>
      </c>
      <c r="C532">
        <v>1030923</v>
      </c>
      <c r="D532" t="s">
        <v>1673</v>
      </c>
      <c r="E532" s="26">
        <v>36971</v>
      </c>
      <c r="F532" s="26">
        <v>44876</v>
      </c>
      <c r="H532" t="s">
        <v>40</v>
      </c>
      <c r="I532" t="s">
        <v>54</v>
      </c>
      <c r="J532" t="s">
        <v>64</v>
      </c>
      <c r="K532" t="s">
        <v>30</v>
      </c>
      <c r="L532" s="27" t="s">
        <v>114</v>
      </c>
      <c r="M532" t="s">
        <v>46</v>
      </c>
      <c r="N532" t="s">
        <v>151</v>
      </c>
      <c r="O532" t="s">
        <v>36</v>
      </c>
      <c r="P532" t="s">
        <v>151</v>
      </c>
      <c r="Q532" t="s">
        <v>505</v>
      </c>
      <c r="R532" s="27">
        <v>0</v>
      </c>
      <c r="S532" s="1">
        <v>1200000</v>
      </c>
      <c r="T532" s="1">
        <f ca="1">ROUND(T_EMPLOYEES[[#This Row],[EMP_CTC1]]/12, 0)</f>
        <v>100000</v>
      </c>
      <c r="U532" s="1">
        <v>1000000</v>
      </c>
      <c r="V532" s="1" t="s">
        <v>207</v>
      </c>
      <c r="W532" s="1" t="s">
        <v>207</v>
      </c>
      <c r="X53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Lata Sharma (1030923)</v>
      </c>
      <c r="Y532">
        <v>120000</v>
      </c>
      <c r="Z532" s="29">
        <f t="shared" ca="1" si="9"/>
        <v>16.666666666666664</v>
      </c>
      <c r="AA532">
        <f ca="1">IF(T_EMPLOYEES[[#This Row],[EMPLOYEE NUMBER]]="","",ROW(T_EMPLOYEES[[#This Row],[EMPLOYEE LABEL]])-ROW(T_EMPLOYEES[[#Headers],[EMPLOYEE LABEL]]))</f>
        <v>529</v>
      </c>
      <c r="AB532">
        <f ca="1">IF(T_EMPLOYEES[[#This Row],[EMPLOYEE NUMBER]]="","",IF(COUNTIF(T_EMPLOYEES[EMPLOYEE NUMBER],T_EMPLOYEES[[#This Row],[EMPLOYEE NUMBER]])&gt;1,1,0))</f>
        <v>0</v>
      </c>
      <c r="AC532">
        <f ca="1">IF(T_EMPLOYEES[[#This Row],[EMPLOYEE NUMBER]]="","",IF(AND(T_EMPLOYEES[[#This Row],[DATE OF BIRTH]]&gt;0,T_EMPLOYEES[[#This Row],[DATE OF BIRTH]]&lt;TODAY()),0,1))</f>
        <v>0</v>
      </c>
      <c r="AD532">
        <f ca="1">IF(T_EMPLOYEES[[#This Row],[EMPLOYEE NUMBER]]="","",IF(AND(T_EMPLOYEES[[#This Row],[START DATE]]&gt;0,T_EMPLOYEES[[#This Row],[START DATE]]&lt;TODAY()+60),0,1))</f>
        <v>0</v>
      </c>
      <c r="AE532">
        <f ca="1">IF(T_EMPLOYEES[[#This Row],[EMPLOYEE NUMBER]]="","",MATCH(T_EMPLOYEES[[#This Row],[GENDER]],L_GENDER,0))</f>
        <v>2</v>
      </c>
      <c r="AF532">
        <f ca="1">IF(T_EMPLOYEES[[#This Row],[EMPLOYEE NUMBER]]="","",MATCH(T_EMPLOYEES[[#This Row],[HIRE SOURCE]],L_HIRESOURCE,0))</f>
        <v>4</v>
      </c>
      <c r="AG532">
        <f ca="1">IF(T_EMPLOYEES[[#This Row],[EMPLOYEE NUMBER]]="","",MATCH(T_EMPLOYEES[[#This Row],[ETHNICITY]],L_ETHNICITY,0))</f>
        <v>3</v>
      </c>
      <c r="AH532">
        <f ca="1">IF(T_EMPLOYEES[[#This Row],[EMPLOYEE NUMBER]]="","",MATCH(T_EMPLOYEES[[#This Row],[LOCATION]],L_LOCATION,0))</f>
        <v>1</v>
      </c>
      <c r="AI532">
        <f ca="1">IF(T_EMPLOYEES[[#This Row],[EMPLOYEE NUMBER]]="","",MATCH(T_EMPLOYEES[[#This Row],[DEPARTMENT]],L_DEPARTMENT,0))</f>
        <v>11</v>
      </c>
      <c r="AJ532">
        <f ca="1">IF(T_EMPLOYEES[[#This Row],[EMPLOYEE NUMBER]]="","",MATCH(T_EMPLOYEES[[#This Row],[JOB TYPE]],L_JOBTYPE,0))</f>
        <v>2</v>
      </c>
      <c r="AK532">
        <f ca="1">IF(T_EMPLOYEES[[#This Row],[EMPLOYEE NUMBER]]="","",MATCH(T_EMPLOYEES[[#This Row],[JOB CATEGORY]],L_JOBCATEGORY,0))</f>
        <v>30</v>
      </c>
      <c r="AL532">
        <f ca="1">IF(T_EMPLOYEES[[#This Row],[EMPLOYEE NUMBER]]="","",MATCH(T_EMPLOYEES[[#This Row],[JOB LEVEL]],L_JOBLEVEL,0))</f>
        <v>1</v>
      </c>
      <c r="AM532">
        <f ca="1">IF(T_EMPLOYEES[[#This Row],[EMPLOYEE NUMBER]]="","",MATCH(T_EMPLOYEES[[#This Row],[JOB TITLE]],L_JOBTITLE,0))</f>
        <v>30</v>
      </c>
      <c r="AN532">
        <f ca="1">IF(T_EMPLOYEES[[#This Row],[EMPLOYEE NUMBER]]="","",MATCH(T_EMPLOYEES[[#This Row],[MANAGER]],L_EMPLABELS,0))</f>
        <v>57</v>
      </c>
      <c r="AO532">
        <f ca="1">IF(T_EMPLOYEES[[#This Row],[EMPLOYEE NUMBER]]="","",IF(T_EMPLOYEES[[#This Row],[ERROR]]="",0,1))</f>
        <v>0</v>
      </c>
      <c r="AP53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3" spans="1:42">
      <c r="A533" t="s">
        <v>1674</v>
      </c>
      <c r="B533" t="s">
        <v>1675</v>
      </c>
      <c r="C533">
        <v>1029883</v>
      </c>
      <c r="D533" t="s">
        <v>1676</v>
      </c>
      <c r="E533" s="26">
        <v>36980</v>
      </c>
      <c r="F533" s="26">
        <v>44791</v>
      </c>
      <c r="H533" t="s">
        <v>40</v>
      </c>
      <c r="I533" t="s">
        <v>54</v>
      </c>
      <c r="J533" t="s">
        <v>64</v>
      </c>
      <c r="K533" t="s">
        <v>43</v>
      </c>
      <c r="L533" s="27" t="s">
        <v>114</v>
      </c>
      <c r="M533" t="s">
        <v>46</v>
      </c>
      <c r="N533" t="s">
        <v>151</v>
      </c>
      <c r="O533" t="s">
        <v>36</v>
      </c>
      <c r="P533" t="s">
        <v>151</v>
      </c>
      <c r="Q533" t="s">
        <v>505</v>
      </c>
      <c r="R533">
        <v>0</v>
      </c>
      <c r="S533" s="1">
        <v>1200000</v>
      </c>
      <c r="T533" s="1">
        <f ca="1">ROUND(T_EMPLOYEES[[#This Row],[EMP_CTC1]]/12, 0)</f>
        <v>100000</v>
      </c>
      <c r="U533" s="1">
        <v>1000000</v>
      </c>
      <c r="V533" s="1" t="s">
        <v>207</v>
      </c>
      <c r="W533" s="1" t="s">
        <v>207</v>
      </c>
      <c r="X53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Aiatharappa Gari Sindhu (1029883)</v>
      </c>
      <c r="Y533">
        <v>120000</v>
      </c>
      <c r="Z533" s="29">
        <f t="shared" ca="1" si="9"/>
        <v>16.666666666666664</v>
      </c>
      <c r="AA533">
        <f ca="1">IF(T_EMPLOYEES[[#This Row],[EMPLOYEE NUMBER]]="","",ROW(T_EMPLOYEES[[#This Row],[EMPLOYEE LABEL]])-ROW(T_EMPLOYEES[[#Headers],[EMPLOYEE LABEL]]))</f>
        <v>530</v>
      </c>
      <c r="AB533">
        <f ca="1">IF(T_EMPLOYEES[[#This Row],[EMPLOYEE NUMBER]]="","",IF(COUNTIF(T_EMPLOYEES[EMPLOYEE NUMBER],T_EMPLOYEES[[#This Row],[EMPLOYEE NUMBER]])&gt;1,1,0))</f>
        <v>0</v>
      </c>
      <c r="AC533">
        <f ca="1">IF(T_EMPLOYEES[[#This Row],[EMPLOYEE NUMBER]]="","",IF(AND(T_EMPLOYEES[[#This Row],[DATE OF BIRTH]]&gt;0,T_EMPLOYEES[[#This Row],[DATE OF BIRTH]]&lt;TODAY()),0,1))</f>
        <v>0</v>
      </c>
      <c r="AD533">
        <f ca="1">IF(T_EMPLOYEES[[#This Row],[EMPLOYEE NUMBER]]="","",IF(AND(T_EMPLOYEES[[#This Row],[START DATE]]&gt;0,T_EMPLOYEES[[#This Row],[START DATE]]&lt;TODAY()+60),0,1))</f>
        <v>0</v>
      </c>
      <c r="AE533">
        <f ca="1">IF(T_EMPLOYEES[[#This Row],[EMPLOYEE NUMBER]]="","",MATCH(T_EMPLOYEES[[#This Row],[GENDER]],L_GENDER,0))</f>
        <v>2</v>
      </c>
      <c r="AF533">
        <f ca="1">IF(T_EMPLOYEES[[#This Row],[EMPLOYEE NUMBER]]="","",MATCH(T_EMPLOYEES[[#This Row],[HIRE SOURCE]],L_HIRESOURCE,0))</f>
        <v>4</v>
      </c>
      <c r="AG533">
        <f ca="1">IF(T_EMPLOYEES[[#This Row],[EMPLOYEE NUMBER]]="","",MATCH(T_EMPLOYEES[[#This Row],[ETHNICITY]],L_ETHNICITY,0))</f>
        <v>3</v>
      </c>
      <c r="AH533">
        <f ca="1">IF(T_EMPLOYEES[[#This Row],[EMPLOYEE NUMBER]]="","",MATCH(T_EMPLOYEES[[#This Row],[LOCATION]],L_LOCATION,0))</f>
        <v>2</v>
      </c>
      <c r="AI533">
        <f ca="1">IF(T_EMPLOYEES[[#This Row],[EMPLOYEE NUMBER]]="","",MATCH(T_EMPLOYEES[[#This Row],[DEPARTMENT]],L_DEPARTMENT,0))</f>
        <v>11</v>
      </c>
      <c r="AJ533">
        <f ca="1">IF(T_EMPLOYEES[[#This Row],[EMPLOYEE NUMBER]]="","",MATCH(T_EMPLOYEES[[#This Row],[JOB TYPE]],L_JOBTYPE,0))</f>
        <v>2</v>
      </c>
      <c r="AK533">
        <f ca="1">IF(T_EMPLOYEES[[#This Row],[EMPLOYEE NUMBER]]="","",MATCH(T_EMPLOYEES[[#This Row],[JOB CATEGORY]],L_JOBCATEGORY,0))</f>
        <v>30</v>
      </c>
      <c r="AL533">
        <f ca="1">IF(T_EMPLOYEES[[#This Row],[EMPLOYEE NUMBER]]="","",MATCH(T_EMPLOYEES[[#This Row],[JOB LEVEL]],L_JOBLEVEL,0))</f>
        <v>1</v>
      </c>
      <c r="AM533">
        <f ca="1">IF(T_EMPLOYEES[[#This Row],[EMPLOYEE NUMBER]]="","",MATCH(T_EMPLOYEES[[#This Row],[JOB TITLE]],L_JOBTITLE,0))</f>
        <v>30</v>
      </c>
      <c r="AN533">
        <f ca="1">IF(T_EMPLOYEES[[#This Row],[EMPLOYEE NUMBER]]="","",MATCH(T_EMPLOYEES[[#This Row],[MANAGER]],L_EMPLABELS,0))</f>
        <v>57</v>
      </c>
      <c r="AO533">
        <f ca="1">IF(T_EMPLOYEES[[#This Row],[EMPLOYEE NUMBER]]="","",IF(T_EMPLOYEES[[#This Row],[ERROR]]="",0,1))</f>
        <v>0</v>
      </c>
      <c r="AP53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4" spans="1:42">
      <c r="A534" t="s">
        <v>1677</v>
      </c>
      <c r="B534" t="s">
        <v>1678</v>
      </c>
      <c r="C534">
        <v>1033233</v>
      </c>
      <c r="D534" t="s">
        <v>1679</v>
      </c>
      <c r="E534" s="26">
        <v>36984</v>
      </c>
      <c r="F534" s="26">
        <v>45155</v>
      </c>
      <c r="H534" t="s">
        <v>40</v>
      </c>
      <c r="I534" t="s">
        <v>54</v>
      </c>
      <c r="J534" t="s">
        <v>64</v>
      </c>
      <c r="K534" t="s">
        <v>30</v>
      </c>
      <c r="L534" s="27" t="s">
        <v>114</v>
      </c>
      <c r="M534" t="s">
        <v>46</v>
      </c>
      <c r="N534" t="s">
        <v>151</v>
      </c>
      <c r="O534" t="s">
        <v>36</v>
      </c>
      <c r="P534" t="s">
        <v>151</v>
      </c>
      <c r="Q534" t="s">
        <v>468</v>
      </c>
      <c r="R534" s="27">
        <v>0</v>
      </c>
      <c r="S534" s="1">
        <v>1200000</v>
      </c>
      <c r="T534" s="1">
        <f ca="1">ROUND(T_EMPLOYEES[[#This Row],[EMP_CTC1]]/12, 0)</f>
        <v>100000</v>
      </c>
      <c r="U534" s="1">
        <v>1000000</v>
      </c>
      <c r="V534" s="1" t="s">
        <v>207</v>
      </c>
      <c r="W534" s="1" t="s">
        <v>207</v>
      </c>
      <c r="X53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Pramita Dash (1033233)</v>
      </c>
      <c r="Y534">
        <v>120000</v>
      </c>
      <c r="Z534" s="29">
        <f t="shared" ca="1" si="9"/>
        <v>16.666666666666664</v>
      </c>
      <c r="AA534">
        <f ca="1">IF(T_EMPLOYEES[[#This Row],[EMPLOYEE NUMBER]]="","",ROW(T_EMPLOYEES[[#This Row],[EMPLOYEE LABEL]])-ROW(T_EMPLOYEES[[#Headers],[EMPLOYEE LABEL]]))</f>
        <v>531</v>
      </c>
      <c r="AB534">
        <f ca="1">IF(T_EMPLOYEES[[#This Row],[EMPLOYEE NUMBER]]="","",IF(COUNTIF(T_EMPLOYEES[EMPLOYEE NUMBER],T_EMPLOYEES[[#This Row],[EMPLOYEE NUMBER]])&gt;1,1,0))</f>
        <v>0</v>
      </c>
      <c r="AC534">
        <f ca="1">IF(T_EMPLOYEES[[#This Row],[EMPLOYEE NUMBER]]="","",IF(AND(T_EMPLOYEES[[#This Row],[DATE OF BIRTH]]&gt;0,T_EMPLOYEES[[#This Row],[DATE OF BIRTH]]&lt;TODAY()),0,1))</f>
        <v>0</v>
      </c>
      <c r="AD534">
        <f ca="1">IF(T_EMPLOYEES[[#This Row],[EMPLOYEE NUMBER]]="","",IF(AND(T_EMPLOYEES[[#This Row],[START DATE]]&gt;0,T_EMPLOYEES[[#This Row],[START DATE]]&lt;TODAY()+60),0,1))</f>
        <v>0</v>
      </c>
      <c r="AE534">
        <f ca="1">IF(T_EMPLOYEES[[#This Row],[EMPLOYEE NUMBER]]="","",MATCH(T_EMPLOYEES[[#This Row],[GENDER]],L_GENDER,0))</f>
        <v>2</v>
      </c>
      <c r="AF534">
        <f ca="1">IF(T_EMPLOYEES[[#This Row],[EMPLOYEE NUMBER]]="","",MATCH(T_EMPLOYEES[[#This Row],[HIRE SOURCE]],L_HIRESOURCE,0))</f>
        <v>4</v>
      </c>
      <c r="AG534">
        <f ca="1">IF(T_EMPLOYEES[[#This Row],[EMPLOYEE NUMBER]]="","",MATCH(T_EMPLOYEES[[#This Row],[ETHNICITY]],L_ETHNICITY,0))</f>
        <v>3</v>
      </c>
      <c r="AH534">
        <f ca="1">IF(T_EMPLOYEES[[#This Row],[EMPLOYEE NUMBER]]="","",MATCH(T_EMPLOYEES[[#This Row],[LOCATION]],L_LOCATION,0))</f>
        <v>1</v>
      </c>
      <c r="AI534">
        <f ca="1">IF(T_EMPLOYEES[[#This Row],[EMPLOYEE NUMBER]]="","",MATCH(T_EMPLOYEES[[#This Row],[DEPARTMENT]],L_DEPARTMENT,0))</f>
        <v>11</v>
      </c>
      <c r="AJ534">
        <f ca="1">IF(T_EMPLOYEES[[#This Row],[EMPLOYEE NUMBER]]="","",MATCH(T_EMPLOYEES[[#This Row],[JOB TYPE]],L_JOBTYPE,0))</f>
        <v>2</v>
      </c>
      <c r="AK534">
        <f ca="1">IF(T_EMPLOYEES[[#This Row],[EMPLOYEE NUMBER]]="","",MATCH(T_EMPLOYEES[[#This Row],[JOB CATEGORY]],L_JOBCATEGORY,0))</f>
        <v>30</v>
      </c>
      <c r="AL534">
        <f ca="1">IF(T_EMPLOYEES[[#This Row],[EMPLOYEE NUMBER]]="","",MATCH(T_EMPLOYEES[[#This Row],[JOB LEVEL]],L_JOBLEVEL,0))</f>
        <v>1</v>
      </c>
      <c r="AM534">
        <f ca="1">IF(T_EMPLOYEES[[#This Row],[EMPLOYEE NUMBER]]="","",MATCH(T_EMPLOYEES[[#This Row],[JOB TITLE]],L_JOBTITLE,0))</f>
        <v>30</v>
      </c>
      <c r="AN534">
        <f ca="1">IF(T_EMPLOYEES[[#This Row],[EMPLOYEE NUMBER]]="","",MATCH(T_EMPLOYEES[[#This Row],[MANAGER]],L_EMPLABELS,0))</f>
        <v>56</v>
      </c>
      <c r="AO534">
        <f ca="1">IF(T_EMPLOYEES[[#This Row],[EMPLOYEE NUMBER]]="","",IF(T_EMPLOYEES[[#This Row],[ERROR]]="",0,1))</f>
        <v>0</v>
      </c>
      <c r="AP53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5" spans="1:42">
      <c r="A535" t="s">
        <v>226</v>
      </c>
      <c r="B535" t="s">
        <v>1680</v>
      </c>
      <c r="C535">
        <v>1029306</v>
      </c>
      <c r="D535" t="s">
        <v>1681</v>
      </c>
      <c r="E535" s="26">
        <v>37000</v>
      </c>
      <c r="F535" s="26">
        <v>44729</v>
      </c>
      <c r="H535" t="s">
        <v>27</v>
      </c>
      <c r="I535" t="s">
        <v>54</v>
      </c>
      <c r="J535" t="s">
        <v>64</v>
      </c>
      <c r="K535" t="s">
        <v>43</v>
      </c>
      <c r="L535" s="27" t="s">
        <v>114</v>
      </c>
      <c r="M535" t="s">
        <v>46</v>
      </c>
      <c r="N535" t="s">
        <v>151</v>
      </c>
      <c r="O535" t="s">
        <v>36</v>
      </c>
      <c r="P535" t="s">
        <v>151</v>
      </c>
      <c r="Q535" t="s">
        <v>505</v>
      </c>
      <c r="R535">
        <v>0</v>
      </c>
      <c r="S535" s="1">
        <v>1200000</v>
      </c>
      <c r="T535" s="1">
        <f ca="1">ROUND(T_EMPLOYEES[[#This Row],[EMP_CTC1]]/12, 0)</f>
        <v>100000</v>
      </c>
      <c r="U535" s="1">
        <v>1000000</v>
      </c>
      <c r="V535" s="1" t="s">
        <v>207</v>
      </c>
      <c r="W535" s="1" t="s">
        <v>207</v>
      </c>
      <c r="X53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 Gowri Shankar (1029306)</v>
      </c>
      <c r="Y535">
        <v>120000</v>
      </c>
      <c r="Z535" s="29">
        <f t="shared" ca="1" si="9"/>
        <v>16.666666666666664</v>
      </c>
      <c r="AA535">
        <f ca="1">IF(T_EMPLOYEES[[#This Row],[EMPLOYEE NUMBER]]="","",ROW(T_EMPLOYEES[[#This Row],[EMPLOYEE LABEL]])-ROW(T_EMPLOYEES[[#Headers],[EMPLOYEE LABEL]]))</f>
        <v>532</v>
      </c>
      <c r="AB535">
        <f ca="1">IF(T_EMPLOYEES[[#This Row],[EMPLOYEE NUMBER]]="","",IF(COUNTIF(T_EMPLOYEES[EMPLOYEE NUMBER],T_EMPLOYEES[[#This Row],[EMPLOYEE NUMBER]])&gt;1,1,0))</f>
        <v>0</v>
      </c>
      <c r="AC535">
        <f ca="1">IF(T_EMPLOYEES[[#This Row],[EMPLOYEE NUMBER]]="","",IF(AND(T_EMPLOYEES[[#This Row],[DATE OF BIRTH]]&gt;0,T_EMPLOYEES[[#This Row],[DATE OF BIRTH]]&lt;TODAY()),0,1))</f>
        <v>0</v>
      </c>
      <c r="AD535">
        <f ca="1">IF(T_EMPLOYEES[[#This Row],[EMPLOYEE NUMBER]]="","",IF(AND(T_EMPLOYEES[[#This Row],[START DATE]]&gt;0,T_EMPLOYEES[[#This Row],[START DATE]]&lt;TODAY()+60),0,1))</f>
        <v>0</v>
      </c>
      <c r="AE535">
        <f ca="1">IF(T_EMPLOYEES[[#This Row],[EMPLOYEE NUMBER]]="","",MATCH(T_EMPLOYEES[[#This Row],[GENDER]],L_GENDER,0))</f>
        <v>1</v>
      </c>
      <c r="AF535">
        <f ca="1">IF(T_EMPLOYEES[[#This Row],[EMPLOYEE NUMBER]]="","",MATCH(T_EMPLOYEES[[#This Row],[HIRE SOURCE]],L_HIRESOURCE,0))</f>
        <v>4</v>
      </c>
      <c r="AG535">
        <f ca="1">IF(T_EMPLOYEES[[#This Row],[EMPLOYEE NUMBER]]="","",MATCH(T_EMPLOYEES[[#This Row],[ETHNICITY]],L_ETHNICITY,0))</f>
        <v>3</v>
      </c>
      <c r="AH535">
        <f ca="1">IF(T_EMPLOYEES[[#This Row],[EMPLOYEE NUMBER]]="","",MATCH(T_EMPLOYEES[[#This Row],[LOCATION]],L_LOCATION,0))</f>
        <v>2</v>
      </c>
      <c r="AI535">
        <f ca="1">IF(T_EMPLOYEES[[#This Row],[EMPLOYEE NUMBER]]="","",MATCH(T_EMPLOYEES[[#This Row],[DEPARTMENT]],L_DEPARTMENT,0))</f>
        <v>11</v>
      </c>
      <c r="AJ535">
        <f ca="1">IF(T_EMPLOYEES[[#This Row],[EMPLOYEE NUMBER]]="","",MATCH(T_EMPLOYEES[[#This Row],[JOB TYPE]],L_JOBTYPE,0))</f>
        <v>2</v>
      </c>
      <c r="AK535">
        <f ca="1">IF(T_EMPLOYEES[[#This Row],[EMPLOYEE NUMBER]]="","",MATCH(T_EMPLOYEES[[#This Row],[JOB CATEGORY]],L_JOBCATEGORY,0))</f>
        <v>30</v>
      </c>
      <c r="AL535">
        <f ca="1">IF(T_EMPLOYEES[[#This Row],[EMPLOYEE NUMBER]]="","",MATCH(T_EMPLOYEES[[#This Row],[JOB LEVEL]],L_JOBLEVEL,0))</f>
        <v>1</v>
      </c>
      <c r="AM535">
        <f ca="1">IF(T_EMPLOYEES[[#This Row],[EMPLOYEE NUMBER]]="","",MATCH(T_EMPLOYEES[[#This Row],[JOB TITLE]],L_JOBTITLE,0))</f>
        <v>30</v>
      </c>
      <c r="AN535">
        <f ca="1">IF(T_EMPLOYEES[[#This Row],[EMPLOYEE NUMBER]]="","",MATCH(T_EMPLOYEES[[#This Row],[MANAGER]],L_EMPLABELS,0))</f>
        <v>57</v>
      </c>
      <c r="AO535">
        <f ca="1">IF(T_EMPLOYEES[[#This Row],[EMPLOYEE NUMBER]]="","",IF(T_EMPLOYEES[[#This Row],[ERROR]]="",0,1))</f>
        <v>0</v>
      </c>
      <c r="AP53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6" spans="1:42">
      <c r="A536" t="s">
        <v>1682</v>
      </c>
      <c r="B536" t="s">
        <v>1548</v>
      </c>
      <c r="C536">
        <v>1029917</v>
      </c>
      <c r="D536" t="s">
        <v>1683</v>
      </c>
      <c r="E536" s="26">
        <v>37024</v>
      </c>
      <c r="F536" s="26">
        <v>44791</v>
      </c>
      <c r="H536" t="s">
        <v>40</v>
      </c>
      <c r="I536" t="s">
        <v>54</v>
      </c>
      <c r="J536" t="s">
        <v>64</v>
      </c>
      <c r="K536" t="s">
        <v>43</v>
      </c>
      <c r="L536" s="27" t="s">
        <v>114</v>
      </c>
      <c r="M536" t="s">
        <v>46</v>
      </c>
      <c r="N536" t="s">
        <v>151</v>
      </c>
      <c r="O536" t="s">
        <v>36</v>
      </c>
      <c r="P536" t="s">
        <v>151</v>
      </c>
      <c r="Q536" t="s">
        <v>206</v>
      </c>
      <c r="R536" s="27">
        <v>0</v>
      </c>
      <c r="S536" s="1">
        <v>1200000</v>
      </c>
      <c r="T536" s="1">
        <f ca="1">ROUND(T_EMPLOYEES[[#This Row],[EMP_CTC1]]/12, 0)</f>
        <v>100000</v>
      </c>
      <c r="U536" s="1">
        <v>1000000</v>
      </c>
      <c r="V536" s="1" t="s">
        <v>207</v>
      </c>
      <c r="W536" s="1" t="s">
        <v>207</v>
      </c>
      <c r="X53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Devara Sireesha (1029917)</v>
      </c>
      <c r="Y536">
        <v>120000</v>
      </c>
      <c r="Z536" s="29">
        <f t="shared" ca="1" si="9"/>
        <v>16.666666666666664</v>
      </c>
      <c r="AA536">
        <f ca="1">IF(T_EMPLOYEES[[#This Row],[EMPLOYEE NUMBER]]="","",ROW(T_EMPLOYEES[[#This Row],[EMPLOYEE LABEL]])-ROW(T_EMPLOYEES[[#Headers],[EMPLOYEE LABEL]]))</f>
        <v>533</v>
      </c>
      <c r="AB536">
        <f ca="1">IF(T_EMPLOYEES[[#This Row],[EMPLOYEE NUMBER]]="","",IF(COUNTIF(T_EMPLOYEES[EMPLOYEE NUMBER],T_EMPLOYEES[[#This Row],[EMPLOYEE NUMBER]])&gt;1,1,0))</f>
        <v>0</v>
      </c>
      <c r="AC536">
        <f ca="1">IF(T_EMPLOYEES[[#This Row],[EMPLOYEE NUMBER]]="","",IF(AND(T_EMPLOYEES[[#This Row],[DATE OF BIRTH]]&gt;0,T_EMPLOYEES[[#This Row],[DATE OF BIRTH]]&lt;TODAY()),0,1))</f>
        <v>0</v>
      </c>
      <c r="AD536">
        <f ca="1">IF(T_EMPLOYEES[[#This Row],[EMPLOYEE NUMBER]]="","",IF(AND(T_EMPLOYEES[[#This Row],[START DATE]]&gt;0,T_EMPLOYEES[[#This Row],[START DATE]]&lt;TODAY()+60),0,1))</f>
        <v>0</v>
      </c>
      <c r="AE536">
        <f ca="1">IF(T_EMPLOYEES[[#This Row],[EMPLOYEE NUMBER]]="","",MATCH(T_EMPLOYEES[[#This Row],[GENDER]],L_GENDER,0))</f>
        <v>2</v>
      </c>
      <c r="AF536">
        <f ca="1">IF(T_EMPLOYEES[[#This Row],[EMPLOYEE NUMBER]]="","",MATCH(T_EMPLOYEES[[#This Row],[HIRE SOURCE]],L_HIRESOURCE,0))</f>
        <v>4</v>
      </c>
      <c r="AG536">
        <f ca="1">IF(T_EMPLOYEES[[#This Row],[EMPLOYEE NUMBER]]="","",MATCH(T_EMPLOYEES[[#This Row],[ETHNICITY]],L_ETHNICITY,0))</f>
        <v>3</v>
      </c>
      <c r="AH536">
        <f ca="1">IF(T_EMPLOYEES[[#This Row],[EMPLOYEE NUMBER]]="","",MATCH(T_EMPLOYEES[[#This Row],[LOCATION]],L_LOCATION,0))</f>
        <v>2</v>
      </c>
      <c r="AI536">
        <f ca="1">IF(T_EMPLOYEES[[#This Row],[EMPLOYEE NUMBER]]="","",MATCH(T_EMPLOYEES[[#This Row],[DEPARTMENT]],L_DEPARTMENT,0))</f>
        <v>11</v>
      </c>
      <c r="AJ536">
        <f ca="1">IF(T_EMPLOYEES[[#This Row],[EMPLOYEE NUMBER]]="","",MATCH(T_EMPLOYEES[[#This Row],[JOB TYPE]],L_JOBTYPE,0))</f>
        <v>2</v>
      </c>
      <c r="AK536">
        <f ca="1">IF(T_EMPLOYEES[[#This Row],[EMPLOYEE NUMBER]]="","",MATCH(T_EMPLOYEES[[#This Row],[JOB CATEGORY]],L_JOBCATEGORY,0))</f>
        <v>30</v>
      </c>
      <c r="AL536">
        <f ca="1">IF(T_EMPLOYEES[[#This Row],[EMPLOYEE NUMBER]]="","",MATCH(T_EMPLOYEES[[#This Row],[JOB LEVEL]],L_JOBLEVEL,0))</f>
        <v>1</v>
      </c>
      <c r="AM536">
        <f ca="1">IF(T_EMPLOYEES[[#This Row],[EMPLOYEE NUMBER]]="","",MATCH(T_EMPLOYEES[[#This Row],[JOB TITLE]],L_JOBTITLE,0))</f>
        <v>30</v>
      </c>
      <c r="AN536">
        <f ca="1">IF(T_EMPLOYEES[[#This Row],[EMPLOYEE NUMBER]]="","",MATCH(T_EMPLOYEES[[#This Row],[MANAGER]],L_EMPLABELS,0))</f>
        <v>6</v>
      </c>
      <c r="AO536">
        <f ca="1">IF(T_EMPLOYEES[[#This Row],[EMPLOYEE NUMBER]]="","",IF(T_EMPLOYEES[[#This Row],[ERROR]]="",0,1))</f>
        <v>0</v>
      </c>
      <c r="AP53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7" spans="1:42">
      <c r="A537" t="s">
        <v>1684</v>
      </c>
      <c r="B537" t="s">
        <v>1685</v>
      </c>
      <c r="C537">
        <v>1033207</v>
      </c>
      <c r="D537" t="s">
        <v>1686</v>
      </c>
      <c r="E537" s="26">
        <v>37024</v>
      </c>
      <c r="F537" s="26">
        <v>45155</v>
      </c>
      <c r="H537" t="s">
        <v>27</v>
      </c>
      <c r="I537" t="s">
        <v>54</v>
      </c>
      <c r="J537" t="s">
        <v>64</v>
      </c>
      <c r="K537" t="s">
        <v>30</v>
      </c>
      <c r="L537" s="27" t="s">
        <v>114</v>
      </c>
      <c r="M537" t="s">
        <v>46</v>
      </c>
      <c r="N537" t="s">
        <v>151</v>
      </c>
      <c r="O537" t="s">
        <v>36</v>
      </c>
      <c r="P537" t="s">
        <v>151</v>
      </c>
      <c r="Q537" t="s">
        <v>206</v>
      </c>
      <c r="R537">
        <v>0</v>
      </c>
      <c r="S537" s="1">
        <v>1200000</v>
      </c>
      <c r="T537" s="1">
        <f ca="1">ROUND(T_EMPLOYEES[[#This Row],[EMP_CTC1]]/12, 0)</f>
        <v>100000</v>
      </c>
      <c r="U537" s="1">
        <v>1000000</v>
      </c>
      <c r="V537" s="1" t="s">
        <v>207</v>
      </c>
      <c r="W537" s="1" t="s">
        <v>207</v>
      </c>
      <c r="X53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Ansal Prajnadeepta (1033207)</v>
      </c>
      <c r="Y537">
        <v>120000</v>
      </c>
      <c r="Z537" s="29">
        <f t="shared" ca="1" si="9"/>
        <v>16.666666666666664</v>
      </c>
      <c r="AA537">
        <f ca="1">IF(T_EMPLOYEES[[#This Row],[EMPLOYEE NUMBER]]="","",ROW(T_EMPLOYEES[[#This Row],[EMPLOYEE LABEL]])-ROW(T_EMPLOYEES[[#Headers],[EMPLOYEE LABEL]]))</f>
        <v>534</v>
      </c>
      <c r="AB537">
        <f ca="1">IF(T_EMPLOYEES[[#This Row],[EMPLOYEE NUMBER]]="","",IF(COUNTIF(T_EMPLOYEES[EMPLOYEE NUMBER],T_EMPLOYEES[[#This Row],[EMPLOYEE NUMBER]])&gt;1,1,0))</f>
        <v>0</v>
      </c>
      <c r="AC537">
        <f ca="1">IF(T_EMPLOYEES[[#This Row],[EMPLOYEE NUMBER]]="","",IF(AND(T_EMPLOYEES[[#This Row],[DATE OF BIRTH]]&gt;0,T_EMPLOYEES[[#This Row],[DATE OF BIRTH]]&lt;TODAY()),0,1))</f>
        <v>0</v>
      </c>
      <c r="AD537">
        <f ca="1">IF(T_EMPLOYEES[[#This Row],[EMPLOYEE NUMBER]]="","",IF(AND(T_EMPLOYEES[[#This Row],[START DATE]]&gt;0,T_EMPLOYEES[[#This Row],[START DATE]]&lt;TODAY()+60),0,1))</f>
        <v>0</v>
      </c>
      <c r="AE537">
        <f ca="1">IF(T_EMPLOYEES[[#This Row],[EMPLOYEE NUMBER]]="","",MATCH(T_EMPLOYEES[[#This Row],[GENDER]],L_GENDER,0))</f>
        <v>1</v>
      </c>
      <c r="AF537">
        <f ca="1">IF(T_EMPLOYEES[[#This Row],[EMPLOYEE NUMBER]]="","",MATCH(T_EMPLOYEES[[#This Row],[HIRE SOURCE]],L_HIRESOURCE,0))</f>
        <v>4</v>
      </c>
      <c r="AG537">
        <f ca="1">IF(T_EMPLOYEES[[#This Row],[EMPLOYEE NUMBER]]="","",MATCH(T_EMPLOYEES[[#This Row],[ETHNICITY]],L_ETHNICITY,0))</f>
        <v>3</v>
      </c>
      <c r="AH537">
        <f ca="1">IF(T_EMPLOYEES[[#This Row],[EMPLOYEE NUMBER]]="","",MATCH(T_EMPLOYEES[[#This Row],[LOCATION]],L_LOCATION,0))</f>
        <v>1</v>
      </c>
      <c r="AI537">
        <f ca="1">IF(T_EMPLOYEES[[#This Row],[EMPLOYEE NUMBER]]="","",MATCH(T_EMPLOYEES[[#This Row],[DEPARTMENT]],L_DEPARTMENT,0))</f>
        <v>11</v>
      </c>
      <c r="AJ537">
        <f ca="1">IF(T_EMPLOYEES[[#This Row],[EMPLOYEE NUMBER]]="","",MATCH(T_EMPLOYEES[[#This Row],[JOB TYPE]],L_JOBTYPE,0))</f>
        <v>2</v>
      </c>
      <c r="AK537">
        <f ca="1">IF(T_EMPLOYEES[[#This Row],[EMPLOYEE NUMBER]]="","",MATCH(T_EMPLOYEES[[#This Row],[JOB CATEGORY]],L_JOBCATEGORY,0))</f>
        <v>30</v>
      </c>
      <c r="AL537">
        <f ca="1">IF(T_EMPLOYEES[[#This Row],[EMPLOYEE NUMBER]]="","",MATCH(T_EMPLOYEES[[#This Row],[JOB LEVEL]],L_JOBLEVEL,0))</f>
        <v>1</v>
      </c>
      <c r="AM537">
        <f ca="1">IF(T_EMPLOYEES[[#This Row],[EMPLOYEE NUMBER]]="","",MATCH(T_EMPLOYEES[[#This Row],[JOB TITLE]],L_JOBTITLE,0))</f>
        <v>30</v>
      </c>
      <c r="AN537">
        <f ca="1">IF(T_EMPLOYEES[[#This Row],[EMPLOYEE NUMBER]]="","",MATCH(T_EMPLOYEES[[#This Row],[MANAGER]],L_EMPLABELS,0))</f>
        <v>6</v>
      </c>
      <c r="AO537">
        <f ca="1">IF(T_EMPLOYEES[[#This Row],[EMPLOYEE NUMBER]]="","",IF(T_EMPLOYEES[[#This Row],[ERROR]]="",0,1))</f>
        <v>0</v>
      </c>
      <c r="AP53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8" spans="1:42">
      <c r="A538" t="s">
        <v>1252</v>
      </c>
      <c r="B538" t="s">
        <v>1687</v>
      </c>
      <c r="C538">
        <v>1033215</v>
      </c>
      <c r="D538" t="s">
        <v>1688</v>
      </c>
      <c r="E538" s="26">
        <v>37029</v>
      </c>
      <c r="F538" s="26">
        <v>45155</v>
      </c>
      <c r="H538" t="s">
        <v>40</v>
      </c>
      <c r="I538" t="s">
        <v>54</v>
      </c>
      <c r="J538" t="s">
        <v>64</v>
      </c>
      <c r="K538" t="s">
        <v>30</v>
      </c>
      <c r="L538" s="27" t="s">
        <v>114</v>
      </c>
      <c r="M538" t="s">
        <v>46</v>
      </c>
      <c r="N538" t="s">
        <v>151</v>
      </c>
      <c r="O538" t="s">
        <v>36</v>
      </c>
      <c r="P538" t="s">
        <v>151</v>
      </c>
      <c r="Q538" t="s">
        <v>206</v>
      </c>
      <c r="R538" s="27">
        <v>0</v>
      </c>
      <c r="S538" s="1">
        <v>1200000</v>
      </c>
      <c r="T538" s="1">
        <f ca="1">ROUND(T_EMPLOYEES[[#This Row],[EMP_CTC1]]/12, 0)</f>
        <v>100000</v>
      </c>
      <c r="U538" s="1">
        <v>1000000</v>
      </c>
      <c r="V538" s="1" t="s">
        <v>207</v>
      </c>
      <c r="W538" s="1" t="s">
        <v>207</v>
      </c>
      <c r="X53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Ananya Routray (1033215)</v>
      </c>
      <c r="Y538">
        <v>120000</v>
      </c>
      <c r="Z538" s="29">
        <f t="shared" ca="1" si="9"/>
        <v>16.666666666666664</v>
      </c>
      <c r="AA538">
        <f ca="1">IF(T_EMPLOYEES[[#This Row],[EMPLOYEE NUMBER]]="","",ROW(T_EMPLOYEES[[#This Row],[EMPLOYEE LABEL]])-ROW(T_EMPLOYEES[[#Headers],[EMPLOYEE LABEL]]))</f>
        <v>535</v>
      </c>
      <c r="AB538">
        <f ca="1">IF(T_EMPLOYEES[[#This Row],[EMPLOYEE NUMBER]]="","",IF(COUNTIF(T_EMPLOYEES[EMPLOYEE NUMBER],T_EMPLOYEES[[#This Row],[EMPLOYEE NUMBER]])&gt;1,1,0))</f>
        <v>0</v>
      </c>
      <c r="AC538">
        <f ca="1">IF(T_EMPLOYEES[[#This Row],[EMPLOYEE NUMBER]]="","",IF(AND(T_EMPLOYEES[[#This Row],[DATE OF BIRTH]]&gt;0,T_EMPLOYEES[[#This Row],[DATE OF BIRTH]]&lt;TODAY()),0,1))</f>
        <v>0</v>
      </c>
      <c r="AD538">
        <f ca="1">IF(T_EMPLOYEES[[#This Row],[EMPLOYEE NUMBER]]="","",IF(AND(T_EMPLOYEES[[#This Row],[START DATE]]&gt;0,T_EMPLOYEES[[#This Row],[START DATE]]&lt;TODAY()+60),0,1))</f>
        <v>0</v>
      </c>
      <c r="AE538">
        <f ca="1">IF(T_EMPLOYEES[[#This Row],[EMPLOYEE NUMBER]]="","",MATCH(T_EMPLOYEES[[#This Row],[GENDER]],L_GENDER,0))</f>
        <v>2</v>
      </c>
      <c r="AF538">
        <f ca="1">IF(T_EMPLOYEES[[#This Row],[EMPLOYEE NUMBER]]="","",MATCH(T_EMPLOYEES[[#This Row],[HIRE SOURCE]],L_HIRESOURCE,0))</f>
        <v>4</v>
      </c>
      <c r="AG538">
        <f ca="1">IF(T_EMPLOYEES[[#This Row],[EMPLOYEE NUMBER]]="","",MATCH(T_EMPLOYEES[[#This Row],[ETHNICITY]],L_ETHNICITY,0))</f>
        <v>3</v>
      </c>
      <c r="AH538">
        <f ca="1">IF(T_EMPLOYEES[[#This Row],[EMPLOYEE NUMBER]]="","",MATCH(T_EMPLOYEES[[#This Row],[LOCATION]],L_LOCATION,0))</f>
        <v>1</v>
      </c>
      <c r="AI538">
        <f ca="1">IF(T_EMPLOYEES[[#This Row],[EMPLOYEE NUMBER]]="","",MATCH(T_EMPLOYEES[[#This Row],[DEPARTMENT]],L_DEPARTMENT,0))</f>
        <v>11</v>
      </c>
      <c r="AJ538">
        <f ca="1">IF(T_EMPLOYEES[[#This Row],[EMPLOYEE NUMBER]]="","",MATCH(T_EMPLOYEES[[#This Row],[JOB TYPE]],L_JOBTYPE,0))</f>
        <v>2</v>
      </c>
      <c r="AK538">
        <f ca="1">IF(T_EMPLOYEES[[#This Row],[EMPLOYEE NUMBER]]="","",MATCH(T_EMPLOYEES[[#This Row],[JOB CATEGORY]],L_JOBCATEGORY,0))</f>
        <v>30</v>
      </c>
      <c r="AL538">
        <f ca="1">IF(T_EMPLOYEES[[#This Row],[EMPLOYEE NUMBER]]="","",MATCH(T_EMPLOYEES[[#This Row],[JOB LEVEL]],L_JOBLEVEL,0))</f>
        <v>1</v>
      </c>
      <c r="AM538">
        <f ca="1">IF(T_EMPLOYEES[[#This Row],[EMPLOYEE NUMBER]]="","",MATCH(T_EMPLOYEES[[#This Row],[JOB TITLE]],L_JOBTITLE,0))</f>
        <v>30</v>
      </c>
      <c r="AN538">
        <f ca="1">IF(T_EMPLOYEES[[#This Row],[EMPLOYEE NUMBER]]="","",MATCH(T_EMPLOYEES[[#This Row],[MANAGER]],L_EMPLABELS,0))</f>
        <v>6</v>
      </c>
      <c r="AO538">
        <f ca="1">IF(T_EMPLOYEES[[#This Row],[EMPLOYEE NUMBER]]="","",IF(T_EMPLOYEES[[#This Row],[ERROR]]="",0,1))</f>
        <v>0</v>
      </c>
      <c r="AP53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9" spans="1:42">
      <c r="A539" t="s">
        <v>1689</v>
      </c>
      <c r="B539" t="s">
        <v>1609</v>
      </c>
      <c r="C539">
        <v>1030240</v>
      </c>
      <c r="D539" t="s">
        <v>1690</v>
      </c>
      <c r="E539" s="26">
        <v>37030</v>
      </c>
      <c r="F539" s="26">
        <v>44819</v>
      </c>
      <c r="H539" t="s">
        <v>40</v>
      </c>
      <c r="I539" t="s">
        <v>54</v>
      </c>
      <c r="J539" t="s">
        <v>64</v>
      </c>
      <c r="K539" t="s">
        <v>30</v>
      </c>
      <c r="L539" s="27" t="s">
        <v>114</v>
      </c>
      <c r="M539" t="s">
        <v>46</v>
      </c>
      <c r="N539" t="s">
        <v>151</v>
      </c>
      <c r="O539" t="s">
        <v>36</v>
      </c>
      <c r="P539" t="s">
        <v>151</v>
      </c>
      <c r="Q539" t="s">
        <v>505</v>
      </c>
      <c r="R539">
        <v>0</v>
      </c>
      <c r="S539" s="1">
        <v>1200000</v>
      </c>
      <c r="T539" s="1">
        <f ca="1">ROUND(T_EMPLOYEES[[#This Row],[EMP_CTC1]]/12, 0)</f>
        <v>100000</v>
      </c>
      <c r="U539" s="1">
        <v>1000000</v>
      </c>
      <c r="V539" s="1" t="s">
        <v>207</v>
      </c>
      <c r="W539" s="1" t="s">
        <v>207</v>
      </c>
      <c r="X53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Gumma Bhargavi (1030240)</v>
      </c>
      <c r="Y539">
        <v>120000</v>
      </c>
      <c r="Z539" s="29">
        <f t="shared" ca="1" si="9"/>
        <v>16.666666666666664</v>
      </c>
      <c r="AA539">
        <f ca="1">IF(T_EMPLOYEES[[#This Row],[EMPLOYEE NUMBER]]="","",ROW(T_EMPLOYEES[[#This Row],[EMPLOYEE LABEL]])-ROW(T_EMPLOYEES[[#Headers],[EMPLOYEE LABEL]]))</f>
        <v>536</v>
      </c>
      <c r="AB539">
        <f ca="1">IF(T_EMPLOYEES[[#This Row],[EMPLOYEE NUMBER]]="","",IF(COUNTIF(T_EMPLOYEES[EMPLOYEE NUMBER],T_EMPLOYEES[[#This Row],[EMPLOYEE NUMBER]])&gt;1,1,0))</f>
        <v>0</v>
      </c>
      <c r="AC539">
        <f ca="1">IF(T_EMPLOYEES[[#This Row],[EMPLOYEE NUMBER]]="","",IF(AND(T_EMPLOYEES[[#This Row],[DATE OF BIRTH]]&gt;0,T_EMPLOYEES[[#This Row],[DATE OF BIRTH]]&lt;TODAY()),0,1))</f>
        <v>0</v>
      </c>
      <c r="AD539">
        <f ca="1">IF(T_EMPLOYEES[[#This Row],[EMPLOYEE NUMBER]]="","",IF(AND(T_EMPLOYEES[[#This Row],[START DATE]]&gt;0,T_EMPLOYEES[[#This Row],[START DATE]]&lt;TODAY()+60),0,1))</f>
        <v>0</v>
      </c>
      <c r="AE539">
        <f ca="1">IF(T_EMPLOYEES[[#This Row],[EMPLOYEE NUMBER]]="","",MATCH(T_EMPLOYEES[[#This Row],[GENDER]],L_GENDER,0))</f>
        <v>2</v>
      </c>
      <c r="AF539">
        <f ca="1">IF(T_EMPLOYEES[[#This Row],[EMPLOYEE NUMBER]]="","",MATCH(T_EMPLOYEES[[#This Row],[HIRE SOURCE]],L_HIRESOURCE,0))</f>
        <v>4</v>
      </c>
      <c r="AG539">
        <f ca="1">IF(T_EMPLOYEES[[#This Row],[EMPLOYEE NUMBER]]="","",MATCH(T_EMPLOYEES[[#This Row],[ETHNICITY]],L_ETHNICITY,0))</f>
        <v>3</v>
      </c>
      <c r="AH539">
        <f ca="1">IF(T_EMPLOYEES[[#This Row],[EMPLOYEE NUMBER]]="","",MATCH(T_EMPLOYEES[[#This Row],[LOCATION]],L_LOCATION,0))</f>
        <v>1</v>
      </c>
      <c r="AI539">
        <f ca="1">IF(T_EMPLOYEES[[#This Row],[EMPLOYEE NUMBER]]="","",MATCH(T_EMPLOYEES[[#This Row],[DEPARTMENT]],L_DEPARTMENT,0))</f>
        <v>11</v>
      </c>
      <c r="AJ539">
        <f ca="1">IF(T_EMPLOYEES[[#This Row],[EMPLOYEE NUMBER]]="","",MATCH(T_EMPLOYEES[[#This Row],[JOB TYPE]],L_JOBTYPE,0))</f>
        <v>2</v>
      </c>
      <c r="AK539">
        <f ca="1">IF(T_EMPLOYEES[[#This Row],[EMPLOYEE NUMBER]]="","",MATCH(T_EMPLOYEES[[#This Row],[JOB CATEGORY]],L_JOBCATEGORY,0))</f>
        <v>30</v>
      </c>
      <c r="AL539">
        <f ca="1">IF(T_EMPLOYEES[[#This Row],[EMPLOYEE NUMBER]]="","",MATCH(T_EMPLOYEES[[#This Row],[JOB LEVEL]],L_JOBLEVEL,0))</f>
        <v>1</v>
      </c>
      <c r="AM539">
        <f ca="1">IF(T_EMPLOYEES[[#This Row],[EMPLOYEE NUMBER]]="","",MATCH(T_EMPLOYEES[[#This Row],[JOB TITLE]],L_JOBTITLE,0))</f>
        <v>30</v>
      </c>
      <c r="AN539">
        <f ca="1">IF(T_EMPLOYEES[[#This Row],[EMPLOYEE NUMBER]]="","",MATCH(T_EMPLOYEES[[#This Row],[MANAGER]],L_EMPLABELS,0))</f>
        <v>57</v>
      </c>
      <c r="AO539">
        <f ca="1">IF(T_EMPLOYEES[[#This Row],[EMPLOYEE NUMBER]]="","",IF(T_EMPLOYEES[[#This Row],[ERROR]]="",0,1))</f>
        <v>0</v>
      </c>
      <c r="AP53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0" spans="1:42">
      <c r="A540" t="s">
        <v>1691</v>
      </c>
      <c r="B540" t="s">
        <v>1692</v>
      </c>
      <c r="C540">
        <v>1033266</v>
      </c>
      <c r="D540" t="s">
        <v>1693</v>
      </c>
      <c r="E540" s="26">
        <v>37031</v>
      </c>
      <c r="F540" s="26">
        <v>45155</v>
      </c>
      <c r="H540" t="s">
        <v>40</v>
      </c>
      <c r="I540" t="s">
        <v>54</v>
      </c>
      <c r="J540" t="s">
        <v>64</v>
      </c>
      <c r="K540" t="s">
        <v>30</v>
      </c>
      <c r="L540" s="27" t="s">
        <v>114</v>
      </c>
      <c r="M540" t="s">
        <v>46</v>
      </c>
      <c r="N540" t="s">
        <v>151</v>
      </c>
      <c r="O540" t="s">
        <v>36</v>
      </c>
      <c r="P540" t="s">
        <v>151</v>
      </c>
      <c r="Q540" t="s">
        <v>206</v>
      </c>
      <c r="R540" s="27">
        <v>0</v>
      </c>
      <c r="S540" s="1">
        <v>1200000</v>
      </c>
      <c r="T540" s="1">
        <f ca="1">ROUND(T_EMPLOYEES[[#This Row],[EMP_CTC1]]/12, 0)</f>
        <v>100000</v>
      </c>
      <c r="U540" s="1">
        <v>1000000</v>
      </c>
      <c r="V540" s="1" t="s">
        <v>207</v>
      </c>
      <c r="W540" s="1" t="s">
        <v>207</v>
      </c>
      <c r="X54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Shirisha Paloju (1033266)</v>
      </c>
      <c r="Y540">
        <v>120000</v>
      </c>
      <c r="Z540" s="29">
        <f t="shared" ca="1" si="9"/>
        <v>16.666666666666664</v>
      </c>
      <c r="AA540">
        <f ca="1">IF(T_EMPLOYEES[[#This Row],[EMPLOYEE NUMBER]]="","",ROW(T_EMPLOYEES[[#This Row],[EMPLOYEE LABEL]])-ROW(T_EMPLOYEES[[#Headers],[EMPLOYEE LABEL]]))</f>
        <v>537</v>
      </c>
      <c r="AB540">
        <f ca="1">IF(T_EMPLOYEES[[#This Row],[EMPLOYEE NUMBER]]="","",IF(COUNTIF(T_EMPLOYEES[EMPLOYEE NUMBER],T_EMPLOYEES[[#This Row],[EMPLOYEE NUMBER]])&gt;1,1,0))</f>
        <v>0</v>
      </c>
      <c r="AC540">
        <f ca="1">IF(T_EMPLOYEES[[#This Row],[EMPLOYEE NUMBER]]="","",IF(AND(T_EMPLOYEES[[#This Row],[DATE OF BIRTH]]&gt;0,T_EMPLOYEES[[#This Row],[DATE OF BIRTH]]&lt;TODAY()),0,1))</f>
        <v>0</v>
      </c>
      <c r="AD540">
        <f ca="1">IF(T_EMPLOYEES[[#This Row],[EMPLOYEE NUMBER]]="","",IF(AND(T_EMPLOYEES[[#This Row],[START DATE]]&gt;0,T_EMPLOYEES[[#This Row],[START DATE]]&lt;TODAY()+60),0,1))</f>
        <v>0</v>
      </c>
      <c r="AE540">
        <f ca="1">IF(T_EMPLOYEES[[#This Row],[EMPLOYEE NUMBER]]="","",MATCH(T_EMPLOYEES[[#This Row],[GENDER]],L_GENDER,0))</f>
        <v>2</v>
      </c>
      <c r="AF540">
        <f ca="1">IF(T_EMPLOYEES[[#This Row],[EMPLOYEE NUMBER]]="","",MATCH(T_EMPLOYEES[[#This Row],[HIRE SOURCE]],L_HIRESOURCE,0))</f>
        <v>4</v>
      </c>
      <c r="AG540">
        <f ca="1">IF(T_EMPLOYEES[[#This Row],[EMPLOYEE NUMBER]]="","",MATCH(T_EMPLOYEES[[#This Row],[ETHNICITY]],L_ETHNICITY,0))</f>
        <v>3</v>
      </c>
      <c r="AH540">
        <f ca="1">IF(T_EMPLOYEES[[#This Row],[EMPLOYEE NUMBER]]="","",MATCH(T_EMPLOYEES[[#This Row],[LOCATION]],L_LOCATION,0))</f>
        <v>1</v>
      </c>
      <c r="AI540">
        <f ca="1">IF(T_EMPLOYEES[[#This Row],[EMPLOYEE NUMBER]]="","",MATCH(T_EMPLOYEES[[#This Row],[DEPARTMENT]],L_DEPARTMENT,0))</f>
        <v>11</v>
      </c>
      <c r="AJ540">
        <f ca="1">IF(T_EMPLOYEES[[#This Row],[EMPLOYEE NUMBER]]="","",MATCH(T_EMPLOYEES[[#This Row],[JOB TYPE]],L_JOBTYPE,0))</f>
        <v>2</v>
      </c>
      <c r="AK540">
        <f ca="1">IF(T_EMPLOYEES[[#This Row],[EMPLOYEE NUMBER]]="","",MATCH(T_EMPLOYEES[[#This Row],[JOB CATEGORY]],L_JOBCATEGORY,0))</f>
        <v>30</v>
      </c>
      <c r="AL540">
        <f ca="1">IF(T_EMPLOYEES[[#This Row],[EMPLOYEE NUMBER]]="","",MATCH(T_EMPLOYEES[[#This Row],[JOB LEVEL]],L_JOBLEVEL,0))</f>
        <v>1</v>
      </c>
      <c r="AM540">
        <f ca="1">IF(T_EMPLOYEES[[#This Row],[EMPLOYEE NUMBER]]="","",MATCH(T_EMPLOYEES[[#This Row],[JOB TITLE]],L_JOBTITLE,0))</f>
        <v>30</v>
      </c>
      <c r="AN540">
        <f ca="1">IF(T_EMPLOYEES[[#This Row],[EMPLOYEE NUMBER]]="","",MATCH(T_EMPLOYEES[[#This Row],[MANAGER]],L_EMPLABELS,0))</f>
        <v>6</v>
      </c>
      <c r="AO540">
        <f ca="1">IF(T_EMPLOYEES[[#This Row],[EMPLOYEE NUMBER]]="","",IF(T_EMPLOYEES[[#This Row],[ERROR]]="",0,1))</f>
        <v>0</v>
      </c>
      <c r="AP54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1" spans="1:42">
      <c r="A541" t="s">
        <v>1062</v>
      </c>
      <c r="B541" t="s">
        <v>1694</v>
      </c>
      <c r="C541">
        <v>1027422</v>
      </c>
      <c r="D541" t="s">
        <v>1695</v>
      </c>
      <c r="E541" s="26">
        <v>37039</v>
      </c>
      <c r="F541" s="26">
        <v>44531</v>
      </c>
      <c r="H541" t="s">
        <v>27</v>
      </c>
      <c r="I541" t="s">
        <v>54</v>
      </c>
      <c r="J541" t="s">
        <v>64</v>
      </c>
      <c r="K541" t="s">
        <v>30</v>
      </c>
      <c r="L541" s="27" t="s">
        <v>114</v>
      </c>
      <c r="M541" t="s">
        <v>46</v>
      </c>
      <c r="N541" t="s">
        <v>160</v>
      </c>
      <c r="O541" t="s">
        <v>48</v>
      </c>
      <c r="P541" t="s">
        <v>160</v>
      </c>
      <c r="Q541" t="s">
        <v>468</v>
      </c>
      <c r="R541">
        <v>4</v>
      </c>
      <c r="S541" s="1">
        <v>1200000</v>
      </c>
      <c r="T541" s="1">
        <f ca="1">ROUND(T_EMPLOYEES[[#This Row],[EMP_CTC1]]/12, 0)</f>
        <v>100000</v>
      </c>
      <c r="U541" s="1">
        <v>1000000</v>
      </c>
      <c r="V541" s="1" t="s">
        <v>207</v>
      </c>
      <c r="W541" s="1" t="s">
        <v>207</v>
      </c>
      <c r="X54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Rajesh Kumar M (1027422)</v>
      </c>
      <c r="Y541">
        <v>120000</v>
      </c>
      <c r="Z541" s="29">
        <f t="shared" ca="1" si="9"/>
        <v>16.666666666666664</v>
      </c>
      <c r="AA541">
        <f ca="1">IF(T_EMPLOYEES[[#This Row],[EMPLOYEE NUMBER]]="","",ROW(T_EMPLOYEES[[#This Row],[EMPLOYEE LABEL]])-ROW(T_EMPLOYEES[[#Headers],[EMPLOYEE LABEL]]))</f>
        <v>538</v>
      </c>
      <c r="AB541">
        <f ca="1">IF(T_EMPLOYEES[[#This Row],[EMPLOYEE NUMBER]]="","",IF(COUNTIF(T_EMPLOYEES[EMPLOYEE NUMBER],T_EMPLOYEES[[#This Row],[EMPLOYEE NUMBER]])&gt;1,1,0))</f>
        <v>0</v>
      </c>
      <c r="AC541">
        <f ca="1">IF(T_EMPLOYEES[[#This Row],[EMPLOYEE NUMBER]]="","",IF(AND(T_EMPLOYEES[[#This Row],[DATE OF BIRTH]]&gt;0,T_EMPLOYEES[[#This Row],[DATE OF BIRTH]]&lt;TODAY()),0,1))</f>
        <v>0</v>
      </c>
      <c r="AD541">
        <f ca="1">IF(T_EMPLOYEES[[#This Row],[EMPLOYEE NUMBER]]="","",IF(AND(T_EMPLOYEES[[#This Row],[START DATE]]&gt;0,T_EMPLOYEES[[#This Row],[START DATE]]&lt;TODAY()+60),0,1))</f>
        <v>0</v>
      </c>
      <c r="AE541">
        <f ca="1">IF(T_EMPLOYEES[[#This Row],[EMPLOYEE NUMBER]]="","",MATCH(T_EMPLOYEES[[#This Row],[GENDER]],L_GENDER,0))</f>
        <v>1</v>
      </c>
      <c r="AF541">
        <f ca="1">IF(T_EMPLOYEES[[#This Row],[EMPLOYEE NUMBER]]="","",MATCH(T_EMPLOYEES[[#This Row],[HIRE SOURCE]],L_HIRESOURCE,0))</f>
        <v>4</v>
      </c>
      <c r="AG541">
        <f ca="1">IF(T_EMPLOYEES[[#This Row],[EMPLOYEE NUMBER]]="","",MATCH(T_EMPLOYEES[[#This Row],[ETHNICITY]],L_ETHNICITY,0))</f>
        <v>3</v>
      </c>
      <c r="AH541">
        <f ca="1">IF(T_EMPLOYEES[[#This Row],[EMPLOYEE NUMBER]]="","",MATCH(T_EMPLOYEES[[#This Row],[LOCATION]],L_LOCATION,0))</f>
        <v>1</v>
      </c>
      <c r="AI541">
        <f ca="1">IF(T_EMPLOYEES[[#This Row],[EMPLOYEE NUMBER]]="","",MATCH(T_EMPLOYEES[[#This Row],[DEPARTMENT]],L_DEPARTMENT,0))</f>
        <v>11</v>
      </c>
      <c r="AJ541">
        <f ca="1">IF(T_EMPLOYEES[[#This Row],[EMPLOYEE NUMBER]]="","",MATCH(T_EMPLOYEES[[#This Row],[JOB TYPE]],L_JOBTYPE,0))</f>
        <v>2</v>
      </c>
      <c r="AK541">
        <f ca="1">IF(T_EMPLOYEES[[#This Row],[EMPLOYEE NUMBER]]="","",MATCH(T_EMPLOYEES[[#This Row],[JOB CATEGORY]],L_JOBCATEGORY,0))</f>
        <v>39</v>
      </c>
      <c r="AL541">
        <f ca="1">IF(T_EMPLOYEES[[#This Row],[EMPLOYEE NUMBER]]="","",MATCH(T_EMPLOYEES[[#This Row],[JOB LEVEL]],L_JOBLEVEL,0))</f>
        <v>2</v>
      </c>
      <c r="AM541">
        <f ca="1">IF(T_EMPLOYEES[[#This Row],[EMPLOYEE NUMBER]]="","",MATCH(T_EMPLOYEES[[#This Row],[JOB TITLE]],L_JOBTITLE,0))</f>
        <v>39</v>
      </c>
      <c r="AN541">
        <f ca="1">IF(T_EMPLOYEES[[#This Row],[EMPLOYEE NUMBER]]="","",MATCH(T_EMPLOYEES[[#This Row],[MANAGER]],L_EMPLABELS,0))</f>
        <v>56</v>
      </c>
      <c r="AO541">
        <f ca="1">IF(T_EMPLOYEES[[#This Row],[EMPLOYEE NUMBER]]="","",IF(T_EMPLOYEES[[#This Row],[ERROR]]="",0,1))</f>
        <v>0</v>
      </c>
      <c r="AP54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2" spans="1:42">
      <c r="A542" t="s">
        <v>1696</v>
      </c>
      <c r="B542" t="s">
        <v>1697</v>
      </c>
      <c r="C542">
        <v>1029901</v>
      </c>
      <c r="D542" t="s">
        <v>1698</v>
      </c>
      <c r="E542" s="26">
        <v>37042</v>
      </c>
      <c r="F542" s="26">
        <v>44791</v>
      </c>
      <c r="H542" t="s">
        <v>40</v>
      </c>
      <c r="I542" t="s">
        <v>54</v>
      </c>
      <c r="J542" t="s">
        <v>64</v>
      </c>
      <c r="K542" t="s">
        <v>30</v>
      </c>
      <c r="L542" s="27" t="s">
        <v>45</v>
      </c>
      <c r="M542" t="s">
        <v>46</v>
      </c>
      <c r="N542" t="s">
        <v>151</v>
      </c>
      <c r="O542" t="s">
        <v>36</v>
      </c>
      <c r="P542" t="s">
        <v>151</v>
      </c>
      <c r="Q542" t="s">
        <v>937</v>
      </c>
      <c r="R542" s="27">
        <v>0</v>
      </c>
      <c r="S542" s="1">
        <v>1200000</v>
      </c>
      <c r="T542" s="1">
        <f ca="1">ROUND(T_EMPLOYEES[[#This Row],[EMP_CTC1]]/12, 0)</f>
        <v>100000</v>
      </c>
      <c r="U542" s="1">
        <v>1000000</v>
      </c>
      <c r="V542" s="1" t="s">
        <v>207</v>
      </c>
      <c r="W542" s="1" t="s">
        <v>207</v>
      </c>
      <c r="X54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Kunche sai kamala (1029901)</v>
      </c>
      <c r="Y542">
        <v>120000</v>
      </c>
      <c r="Z542" s="29">
        <f t="shared" ca="1" si="9"/>
        <v>16.666666666666664</v>
      </c>
      <c r="AA542">
        <f ca="1">IF(T_EMPLOYEES[[#This Row],[EMPLOYEE NUMBER]]="","",ROW(T_EMPLOYEES[[#This Row],[EMPLOYEE LABEL]])-ROW(T_EMPLOYEES[[#Headers],[EMPLOYEE LABEL]]))</f>
        <v>539</v>
      </c>
      <c r="AB542">
        <f ca="1">IF(T_EMPLOYEES[[#This Row],[EMPLOYEE NUMBER]]="","",IF(COUNTIF(T_EMPLOYEES[EMPLOYEE NUMBER],T_EMPLOYEES[[#This Row],[EMPLOYEE NUMBER]])&gt;1,1,0))</f>
        <v>0</v>
      </c>
      <c r="AC542">
        <f ca="1">IF(T_EMPLOYEES[[#This Row],[EMPLOYEE NUMBER]]="","",IF(AND(T_EMPLOYEES[[#This Row],[DATE OF BIRTH]]&gt;0,T_EMPLOYEES[[#This Row],[DATE OF BIRTH]]&lt;TODAY()),0,1))</f>
        <v>0</v>
      </c>
      <c r="AD542">
        <f ca="1">IF(T_EMPLOYEES[[#This Row],[EMPLOYEE NUMBER]]="","",IF(AND(T_EMPLOYEES[[#This Row],[START DATE]]&gt;0,T_EMPLOYEES[[#This Row],[START DATE]]&lt;TODAY()+60),0,1))</f>
        <v>0</v>
      </c>
      <c r="AE542">
        <f ca="1">IF(T_EMPLOYEES[[#This Row],[EMPLOYEE NUMBER]]="","",MATCH(T_EMPLOYEES[[#This Row],[GENDER]],L_GENDER,0))</f>
        <v>2</v>
      </c>
      <c r="AF542">
        <f ca="1">IF(T_EMPLOYEES[[#This Row],[EMPLOYEE NUMBER]]="","",MATCH(T_EMPLOYEES[[#This Row],[HIRE SOURCE]],L_HIRESOURCE,0))</f>
        <v>4</v>
      </c>
      <c r="AG542">
        <f ca="1">IF(T_EMPLOYEES[[#This Row],[EMPLOYEE NUMBER]]="","",MATCH(T_EMPLOYEES[[#This Row],[ETHNICITY]],L_ETHNICITY,0))</f>
        <v>3</v>
      </c>
      <c r="AH542">
        <f ca="1">IF(T_EMPLOYEES[[#This Row],[EMPLOYEE NUMBER]]="","",MATCH(T_EMPLOYEES[[#This Row],[LOCATION]],L_LOCATION,0))</f>
        <v>1</v>
      </c>
      <c r="AI542">
        <f ca="1">IF(T_EMPLOYEES[[#This Row],[EMPLOYEE NUMBER]]="","",MATCH(T_EMPLOYEES[[#This Row],[DEPARTMENT]],L_DEPARTMENT,0))</f>
        <v>2</v>
      </c>
      <c r="AJ542">
        <f ca="1">IF(T_EMPLOYEES[[#This Row],[EMPLOYEE NUMBER]]="","",MATCH(T_EMPLOYEES[[#This Row],[JOB TYPE]],L_JOBTYPE,0))</f>
        <v>2</v>
      </c>
      <c r="AK542">
        <f ca="1">IF(T_EMPLOYEES[[#This Row],[EMPLOYEE NUMBER]]="","",MATCH(T_EMPLOYEES[[#This Row],[JOB CATEGORY]],L_JOBCATEGORY,0))</f>
        <v>30</v>
      </c>
      <c r="AL542">
        <f ca="1">IF(T_EMPLOYEES[[#This Row],[EMPLOYEE NUMBER]]="","",MATCH(T_EMPLOYEES[[#This Row],[JOB LEVEL]],L_JOBLEVEL,0))</f>
        <v>1</v>
      </c>
      <c r="AM542">
        <f ca="1">IF(T_EMPLOYEES[[#This Row],[EMPLOYEE NUMBER]]="","",MATCH(T_EMPLOYEES[[#This Row],[JOB TITLE]],L_JOBTITLE,0))</f>
        <v>30</v>
      </c>
      <c r="AN542">
        <f ca="1">IF(T_EMPLOYEES[[#This Row],[EMPLOYEE NUMBER]]="","",MATCH(T_EMPLOYEES[[#This Row],[MANAGER]],L_EMPLABELS,0))</f>
        <v>132</v>
      </c>
      <c r="AO542">
        <f ca="1">IF(T_EMPLOYEES[[#This Row],[EMPLOYEE NUMBER]]="","",IF(T_EMPLOYEES[[#This Row],[ERROR]]="",0,1))</f>
        <v>0</v>
      </c>
      <c r="AP54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3" spans="1:42">
      <c r="A543" t="s">
        <v>490</v>
      </c>
      <c r="B543" t="s">
        <v>1699</v>
      </c>
      <c r="C543">
        <v>1029876</v>
      </c>
      <c r="D543" t="s">
        <v>1700</v>
      </c>
      <c r="E543" s="26">
        <v>37058</v>
      </c>
      <c r="F543" s="26">
        <v>44791</v>
      </c>
      <c r="H543" t="s">
        <v>27</v>
      </c>
      <c r="I543" t="s">
        <v>54</v>
      </c>
      <c r="J543" t="s">
        <v>64</v>
      </c>
      <c r="K543" t="s">
        <v>30</v>
      </c>
      <c r="L543" s="27" t="s">
        <v>114</v>
      </c>
      <c r="M543" t="s">
        <v>46</v>
      </c>
      <c r="N543" t="s">
        <v>151</v>
      </c>
      <c r="O543" t="s">
        <v>36</v>
      </c>
      <c r="P543" t="s">
        <v>151</v>
      </c>
      <c r="Q543" t="s">
        <v>468</v>
      </c>
      <c r="R543">
        <v>0</v>
      </c>
      <c r="S543" s="1">
        <v>1200000</v>
      </c>
      <c r="T543" s="1">
        <f ca="1">ROUND(T_EMPLOYEES[[#This Row],[EMP_CTC1]]/12, 0)</f>
        <v>100000</v>
      </c>
      <c r="U543" s="1">
        <v>1000000</v>
      </c>
      <c r="V543" s="1" t="s">
        <v>207</v>
      </c>
      <c r="W543" s="1" t="s">
        <v>207</v>
      </c>
      <c r="X54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Madhu Gandham (1029876)</v>
      </c>
      <c r="Y543">
        <v>120000</v>
      </c>
      <c r="Z543" s="29">
        <f t="shared" ca="1" si="9"/>
        <v>16.666666666666664</v>
      </c>
      <c r="AA543">
        <f ca="1">IF(T_EMPLOYEES[[#This Row],[EMPLOYEE NUMBER]]="","",ROW(T_EMPLOYEES[[#This Row],[EMPLOYEE LABEL]])-ROW(T_EMPLOYEES[[#Headers],[EMPLOYEE LABEL]]))</f>
        <v>540</v>
      </c>
      <c r="AB543">
        <f ca="1">IF(T_EMPLOYEES[[#This Row],[EMPLOYEE NUMBER]]="","",IF(COUNTIF(T_EMPLOYEES[EMPLOYEE NUMBER],T_EMPLOYEES[[#This Row],[EMPLOYEE NUMBER]])&gt;1,1,0))</f>
        <v>0</v>
      </c>
      <c r="AC543">
        <f ca="1">IF(T_EMPLOYEES[[#This Row],[EMPLOYEE NUMBER]]="","",IF(AND(T_EMPLOYEES[[#This Row],[DATE OF BIRTH]]&gt;0,T_EMPLOYEES[[#This Row],[DATE OF BIRTH]]&lt;TODAY()),0,1))</f>
        <v>0</v>
      </c>
      <c r="AD543">
        <f ca="1">IF(T_EMPLOYEES[[#This Row],[EMPLOYEE NUMBER]]="","",IF(AND(T_EMPLOYEES[[#This Row],[START DATE]]&gt;0,T_EMPLOYEES[[#This Row],[START DATE]]&lt;TODAY()+60),0,1))</f>
        <v>0</v>
      </c>
      <c r="AE543">
        <f ca="1">IF(T_EMPLOYEES[[#This Row],[EMPLOYEE NUMBER]]="","",MATCH(T_EMPLOYEES[[#This Row],[GENDER]],L_GENDER,0))</f>
        <v>1</v>
      </c>
      <c r="AF543">
        <f ca="1">IF(T_EMPLOYEES[[#This Row],[EMPLOYEE NUMBER]]="","",MATCH(T_EMPLOYEES[[#This Row],[HIRE SOURCE]],L_HIRESOURCE,0))</f>
        <v>4</v>
      </c>
      <c r="AG543">
        <f ca="1">IF(T_EMPLOYEES[[#This Row],[EMPLOYEE NUMBER]]="","",MATCH(T_EMPLOYEES[[#This Row],[ETHNICITY]],L_ETHNICITY,0))</f>
        <v>3</v>
      </c>
      <c r="AH543">
        <f ca="1">IF(T_EMPLOYEES[[#This Row],[EMPLOYEE NUMBER]]="","",MATCH(T_EMPLOYEES[[#This Row],[LOCATION]],L_LOCATION,0))</f>
        <v>1</v>
      </c>
      <c r="AI543">
        <f ca="1">IF(T_EMPLOYEES[[#This Row],[EMPLOYEE NUMBER]]="","",MATCH(T_EMPLOYEES[[#This Row],[DEPARTMENT]],L_DEPARTMENT,0))</f>
        <v>11</v>
      </c>
      <c r="AJ543">
        <f ca="1">IF(T_EMPLOYEES[[#This Row],[EMPLOYEE NUMBER]]="","",MATCH(T_EMPLOYEES[[#This Row],[JOB TYPE]],L_JOBTYPE,0))</f>
        <v>2</v>
      </c>
      <c r="AK543">
        <f ca="1">IF(T_EMPLOYEES[[#This Row],[EMPLOYEE NUMBER]]="","",MATCH(T_EMPLOYEES[[#This Row],[JOB CATEGORY]],L_JOBCATEGORY,0))</f>
        <v>30</v>
      </c>
      <c r="AL543">
        <f ca="1">IF(T_EMPLOYEES[[#This Row],[EMPLOYEE NUMBER]]="","",MATCH(T_EMPLOYEES[[#This Row],[JOB LEVEL]],L_JOBLEVEL,0))</f>
        <v>1</v>
      </c>
      <c r="AM543">
        <f ca="1">IF(T_EMPLOYEES[[#This Row],[EMPLOYEE NUMBER]]="","",MATCH(T_EMPLOYEES[[#This Row],[JOB TITLE]],L_JOBTITLE,0))</f>
        <v>30</v>
      </c>
      <c r="AN543">
        <f ca="1">IF(T_EMPLOYEES[[#This Row],[EMPLOYEE NUMBER]]="","",MATCH(T_EMPLOYEES[[#This Row],[MANAGER]],L_EMPLABELS,0))</f>
        <v>56</v>
      </c>
      <c r="AO543">
        <f ca="1">IF(T_EMPLOYEES[[#This Row],[EMPLOYEE NUMBER]]="","",IF(T_EMPLOYEES[[#This Row],[ERROR]]="",0,1))</f>
        <v>0</v>
      </c>
      <c r="AP54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4" spans="1:42">
      <c r="A544" t="s">
        <v>1701</v>
      </c>
      <c r="B544" t="s">
        <v>1702</v>
      </c>
      <c r="C544">
        <v>1030295</v>
      </c>
      <c r="D544" t="s">
        <v>1703</v>
      </c>
      <c r="E544" s="26">
        <v>37062</v>
      </c>
      <c r="F544" s="26">
        <v>44819</v>
      </c>
      <c r="H544" t="s">
        <v>27</v>
      </c>
      <c r="I544" t="s">
        <v>54</v>
      </c>
      <c r="J544" t="s">
        <v>64</v>
      </c>
      <c r="K544" t="s">
        <v>30</v>
      </c>
      <c r="L544" t="s">
        <v>130</v>
      </c>
      <c r="M544" t="s">
        <v>46</v>
      </c>
      <c r="N544" t="s">
        <v>151</v>
      </c>
      <c r="O544" t="s">
        <v>36</v>
      </c>
      <c r="P544" t="s">
        <v>151</v>
      </c>
      <c r="Q544" t="s">
        <v>337</v>
      </c>
      <c r="R544" s="27">
        <v>0</v>
      </c>
      <c r="S544" s="1">
        <v>1200000</v>
      </c>
      <c r="T544" s="1">
        <f ca="1">ROUND(T_EMPLOYEES[[#This Row],[EMP_CTC1]]/12, 0)</f>
        <v>100000</v>
      </c>
      <c r="U544" s="1">
        <v>1000000</v>
      </c>
      <c r="V544" s="1" t="s">
        <v>207</v>
      </c>
      <c r="W544" s="1" t="s">
        <v>207</v>
      </c>
      <c r="X54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Gorrela Madhenu (1030295)</v>
      </c>
      <c r="Y544">
        <v>120000</v>
      </c>
      <c r="Z544" s="29">
        <f t="shared" ca="1" si="9"/>
        <v>16.666666666666664</v>
      </c>
      <c r="AA544">
        <f ca="1">IF(T_EMPLOYEES[[#This Row],[EMPLOYEE NUMBER]]="","",ROW(T_EMPLOYEES[[#This Row],[EMPLOYEE LABEL]])-ROW(T_EMPLOYEES[[#Headers],[EMPLOYEE LABEL]]))</f>
        <v>541</v>
      </c>
      <c r="AB544">
        <f ca="1">IF(T_EMPLOYEES[[#This Row],[EMPLOYEE NUMBER]]="","",IF(COUNTIF(T_EMPLOYEES[EMPLOYEE NUMBER],T_EMPLOYEES[[#This Row],[EMPLOYEE NUMBER]])&gt;1,1,0))</f>
        <v>0</v>
      </c>
      <c r="AC544">
        <f ca="1">IF(T_EMPLOYEES[[#This Row],[EMPLOYEE NUMBER]]="","",IF(AND(T_EMPLOYEES[[#This Row],[DATE OF BIRTH]]&gt;0,T_EMPLOYEES[[#This Row],[DATE OF BIRTH]]&lt;TODAY()),0,1))</f>
        <v>0</v>
      </c>
      <c r="AD544">
        <f ca="1">IF(T_EMPLOYEES[[#This Row],[EMPLOYEE NUMBER]]="","",IF(AND(T_EMPLOYEES[[#This Row],[START DATE]]&gt;0,T_EMPLOYEES[[#This Row],[START DATE]]&lt;TODAY()+60),0,1))</f>
        <v>0</v>
      </c>
      <c r="AE544">
        <f ca="1">IF(T_EMPLOYEES[[#This Row],[EMPLOYEE NUMBER]]="","",MATCH(T_EMPLOYEES[[#This Row],[GENDER]],L_GENDER,0))</f>
        <v>1</v>
      </c>
      <c r="AF544">
        <f ca="1">IF(T_EMPLOYEES[[#This Row],[EMPLOYEE NUMBER]]="","",MATCH(T_EMPLOYEES[[#This Row],[HIRE SOURCE]],L_HIRESOURCE,0))</f>
        <v>4</v>
      </c>
      <c r="AG544">
        <f ca="1">IF(T_EMPLOYEES[[#This Row],[EMPLOYEE NUMBER]]="","",MATCH(T_EMPLOYEES[[#This Row],[ETHNICITY]],L_ETHNICITY,0))</f>
        <v>3</v>
      </c>
      <c r="AH544">
        <f ca="1">IF(T_EMPLOYEES[[#This Row],[EMPLOYEE NUMBER]]="","",MATCH(T_EMPLOYEES[[#This Row],[LOCATION]],L_LOCATION,0))</f>
        <v>1</v>
      </c>
      <c r="AI544">
        <f ca="1">IF(T_EMPLOYEES[[#This Row],[EMPLOYEE NUMBER]]="","",MATCH(T_EMPLOYEES[[#This Row],[DEPARTMENT]],L_DEPARTMENT,0))</f>
        <v>16</v>
      </c>
      <c r="AJ544">
        <f ca="1">IF(T_EMPLOYEES[[#This Row],[EMPLOYEE NUMBER]]="","",MATCH(T_EMPLOYEES[[#This Row],[JOB TYPE]],L_JOBTYPE,0))</f>
        <v>2</v>
      </c>
      <c r="AK544">
        <f ca="1">IF(T_EMPLOYEES[[#This Row],[EMPLOYEE NUMBER]]="","",MATCH(T_EMPLOYEES[[#This Row],[JOB CATEGORY]],L_JOBCATEGORY,0))</f>
        <v>30</v>
      </c>
      <c r="AL544">
        <f ca="1">IF(T_EMPLOYEES[[#This Row],[EMPLOYEE NUMBER]]="","",MATCH(T_EMPLOYEES[[#This Row],[JOB LEVEL]],L_JOBLEVEL,0))</f>
        <v>1</v>
      </c>
      <c r="AM544">
        <f ca="1">IF(T_EMPLOYEES[[#This Row],[EMPLOYEE NUMBER]]="","",MATCH(T_EMPLOYEES[[#This Row],[JOB TITLE]],L_JOBTITLE,0))</f>
        <v>30</v>
      </c>
      <c r="AN544">
        <f ca="1">IF(T_EMPLOYEES[[#This Row],[EMPLOYEE NUMBER]]="","",MATCH(T_EMPLOYEES[[#This Row],[MANAGER]],L_EMPLABELS,0))</f>
        <v>48</v>
      </c>
      <c r="AO544">
        <f ca="1">IF(T_EMPLOYEES[[#This Row],[EMPLOYEE NUMBER]]="","",IF(T_EMPLOYEES[[#This Row],[ERROR]]="",0,1))</f>
        <v>0</v>
      </c>
      <c r="AP54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5" spans="1:42">
      <c r="A545" t="s">
        <v>1704</v>
      </c>
      <c r="B545" t="s">
        <v>1705</v>
      </c>
      <c r="C545">
        <v>1033214</v>
      </c>
      <c r="D545" t="s">
        <v>1706</v>
      </c>
      <c r="E545" s="26">
        <v>37070</v>
      </c>
      <c r="F545" s="26">
        <v>45155</v>
      </c>
      <c r="H545" t="s">
        <v>40</v>
      </c>
      <c r="I545" t="s">
        <v>54</v>
      </c>
      <c r="J545" t="s">
        <v>64</v>
      </c>
      <c r="K545" t="s">
        <v>30</v>
      </c>
      <c r="L545" s="27" t="s">
        <v>114</v>
      </c>
      <c r="M545" t="s">
        <v>46</v>
      </c>
      <c r="N545" t="s">
        <v>151</v>
      </c>
      <c r="O545" t="s">
        <v>36</v>
      </c>
      <c r="P545" t="s">
        <v>151</v>
      </c>
      <c r="Q545" t="s">
        <v>468</v>
      </c>
      <c r="R545">
        <v>0</v>
      </c>
      <c r="S545" s="1">
        <v>1200000</v>
      </c>
      <c r="T545" s="1">
        <f ca="1">ROUND(T_EMPLOYEES[[#This Row],[EMP_CTC1]]/12, 0)</f>
        <v>100000</v>
      </c>
      <c r="U545" s="1">
        <v>1000000</v>
      </c>
      <c r="V545" s="1" t="s">
        <v>207</v>
      </c>
      <c r="W545" s="1" t="s">
        <v>207</v>
      </c>
      <c r="X54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Unmesha Jena (1033214)</v>
      </c>
      <c r="Y545">
        <v>120000</v>
      </c>
      <c r="Z545" s="29">
        <f t="shared" ca="1" si="9"/>
        <v>16.666666666666664</v>
      </c>
      <c r="AA545">
        <f ca="1">IF(T_EMPLOYEES[[#This Row],[EMPLOYEE NUMBER]]="","",ROW(T_EMPLOYEES[[#This Row],[EMPLOYEE LABEL]])-ROW(T_EMPLOYEES[[#Headers],[EMPLOYEE LABEL]]))</f>
        <v>542</v>
      </c>
      <c r="AB545">
        <f ca="1">IF(T_EMPLOYEES[[#This Row],[EMPLOYEE NUMBER]]="","",IF(COUNTIF(T_EMPLOYEES[EMPLOYEE NUMBER],T_EMPLOYEES[[#This Row],[EMPLOYEE NUMBER]])&gt;1,1,0))</f>
        <v>0</v>
      </c>
      <c r="AC545">
        <f ca="1">IF(T_EMPLOYEES[[#This Row],[EMPLOYEE NUMBER]]="","",IF(AND(T_EMPLOYEES[[#This Row],[DATE OF BIRTH]]&gt;0,T_EMPLOYEES[[#This Row],[DATE OF BIRTH]]&lt;TODAY()),0,1))</f>
        <v>0</v>
      </c>
      <c r="AD545">
        <f ca="1">IF(T_EMPLOYEES[[#This Row],[EMPLOYEE NUMBER]]="","",IF(AND(T_EMPLOYEES[[#This Row],[START DATE]]&gt;0,T_EMPLOYEES[[#This Row],[START DATE]]&lt;TODAY()+60),0,1))</f>
        <v>0</v>
      </c>
      <c r="AE545">
        <f ca="1">IF(T_EMPLOYEES[[#This Row],[EMPLOYEE NUMBER]]="","",MATCH(T_EMPLOYEES[[#This Row],[GENDER]],L_GENDER,0))</f>
        <v>2</v>
      </c>
      <c r="AF545">
        <f ca="1">IF(T_EMPLOYEES[[#This Row],[EMPLOYEE NUMBER]]="","",MATCH(T_EMPLOYEES[[#This Row],[HIRE SOURCE]],L_HIRESOURCE,0))</f>
        <v>4</v>
      </c>
      <c r="AG545">
        <f ca="1">IF(T_EMPLOYEES[[#This Row],[EMPLOYEE NUMBER]]="","",MATCH(T_EMPLOYEES[[#This Row],[ETHNICITY]],L_ETHNICITY,0))</f>
        <v>3</v>
      </c>
      <c r="AH545">
        <f ca="1">IF(T_EMPLOYEES[[#This Row],[EMPLOYEE NUMBER]]="","",MATCH(T_EMPLOYEES[[#This Row],[LOCATION]],L_LOCATION,0))</f>
        <v>1</v>
      </c>
      <c r="AI545">
        <f ca="1">IF(T_EMPLOYEES[[#This Row],[EMPLOYEE NUMBER]]="","",MATCH(T_EMPLOYEES[[#This Row],[DEPARTMENT]],L_DEPARTMENT,0))</f>
        <v>11</v>
      </c>
      <c r="AJ545">
        <f ca="1">IF(T_EMPLOYEES[[#This Row],[EMPLOYEE NUMBER]]="","",MATCH(T_EMPLOYEES[[#This Row],[JOB TYPE]],L_JOBTYPE,0))</f>
        <v>2</v>
      </c>
      <c r="AK545">
        <f ca="1">IF(T_EMPLOYEES[[#This Row],[EMPLOYEE NUMBER]]="","",MATCH(T_EMPLOYEES[[#This Row],[JOB CATEGORY]],L_JOBCATEGORY,0))</f>
        <v>30</v>
      </c>
      <c r="AL545">
        <f ca="1">IF(T_EMPLOYEES[[#This Row],[EMPLOYEE NUMBER]]="","",MATCH(T_EMPLOYEES[[#This Row],[JOB LEVEL]],L_JOBLEVEL,0))</f>
        <v>1</v>
      </c>
      <c r="AM545">
        <f ca="1">IF(T_EMPLOYEES[[#This Row],[EMPLOYEE NUMBER]]="","",MATCH(T_EMPLOYEES[[#This Row],[JOB TITLE]],L_JOBTITLE,0))</f>
        <v>30</v>
      </c>
      <c r="AN545">
        <f ca="1">IF(T_EMPLOYEES[[#This Row],[EMPLOYEE NUMBER]]="","",MATCH(T_EMPLOYEES[[#This Row],[MANAGER]],L_EMPLABELS,0))</f>
        <v>56</v>
      </c>
      <c r="AO545">
        <f ca="1">IF(T_EMPLOYEES[[#This Row],[EMPLOYEE NUMBER]]="","",IF(T_EMPLOYEES[[#This Row],[ERROR]]="",0,1))</f>
        <v>0</v>
      </c>
      <c r="AP54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6" spans="1:42">
      <c r="A546" t="s">
        <v>1707</v>
      </c>
      <c r="B546" t="s">
        <v>1708</v>
      </c>
      <c r="C546">
        <v>1030921</v>
      </c>
      <c r="D546" t="s">
        <v>1709</v>
      </c>
      <c r="E546" s="26">
        <v>37073</v>
      </c>
      <c r="F546" s="26">
        <v>44876</v>
      </c>
      <c r="H546" t="s">
        <v>27</v>
      </c>
      <c r="I546" t="s">
        <v>54</v>
      </c>
      <c r="J546" t="s">
        <v>64</v>
      </c>
      <c r="K546" t="s">
        <v>30</v>
      </c>
      <c r="L546" s="27" t="s">
        <v>114</v>
      </c>
      <c r="M546" t="s">
        <v>46</v>
      </c>
      <c r="N546" t="s">
        <v>151</v>
      </c>
      <c r="O546" t="s">
        <v>36</v>
      </c>
      <c r="P546" t="s">
        <v>151</v>
      </c>
      <c r="Q546" t="s">
        <v>505</v>
      </c>
      <c r="R546" s="27">
        <v>0</v>
      </c>
      <c r="S546" s="1">
        <v>1200000</v>
      </c>
      <c r="T546" s="1">
        <f ca="1">ROUND(T_EMPLOYEES[[#This Row],[EMP_CTC1]]/12, 0)</f>
        <v>100000</v>
      </c>
      <c r="U546" s="1">
        <v>1000000</v>
      </c>
      <c r="V546" s="1" t="s">
        <v>207</v>
      </c>
      <c r="W546" s="1" t="s">
        <v>207</v>
      </c>
      <c r="X54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Rajan Kumar Tiwari (1030921)</v>
      </c>
      <c r="Y546">
        <v>120000</v>
      </c>
      <c r="Z546" s="29">
        <f t="shared" ca="1" si="9"/>
        <v>16.666666666666664</v>
      </c>
      <c r="AA546">
        <f ca="1">IF(T_EMPLOYEES[[#This Row],[EMPLOYEE NUMBER]]="","",ROW(T_EMPLOYEES[[#This Row],[EMPLOYEE LABEL]])-ROW(T_EMPLOYEES[[#Headers],[EMPLOYEE LABEL]]))</f>
        <v>543</v>
      </c>
      <c r="AB546">
        <f ca="1">IF(T_EMPLOYEES[[#This Row],[EMPLOYEE NUMBER]]="","",IF(COUNTIF(T_EMPLOYEES[EMPLOYEE NUMBER],T_EMPLOYEES[[#This Row],[EMPLOYEE NUMBER]])&gt;1,1,0))</f>
        <v>0</v>
      </c>
      <c r="AC546">
        <f ca="1">IF(T_EMPLOYEES[[#This Row],[EMPLOYEE NUMBER]]="","",IF(AND(T_EMPLOYEES[[#This Row],[DATE OF BIRTH]]&gt;0,T_EMPLOYEES[[#This Row],[DATE OF BIRTH]]&lt;TODAY()),0,1))</f>
        <v>0</v>
      </c>
      <c r="AD546">
        <f ca="1">IF(T_EMPLOYEES[[#This Row],[EMPLOYEE NUMBER]]="","",IF(AND(T_EMPLOYEES[[#This Row],[START DATE]]&gt;0,T_EMPLOYEES[[#This Row],[START DATE]]&lt;TODAY()+60),0,1))</f>
        <v>0</v>
      </c>
      <c r="AE546">
        <f ca="1">IF(T_EMPLOYEES[[#This Row],[EMPLOYEE NUMBER]]="","",MATCH(T_EMPLOYEES[[#This Row],[GENDER]],L_GENDER,0))</f>
        <v>1</v>
      </c>
      <c r="AF546">
        <f ca="1">IF(T_EMPLOYEES[[#This Row],[EMPLOYEE NUMBER]]="","",MATCH(T_EMPLOYEES[[#This Row],[HIRE SOURCE]],L_HIRESOURCE,0))</f>
        <v>4</v>
      </c>
      <c r="AG546">
        <f ca="1">IF(T_EMPLOYEES[[#This Row],[EMPLOYEE NUMBER]]="","",MATCH(T_EMPLOYEES[[#This Row],[ETHNICITY]],L_ETHNICITY,0))</f>
        <v>3</v>
      </c>
      <c r="AH546">
        <f ca="1">IF(T_EMPLOYEES[[#This Row],[EMPLOYEE NUMBER]]="","",MATCH(T_EMPLOYEES[[#This Row],[LOCATION]],L_LOCATION,0))</f>
        <v>1</v>
      </c>
      <c r="AI546">
        <f ca="1">IF(T_EMPLOYEES[[#This Row],[EMPLOYEE NUMBER]]="","",MATCH(T_EMPLOYEES[[#This Row],[DEPARTMENT]],L_DEPARTMENT,0))</f>
        <v>11</v>
      </c>
      <c r="AJ546">
        <f ca="1">IF(T_EMPLOYEES[[#This Row],[EMPLOYEE NUMBER]]="","",MATCH(T_EMPLOYEES[[#This Row],[JOB TYPE]],L_JOBTYPE,0))</f>
        <v>2</v>
      </c>
      <c r="AK546">
        <f ca="1">IF(T_EMPLOYEES[[#This Row],[EMPLOYEE NUMBER]]="","",MATCH(T_EMPLOYEES[[#This Row],[JOB CATEGORY]],L_JOBCATEGORY,0))</f>
        <v>30</v>
      </c>
      <c r="AL546">
        <f ca="1">IF(T_EMPLOYEES[[#This Row],[EMPLOYEE NUMBER]]="","",MATCH(T_EMPLOYEES[[#This Row],[JOB LEVEL]],L_JOBLEVEL,0))</f>
        <v>1</v>
      </c>
      <c r="AM546">
        <f ca="1">IF(T_EMPLOYEES[[#This Row],[EMPLOYEE NUMBER]]="","",MATCH(T_EMPLOYEES[[#This Row],[JOB TITLE]],L_JOBTITLE,0))</f>
        <v>30</v>
      </c>
      <c r="AN546">
        <f ca="1">IF(T_EMPLOYEES[[#This Row],[EMPLOYEE NUMBER]]="","",MATCH(T_EMPLOYEES[[#This Row],[MANAGER]],L_EMPLABELS,0))</f>
        <v>57</v>
      </c>
      <c r="AO546">
        <f ca="1">IF(T_EMPLOYEES[[#This Row],[EMPLOYEE NUMBER]]="","",IF(T_EMPLOYEES[[#This Row],[ERROR]]="",0,1))</f>
        <v>0</v>
      </c>
      <c r="AP54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7" spans="1:42">
      <c r="A547" t="s">
        <v>1710</v>
      </c>
      <c r="B547" t="s">
        <v>1711</v>
      </c>
      <c r="C547">
        <v>1030900</v>
      </c>
      <c r="D547" t="s">
        <v>1712</v>
      </c>
      <c r="E547" s="26">
        <v>37074</v>
      </c>
      <c r="F547" s="26">
        <v>44876</v>
      </c>
      <c r="H547" t="s">
        <v>40</v>
      </c>
      <c r="I547" t="s">
        <v>54</v>
      </c>
      <c r="J547" t="s">
        <v>64</v>
      </c>
      <c r="K547" t="s">
        <v>30</v>
      </c>
      <c r="L547" s="27" t="s">
        <v>45</v>
      </c>
      <c r="M547" t="s">
        <v>46</v>
      </c>
      <c r="N547" t="s">
        <v>151</v>
      </c>
      <c r="O547" t="s">
        <v>36</v>
      </c>
      <c r="P547" t="s">
        <v>151</v>
      </c>
      <c r="Q547" t="s">
        <v>1312</v>
      </c>
      <c r="R547">
        <v>0</v>
      </c>
      <c r="S547" s="1">
        <v>1200000</v>
      </c>
      <c r="T547" s="1">
        <f ca="1">ROUND(T_EMPLOYEES[[#This Row],[EMP_CTC1]]/12, 0)</f>
        <v>100000</v>
      </c>
      <c r="U547" s="1">
        <v>1000000</v>
      </c>
      <c r="V547" s="1" t="s">
        <v>207</v>
      </c>
      <c r="W547" s="1" t="s">
        <v>207</v>
      </c>
      <c r="X54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Mareedu Swetha Priya (1030900)</v>
      </c>
      <c r="Y547">
        <v>120000</v>
      </c>
      <c r="Z547" s="29">
        <f t="shared" ca="1" si="9"/>
        <v>16.666666666666664</v>
      </c>
      <c r="AA547">
        <f ca="1">IF(T_EMPLOYEES[[#This Row],[EMPLOYEE NUMBER]]="","",ROW(T_EMPLOYEES[[#This Row],[EMPLOYEE LABEL]])-ROW(T_EMPLOYEES[[#Headers],[EMPLOYEE LABEL]]))</f>
        <v>544</v>
      </c>
      <c r="AB547">
        <f ca="1">IF(T_EMPLOYEES[[#This Row],[EMPLOYEE NUMBER]]="","",IF(COUNTIF(T_EMPLOYEES[EMPLOYEE NUMBER],T_EMPLOYEES[[#This Row],[EMPLOYEE NUMBER]])&gt;1,1,0))</f>
        <v>0</v>
      </c>
      <c r="AC547">
        <f ca="1">IF(T_EMPLOYEES[[#This Row],[EMPLOYEE NUMBER]]="","",IF(AND(T_EMPLOYEES[[#This Row],[DATE OF BIRTH]]&gt;0,T_EMPLOYEES[[#This Row],[DATE OF BIRTH]]&lt;TODAY()),0,1))</f>
        <v>0</v>
      </c>
      <c r="AD547">
        <f ca="1">IF(T_EMPLOYEES[[#This Row],[EMPLOYEE NUMBER]]="","",IF(AND(T_EMPLOYEES[[#This Row],[START DATE]]&gt;0,T_EMPLOYEES[[#This Row],[START DATE]]&lt;TODAY()+60),0,1))</f>
        <v>0</v>
      </c>
      <c r="AE547">
        <f ca="1">IF(T_EMPLOYEES[[#This Row],[EMPLOYEE NUMBER]]="","",MATCH(T_EMPLOYEES[[#This Row],[GENDER]],L_GENDER,0))</f>
        <v>2</v>
      </c>
      <c r="AF547">
        <f ca="1">IF(T_EMPLOYEES[[#This Row],[EMPLOYEE NUMBER]]="","",MATCH(T_EMPLOYEES[[#This Row],[HIRE SOURCE]],L_HIRESOURCE,0))</f>
        <v>4</v>
      </c>
      <c r="AG547">
        <f ca="1">IF(T_EMPLOYEES[[#This Row],[EMPLOYEE NUMBER]]="","",MATCH(T_EMPLOYEES[[#This Row],[ETHNICITY]],L_ETHNICITY,0))</f>
        <v>3</v>
      </c>
      <c r="AH547">
        <f ca="1">IF(T_EMPLOYEES[[#This Row],[EMPLOYEE NUMBER]]="","",MATCH(T_EMPLOYEES[[#This Row],[LOCATION]],L_LOCATION,0))</f>
        <v>1</v>
      </c>
      <c r="AI547">
        <f ca="1">IF(T_EMPLOYEES[[#This Row],[EMPLOYEE NUMBER]]="","",MATCH(T_EMPLOYEES[[#This Row],[DEPARTMENT]],L_DEPARTMENT,0))</f>
        <v>2</v>
      </c>
      <c r="AJ547">
        <f ca="1">IF(T_EMPLOYEES[[#This Row],[EMPLOYEE NUMBER]]="","",MATCH(T_EMPLOYEES[[#This Row],[JOB TYPE]],L_JOBTYPE,0))</f>
        <v>2</v>
      </c>
      <c r="AK547">
        <f ca="1">IF(T_EMPLOYEES[[#This Row],[EMPLOYEE NUMBER]]="","",MATCH(T_EMPLOYEES[[#This Row],[JOB CATEGORY]],L_JOBCATEGORY,0))</f>
        <v>30</v>
      </c>
      <c r="AL547">
        <f ca="1">IF(T_EMPLOYEES[[#This Row],[EMPLOYEE NUMBER]]="","",MATCH(T_EMPLOYEES[[#This Row],[JOB LEVEL]],L_JOBLEVEL,0))</f>
        <v>1</v>
      </c>
      <c r="AM547">
        <f ca="1">IF(T_EMPLOYEES[[#This Row],[EMPLOYEE NUMBER]]="","",MATCH(T_EMPLOYEES[[#This Row],[JOB TITLE]],L_JOBTITLE,0))</f>
        <v>30</v>
      </c>
      <c r="AN547">
        <f ca="1">IF(T_EMPLOYEES[[#This Row],[EMPLOYEE NUMBER]]="","",MATCH(T_EMPLOYEES[[#This Row],[MANAGER]],L_EMPLABELS,0))</f>
        <v>144</v>
      </c>
      <c r="AO547">
        <f ca="1">IF(T_EMPLOYEES[[#This Row],[EMPLOYEE NUMBER]]="","",IF(T_EMPLOYEES[[#This Row],[ERROR]]="",0,1))</f>
        <v>0</v>
      </c>
      <c r="AP54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8" spans="1:42">
      <c r="A548" t="s">
        <v>1713</v>
      </c>
      <c r="B548" t="s">
        <v>1714</v>
      </c>
      <c r="C548">
        <v>1033243</v>
      </c>
      <c r="D548" t="s">
        <v>1715</v>
      </c>
      <c r="E548" s="26">
        <v>37074</v>
      </c>
      <c r="F548" s="26">
        <v>45155</v>
      </c>
      <c r="H548" t="s">
        <v>27</v>
      </c>
      <c r="I548" t="s">
        <v>54</v>
      </c>
      <c r="J548" t="s">
        <v>64</v>
      </c>
      <c r="K548" t="s">
        <v>43</v>
      </c>
      <c r="L548" s="27" t="s">
        <v>45</v>
      </c>
      <c r="M548" t="s">
        <v>46</v>
      </c>
      <c r="N548" t="s">
        <v>151</v>
      </c>
      <c r="O548" t="s">
        <v>36</v>
      </c>
      <c r="P548" t="s">
        <v>151</v>
      </c>
      <c r="Q548" t="s">
        <v>726</v>
      </c>
      <c r="R548" s="27">
        <v>0</v>
      </c>
      <c r="S548" s="1">
        <v>1200000</v>
      </c>
      <c r="T548" s="1">
        <f ca="1">ROUND(T_EMPLOYEES[[#This Row],[EMP_CTC1]]/12, 0)</f>
        <v>100000</v>
      </c>
      <c r="U548" s="1">
        <v>1000000</v>
      </c>
      <c r="V548" s="1" t="s">
        <v>207</v>
      </c>
      <c r="W548" s="1" t="s">
        <v>207</v>
      </c>
      <c r="X54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Kunal Kosala (1033243)</v>
      </c>
      <c r="Y548">
        <v>120000</v>
      </c>
      <c r="Z548" s="29">
        <f t="shared" ca="1" si="9"/>
        <v>16.666666666666664</v>
      </c>
      <c r="AA548">
        <f ca="1">IF(T_EMPLOYEES[[#This Row],[EMPLOYEE NUMBER]]="","",ROW(T_EMPLOYEES[[#This Row],[EMPLOYEE LABEL]])-ROW(T_EMPLOYEES[[#Headers],[EMPLOYEE LABEL]]))</f>
        <v>545</v>
      </c>
      <c r="AB548">
        <f ca="1">IF(T_EMPLOYEES[[#This Row],[EMPLOYEE NUMBER]]="","",IF(COUNTIF(T_EMPLOYEES[EMPLOYEE NUMBER],T_EMPLOYEES[[#This Row],[EMPLOYEE NUMBER]])&gt;1,1,0))</f>
        <v>0</v>
      </c>
      <c r="AC548">
        <f ca="1">IF(T_EMPLOYEES[[#This Row],[EMPLOYEE NUMBER]]="","",IF(AND(T_EMPLOYEES[[#This Row],[DATE OF BIRTH]]&gt;0,T_EMPLOYEES[[#This Row],[DATE OF BIRTH]]&lt;TODAY()),0,1))</f>
        <v>0</v>
      </c>
      <c r="AD548">
        <f ca="1">IF(T_EMPLOYEES[[#This Row],[EMPLOYEE NUMBER]]="","",IF(AND(T_EMPLOYEES[[#This Row],[START DATE]]&gt;0,T_EMPLOYEES[[#This Row],[START DATE]]&lt;TODAY()+60),0,1))</f>
        <v>0</v>
      </c>
      <c r="AE548">
        <f ca="1">IF(T_EMPLOYEES[[#This Row],[EMPLOYEE NUMBER]]="","",MATCH(T_EMPLOYEES[[#This Row],[GENDER]],L_GENDER,0))</f>
        <v>1</v>
      </c>
      <c r="AF548">
        <f ca="1">IF(T_EMPLOYEES[[#This Row],[EMPLOYEE NUMBER]]="","",MATCH(T_EMPLOYEES[[#This Row],[HIRE SOURCE]],L_HIRESOURCE,0))</f>
        <v>4</v>
      </c>
      <c r="AG548">
        <f ca="1">IF(T_EMPLOYEES[[#This Row],[EMPLOYEE NUMBER]]="","",MATCH(T_EMPLOYEES[[#This Row],[ETHNICITY]],L_ETHNICITY,0))</f>
        <v>3</v>
      </c>
      <c r="AH548">
        <f ca="1">IF(T_EMPLOYEES[[#This Row],[EMPLOYEE NUMBER]]="","",MATCH(T_EMPLOYEES[[#This Row],[LOCATION]],L_LOCATION,0))</f>
        <v>2</v>
      </c>
      <c r="AI548">
        <f ca="1">IF(T_EMPLOYEES[[#This Row],[EMPLOYEE NUMBER]]="","",MATCH(T_EMPLOYEES[[#This Row],[DEPARTMENT]],L_DEPARTMENT,0))</f>
        <v>2</v>
      </c>
      <c r="AJ548">
        <f ca="1">IF(T_EMPLOYEES[[#This Row],[EMPLOYEE NUMBER]]="","",MATCH(T_EMPLOYEES[[#This Row],[JOB TYPE]],L_JOBTYPE,0))</f>
        <v>2</v>
      </c>
      <c r="AK548">
        <f ca="1">IF(T_EMPLOYEES[[#This Row],[EMPLOYEE NUMBER]]="","",MATCH(T_EMPLOYEES[[#This Row],[JOB CATEGORY]],L_JOBCATEGORY,0))</f>
        <v>30</v>
      </c>
      <c r="AL548">
        <f ca="1">IF(T_EMPLOYEES[[#This Row],[EMPLOYEE NUMBER]]="","",MATCH(T_EMPLOYEES[[#This Row],[JOB LEVEL]],L_JOBLEVEL,0))</f>
        <v>1</v>
      </c>
      <c r="AM548">
        <f ca="1">IF(T_EMPLOYEES[[#This Row],[EMPLOYEE NUMBER]]="","",MATCH(T_EMPLOYEES[[#This Row],[JOB TITLE]],L_JOBTITLE,0))</f>
        <v>30</v>
      </c>
      <c r="AN548">
        <f ca="1">IF(T_EMPLOYEES[[#This Row],[EMPLOYEE NUMBER]]="","",MATCH(T_EMPLOYEES[[#This Row],[MANAGER]],L_EMPLABELS,0))</f>
        <v>59</v>
      </c>
      <c r="AO548">
        <f ca="1">IF(T_EMPLOYEES[[#This Row],[EMPLOYEE NUMBER]]="","",IF(T_EMPLOYEES[[#This Row],[ERROR]]="",0,1))</f>
        <v>0</v>
      </c>
      <c r="AP54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9" spans="1:42">
      <c r="A549" t="s">
        <v>1716</v>
      </c>
      <c r="B549" t="s">
        <v>1717</v>
      </c>
      <c r="C549">
        <v>1029529</v>
      </c>
      <c r="D549" t="s">
        <v>1718</v>
      </c>
      <c r="E549" s="26">
        <v>37082</v>
      </c>
      <c r="F549" s="26">
        <v>44757</v>
      </c>
      <c r="H549" t="s">
        <v>27</v>
      </c>
      <c r="I549" t="s">
        <v>54</v>
      </c>
      <c r="J549" t="s">
        <v>64</v>
      </c>
      <c r="K549" t="s">
        <v>30</v>
      </c>
      <c r="L549" s="27" t="s">
        <v>114</v>
      </c>
      <c r="M549" t="s">
        <v>46</v>
      </c>
      <c r="N549" t="s">
        <v>151</v>
      </c>
      <c r="O549" t="s">
        <v>36</v>
      </c>
      <c r="P549" t="s">
        <v>151</v>
      </c>
      <c r="Q549" t="s">
        <v>505</v>
      </c>
      <c r="R549">
        <v>0</v>
      </c>
      <c r="S549" s="1">
        <v>1200000</v>
      </c>
      <c r="T549" s="1">
        <f ca="1">ROUND(T_EMPLOYEES[[#This Row],[EMP_CTC1]]/12, 0)</f>
        <v>100000</v>
      </c>
      <c r="U549" s="1">
        <v>1000000</v>
      </c>
      <c r="V549" s="1" t="s">
        <v>207</v>
      </c>
      <c r="W549" s="1" t="s">
        <v>207</v>
      </c>
      <c r="X54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Chandra Sekhar Bethanapalli (1029529)</v>
      </c>
      <c r="Y549">
        <v>120000</v>
      </c>
      <c r="Z549" s="29">
        <f t="shared" ca="1" si="9"/>
        <v>16.666666666666664</v>
      </c>
      <c r="AA549">
        <f ca="1">IF(T_EMPLOYEES[[#This Row],[EMPLOYEE NUMBER]]="","",ROW(T_EMPLOYEES[[#This Row],[EMPLOYEE LABEL]])-ROW(T_EMPLOYEES[[#Headers],[EMPLOYEE LABEL]]))</f>
        <v>546</v>
      </c>
      <c r="AB549">
        <f ca="1">IF(T_EMPLOYEES[[#This Row],[EMPLOYEE NUMBER]]="","",IF(COUNTIF(T_EMPLOYEES[EMPLOYEE NUMBER],T_EMPLOYEES[[#This Row],[EMPLOYEE NUMBER]])&gt;1,1,0))</f>
        <v>0</v>
      </c>
      <c r="AC549">
        <f ca="1">IF(T_EMPLOYEES[[#This Row],[EMPLOYEE NUMBER]]="","",IF(AND(T_EMPLOYEES[[#This Row],[DATE OF BIRTH]]&gt;0,T_EMPLOYEES[[#This Row],[DATE OF BIRTH]]&lt;TODAY()),0,1))</f>
        <v>0</v>
      </c>
      <c r="AD549">
        <f ca="1">IF(T_EMPLOYEES[[#This Row],[EMPLOYEE NUMBER]]="","",IF(AND(T_EMPLOYEES[[#This Row],[START DATE]]&gt;0,T_EMPLOYEES[[#This Row],[START DATE]]&lt;TODAY()+60),0,1))</f>
        <v>0</v>
      </c>
      <c r="AE549">
        <f ca="1">IF(T_EMPLOYEES[[#This Row],[EMPLOYEE NUMBER]]="","",MATCH(T_EMPLOYEES[[#This Row],[GENDER]],L_GENDER,0))</f>
        <v>1</v>
      </c>
      <c r="AF549">
        <f ca="1">IF(T_EMPLOYEES[[#This Row],[EMPLOYEE NUMBER]]="","",MATCH(T_EMPLOYEES[[#This Row],[HIRE SOURCE]],L_HIRESOURCE,0))</f>
        <v>4</v>
      </c>
      <c r="AG549">
        <f ca="1">IF(T_EMPLOYEES[[#This Row],[EMPLOYEE NUMBER]]="","",MATCH(T_EMPLOYEES[[#This Row],[ETHNICITY]],L_ETHNICITY,0))</f>
        <v>3</v>
      </c>
      <c r="AH549">
        <f ca="1">IF(T_EMPLOYEES[[#This Row],[EMPLOYEE NUMBER]]="","",MATCH(T_EMPLOYEES[[#This Row],[LOCATION]],L_LOCATION,0))</f>
        <v>1</v>
      </c>
      <c r="AI549">
        <f ca="1">IF(T_EMPLOYEES[[#This Row],[EMPLOYEE NUMBER]]="","",MATCH(T_EMPLOYEES[[#This Row],[DEPARTMENT]],L_DEPARTMENT,0))</f>
        <v>11</v>
      </c>
      <c r="AJ549">
        <f ca="1">IF(T_EMPLOYEES[[#This Row],[EMPLOYEE NUMBER]]="","",MATCH(T_EMPLOYEES[[#This Row],[JOB TYPE]],L_JOBTYPE,0))</f>
        <v>2</v>
      </c>
      <c r="AK549">
        <f ca="1">IF(T_EMPLOYEES[[#This Row],[EMPLOYEE NUMBER]]="","",MATCH(T_EMPLOYEES[[#This Row],[JOB CATEGORY]],L_JOBCATEGORY,0))</f>
        <v>30</v>
      </c>
      <c r="AL549">
        <f ca="1">IF(T_EMPLOYEES[[#This Row],[EMPLOYEE NUMBER]]="","",MATCH(T_EMPLOYEES[[#This Row],[JOB LEVEL]],L_JOBLEVEL,0))</f>
        <v>1</v>
      </c>
      <c r="AM549">
        <f ca="1">IF(T_EMPLOYEES[[#This Row],[EMPLOYEE NUMBER]]="","",MATCH(T_EMPLOYEES[[#This Row],[JOB TITLE]],L_JOBTITLE,0))</f>
        <v>30</v>
      </c>
      <c r="AN549">
        <f ca="1">IF(T_EMPLOYEES[[#This Row],[EMPLOYEE NUMBER]]="","",MATCH(T_EMPLOYEES[[#This Row],[MANAGER]],L_EMPLABELS,0))</f>
        <v>57</v>
      </c>
      <c r="AO549">
        <f ca="1">IF(T_EMPLOYEES[[#This Row],[EMPLOYEE NUMBER]]="","",IF(T_EMPLOYEES[[#This Row],[ERROR]]="",0,1))</f>
        <v>0</v>
      </c>
      <c r="AP54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0" spans="1:42">
      <c r="A550" t="s">
        <v>1401</v>
      </c>
      <c r="B550" t="s">
        <v>1719</v>
      </c>
      <c r="C550">
        <v>1029305</v>
      </c>
      <c r="D550" t="s">
        <v>1720</v>
      </c>
      <c r="E550" s="26">
        <v>37096</v>
      </c>
      <c r="F550" s="26">
        <v>44729</v>
      </c>
      <c r="H550" t="s">
        <v>27</v>
      </c>
      <c r="I550" t="s">
        <v>54</v>
      </c>
      <c r="J550" t="s">
        <v>64</v>
      </c>
      <c r="K550" t="s">
        <v>30</v>
      </c>
      <c r="L550" s="27" t="s">
        <v>114</v>
      </c>
      <c r="M550" t="s">
        <v>46</v>
      </c>
      <c r="N550" t="s">
        <v>151</v>
      </c>
      <c r="O550" t="s">
        <v>36</v>
      </c>
      <c r="P550" t="s">
        <v>151</v>
      </c>
      <c r="Q550" t="s">
        <v>206</v>
      </c>
      <c r="R550" s="27">
        <v>0</v>
      </c>
      <c r="S550" s="1">
        <v>1200000</v>
      </c>
      <c r="T550" s="1">
        <f ca="1">ROUND(T_EMPLOYEES[[#This Row],[EMP_CTC1]]/12, 0)</f>
        <v>100000</v>
      </c>
      <c r="U550" s="1">
        <v>1000000</v>
      </c>
      <c r="V550" s="1" t="s">
        <v>207</v>
      </c>
      <c r="W550" s="1" t="s">
        <v>207</v>
      </c>
      <c r="X55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Mohamed Thaga A (1029305)</v>
      </c>
      <c r="Y550">
        <v>120000</v>
      </c>
      <c r="Z550" s="29">
        <f t="shared" ca="1" si="9"/>
        <v>16.666666666666664</v>
      </c>
      <c r="AA550">
        <f ca="1">IF(T_EMPLOYEES[[#This Row],[EMPLOYEE NUMBER]]="","",ROW(T_EMPLOYEES[[#This Row],[EMPLOYEE LABEL]])-ROW(T_EMPLOYEES[[#Headers],[EMPLOYEE LABEL]]))</f>
        <v>547</v>
      </c>
      <c r="AB550">
        <f ca="1">IF(T_EMPLOYEES[[#This Row],[EMPLOYEE NUMBER]]="","",IF(COUNTIF(T_EMPLOYEES[EMPLOYEE NUMBER],T_EMPLOYEES[[#This Row],[EMPLOYEE NUMBER]])&gt;1,1,0))</f>
        <v>0</v>
      </c>
      <c r="AC550">
        <f ca="1">IF(T_EMPLOYEES[[#This Row],[EMPLOYEE NUMBER]]="","",IF(AND(T_EMPLOYEES[[#This Row],[DATE OF BIRTH]]&gt;0,T_EMPLOYEES[[#This Row],[DATE OF BIRTH]]&lt;TODAY()),0,1))</f>
        <v>0</v>
      </c>
      <c r="AD550">
        <f ca="1">IF(T_EMPLOYEES[[#This Row],[EMPLOYEE NUMBER]]="","",IF(AND(T_EMPLOYEES[[#This Row],[START DATE]]&gt;0,T_EMPLOYEES[[#This Row],[START DATE]]&lt;TODAY()+60),0,1))</f>
        <v>0</v>
      </c>
      <c r="AE550">
        <f ca="1">IF(T_EMPLOYEES[[#This Row],[EMPLOYEE NUMBER]]="","",MATCH(T_EMPLOYEES[[#This Row],[GENDER]],L_GENDER,0))</f>
        <v>1</v>
      </c>
      <c r="AF550">
        <f ca="1">IF(T_EMPLOYEES[[#This Row],[EMPLOYEE NUMBER]]="","",MATCH(T_EMPLOYEES[[#This Row],[HIRE SOURCE]],L_HIRESOURCE,0))</f>
        <v>4</v>
      </c>
      <c r="AG550">
        <f ca="1">IF(T_EMPLOYEES[[#This Row],[EMPLOYEE NUMBER]]="","",MATCH(T_EMPLOYEES[[#This Row],[ETHNICITY]],L_ETHNICITY,0))</f>
        <v>3</v>
      </c>
      <c r="AH550">
        <f ca="1">IF(T_EMPLOYEES[[#This Row],[EMPLOYEE NUMBER]]="","",MATCH(T_EMPLOYEES[[#This Row],[LOCATION]],L_LOCATION,0))</f>
        <v>1</v>
      </c>
      <c r="AI550">
        <f ca="1">IF(T_EMPLOYEES[[#This Row],[EMPLOYEE NUMBER]]="","",MATCH(T_EMPLOYEES[[#This Row],[DEPARTMENT]],L_DEPARTMENT,0))</f>
        <v>11</v>
      </c>
      <c r="AJ550">
        <f ca="1">IF(T_EMPLOYEES[[#This Row],[EMPLOYEE NUMBER]]="","",MATCH(T_EMPLOYEES[[#This Row],[JOB TYPE]],L_JOBTYPE,0))</f>
        <v>2</v>
      </c>
      <c r="AK550">
        <f ca="1">IF(T_EMPLOYEES[[#This Row],[EMPLOYEE NUMBER]]="","",MATCH(T_EMPLOYEES[[#This Row],[JOB CATEGORY]],L_JOBCATEGORY,0))</f>
        <v>30</v>
      </c>
      <c r="AL550">
        <f ca="1">IF(T_EMPLOYEES[[#This Row],[EMPLOYEE NUMBER]]="","",MATCH(T_EMPLOYEES[[#This Row],[JOB LEVEL]],L_JOBLEVEL,0))</f>
        <v>1</v>
      </c>
      <c r="AM550">
        <f ca="1">IF(T_EMPLOYEES[[#This Row],[EMPLOYEE NUMBER]]="","",MATCH(T_EMPLOYEES[[#This Row],[JOB TITLE]],L_JOBTITLE,0))</f>
        <v>30</v>
      </c>
      <c r="AN550">
        <f ca="1">IF(T_EMPLOYEES[[#This Row],[EMPLOYEE NUMBER]]="","",MATCH(T_EMPLOYEES[[#This Row],[MANAGER]],L_EMPLABELS,0))</f>
        <v>6</v>
      </c>
      <c r="AO550">
        <f ca="1">IF(T_EMPLOYEES[[#This Row],[EMPLOYEE NUMBER]]="","",IF(T_EMPLOYEES[[#This Row],[ERROR]]="",0,1))</f>
        <v>0</v>
      </c>
      <c r="AP55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1" spans="1:42">
      <c r="A551" t="s">
        <v>1721</v>
      </c>
      <c r="B551" t="s">
        <v>1722</v>
      </c>
      <c r="C551">
        <v>1029914</v>
      </c>
      <c r="D551" t="s">
        <v>1723</v>
      </c>
      <c r="E551" s="26">
        <v>37112</v>
      </c>
      <c r="F551" s="26">
        <v>44791</v>
      </c>
      <c r="H551" t="s">
        <v>40</v>
      </c>
      <c r="I551" t="s">
        <v>54</v>
      </c>
      <c r="J551" t="s">
        <v>64</v>
      </c>
      <c r="K551" t="s">
        <v>30</v>
      </c>
      <c r="L551" s="27" t="s">
        <v>114</v>
      </c>
      <c r="M551" t="s">
        <v>46</v>
      </c>
      <c r="N551" t="s">
        <v>151</v>
      </c>
      <c r="O551" t="s">
        <v>36</v>
      </c>
      <c r="P551" t="s">
        <v>151</v>
      </c>
      <c r="Q551" t="s">
        <v>206</v>
      </c>
      <c r="R551">
        <v>0</v>
      </c>
      <c r="S551" s="1">
        <v>1200000</v>
      </c>
      <c r="T551" s="1">
        <f ca="1">ROUND(T_EMPLOYEES[[#This Row],[EMP_CTC1]]/12, 0)</f>
        <v>100000</v>
      </c>
      <c r="U551" s="1">
        <v>1000000</v>
      </c>
      <c r="V551" s="1" t="s">
        <v>207</v>
      </c>
      <c r="W551" s="1" t="s">
        <v>207</v>
      </c>
      <c r="X55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Gunji Usha Sri (1029914)</v>
      </c>
      <c r="Y551">
        <v>120000</v>
      </c>
      <c r="Z551" s="29">
        <f t="shared" ca="1" si="9"/>
        <v>16.666666666666664</v>
      </c>
      <c r="AA551">
        <f ca="1">IF(T_EMPLOYEES[[#This Row],[EMPLOYEE NUMBER]]="","",ROW(T_EMPLOYEES[[#This Row],[EMPLOYEE LABEL]])-ROW(T_EMPLOYEES[[#Headers],[EMPLOYEE LABEL]]))</f>
        <v>548</v>
      </c>
      <c r="AB551">
        <f ca="1">IF(T_EMPLOYEES[[#This Row],[EMPLOYEE NUMBER]]="","",IF(COUNTIF(T_EMPLOYEES[EMPLOYEE NUMBER],T_EMPLOYEES[[#This Row],[EMPLOYEE NUMBER]])&gt;1,1,0))</f>
        <v>0</v>
      </c>
      <c r="AC551">
        <f ca="1">IF(T_EMPLOYEES[[#This Row],[EMPLOYEE NUMBER]]="","",IF(AND(T_EMPLOYEES[[#This Row],[DATE OF BIRTH]]&gt;0,T_EMPLOYEES[[#This Row],[DATE OF BIRTH]]&lt;TODAY()),0,1))</f>
        <v>0</v>
      </c>
      <c r="AD551">
        <f ca="1">IF(T_EMPLOYEES[[#This Row],[EMPLOYEE NUMBER]]="","",IF(AND(T_EMPLOYEES[[#This Row],[START DATE]]&gt;0,T_EMPLOYEES[[#This Row],[START DATE]]&lt;TODAY()+60),0,1))</f>
        <v>0</v>
      </c>
      <c r="AE551">
        <f ca="1">IF(T_EMPLOYEES[[#This Row],[EMPLOYEE NUMBER]]="","",MATCH(T_EMPLOYEES[[#This Row],[GENDER]],L_GENDER,0))</f>
        <v>2</v>
      </c>
      <c r="AF551">
        <f ca="1">IF(T_EMPLOYEES[[#This Row],[EMPLOYEE NUMBER]]="","",MATCH(T_EMPLOYEES[[#This Row],[HIRE SOURCE]],L_HIRESOURCE,0))</f>
        <v>4</v>
      </c>
      <c r="AG551">
        <f ca="1">IF(T_EMPLOYEES[[#This Row],[EMPLOYEE NUMBER]]="","",MATCH(T_EMPLOYEES[[#This Row],[ETHNICITY]],L_ETHNICITY,0))</f>
        <v>3</v>
      </c>
      <c r="AH551">
        <f ca="1">IF(T_EMPLOYEES[[#This Row],[EMPLOYEE NUMBER]]="","",MATCH(T_EMPLOYEES[[#This Row],[LOCATION]],L_LOCATION,0))</f>
        <v>1</v>
      </c>
      <c r="AI551">
        <f ca="1">IF(T_EMPLOYEES[[#This Row],[EMPLOYEE NUMBER]]="","",MATCH(T_EMPLOYEES[[#This Row],[DEPARTMENT]],L_DEPARTMENT,0))</f>
        <v>11</v>
      </c>
      <c r="AJ551">
        <f ca="1">IF(T_EMPLOYEES[[#This Row],[EMPLOYEE NUMBER]]="","",MATCH(T_EMPLOYEES[[#This Row],[JOB TYPE]],L_JOBTYPE,0))</f>
        <v>2</v>
      </c>
      <c r="AK551">
        <f ca="1">IF(T_EMPLOYEES[[#This Row],[EMPLOYEE NUMBER]]="","",MATCH(T_EMPLOYEES[[#This Row],[JOB CATEGORY]],L_JOBCATEGORY,0))</f>
        <v>30</v>
      </c>
      <c r="AL551">
        <f ca="1">IF(T_EMPLOYEES[[#This Row],[EMPLOYEE NUMBER]]="","",MATCH(T_EMPLOYEES[[#This Row],[JOB LEVEL]],L_JOBLEVEL,0))</f>
        <v>1</v>
      </c>
      <c r="AM551">
        <f ca="1">IF(T_EMPLOYEES[[#This Row],[EMPLOYEE NUMBER]]="","",MATCH(T_EMPLOYEES[[#This Row],[JOB TITLE]],L_JOBTITLE,0))</f>
        <v>30</v>
      </c>
      <c r="AN551">
        <f ca="1">IF(T_EMPLOYEES[[#This Row],[EMPLOYEE NUMBER]]="","",MATCH(T_EMPLOYEES[[#This Row],[MANAGER]],L_EMPLABELS,0))</f>
        <v>6</v>
      </c>
      <c r="AO551">
        <f ca="1">IF(T_EMPLOYEES[[#This Row],[EMPLOYEE NUMBER]]="","",IF(T_EMPLOYEES[[#This Row],[ERROR]]="",0,1))</f>
        <v>0</v>
      </c>
      <c r="AP55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2" spans="1:42">
      <c r="A552" t="s">
        <v>1724</v>
      </c>
      <c r="B552" t="s">
        <v>1725</v>
      </c>
      <c r="C552">
        <v>1033208</v>
      </c>
      <c r="D552" t="s">
        <v>1726</v>
      </c>
      <c r="E552" s="26">
        <v>37123</v>
      </c>
      <c r="F552" s="26">
        <v>45155</v>
      </c>
      <c r="H552" t="s">
        <v>27</v>
      </c>
      <c r="I552" t="s">
        <v>54</v>
      </c>
      <c r="J552" t="s">
        <v>64</v>
      </c>
      <c r="K552" t="s">
        <v>30</v>
      </c>
      <c r="L552" s="27" t="s">
        <v>114</v>
      </c>
      <c r="M552" t="s">
        <v>46</v>
      </c>
      <c r="N552" t="s">
        <v>151</v>
      </c>
      <c r="O552" t="s">
        <v>36</v>
      </c>
      <c r="P552" t="s">
        <v>151</v>
      </c>
      <c r="Q552" t="s">
        <v>505</v>
      </c>
      <c r="R552" s="27">
        <v>0</v>
      </c>
      <c r="S552" s="1">
        <v>1200000</v>
      </c>
      <c r="T552" s="1">
        <f ca="1">ROUND(T_EMPLOYEES[[#This Row],[EMP_CTC1]]/12, 0)</f>
        <v>100000</v>
      </c>
      <c r="U552" s="1">
        <v>1000000</v>
      </c>
      <c r="V552" s="1" t="s">
        <v>207</v>
      </c>
      <c r="W552" s="1" t="s">
        <v>207</v>
      </c>
      <c r="X55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Himanshu Kumar Ray (1033208)</v>
      </c>
      <c r="Y552">
        <v>120000</v>
      </c>
      <c r="Z552" s="29">
        <f t="shared" ca="1" si="9"/>
        <v>16.666666666666664</v>
      </c>
      <c r="AA552">
        <f ca="1">IF(T_EMPLOYEES[[#This Row],[EMPLOYEE NUMBER]]="","",ROW(T_EMPLOYEES[[#This Row],[EMPLOYEE LABEL]])-ROW(T_EMPLOYEES[[#Headers],[EMPLOYEE LABEL]]))</f>
        <v>549</v>
      </c>
      <c r="AB552">
        <f ca="1">IF(T_EMPLOYEES[[#This Row],[EMPLOYEE NUMBER]]="","",IF(COUNTIF(T_EMPLOYEES[EMPLOYEE NUMBER],T_EMPLOYEES[[#This Row],[EMPLOYEE NUMBER]])&gt;1,1,0))</f>
        <v>0</v>
      </c>
      <c r="AC552">
        <f ca="1">IF(T_EMPLOYEES[[#This Row],[EMPLOYEE NUMBER]]="","",IF(AND(T_EMPLOYEES[[#This Row],[DATE OF BIRTH]]&gt;0,T_EMPLOYEES[[#This Row],[DATE OF BIRTH]]&lt;TODAY()),0,1))</f>
        <v>0</v>
      </c>
      <c r="AD552">
        <f ca="1">IF(T_EMPLOYEES[[#This Row],[EMPLOYEE NUMBER]]="","",IF(AND(T_EMPLOYEES[[#This Row],[START DATE]]&gt;0,T_EMPLOYEES[[#This Row],[START DATE]]&lt;TODAY()+60),0,1))</f>
        <v>0</v>
      </c>
      <c r="AE552">
        <f ca="1">IF(T_EMPLOYEES[[#This Row],[EMPLOYEE NUMBER]]="","",MATCH(T_EMPLOYEES[[#This Row],[GENDER]],L_GENDER,0))</f>
        <v>1</v>
      </c>
      <c r="AF552">
        <f ca="1">IF(T_EMPLOYEES[[#This Row],[EMPLOYEE NUMBER]]="","",MATCH(T_EMPLOYEES[[#This Row],[HIRE SOURCE]],L_HIRESOURCE,0))</f>
        <v>4</v>
      </c>
      <c r="AG552">
        <f ca="1">IF(T_EMPLOYEES[[#This Row],[EMPLOYEE NUMBER]]="","",MATCH(T_EMPLOYEES[[#This Row],[ETHNICITY]],L_ETHNICITY,0))</f>
        <v>3</v>
      </c>
      <c r="AH552">
        <f ca="1">IF(T_EMPLOYEES[[#This Row],[EMPLOYEE NUMBER]]="","",MATCH(T_EMPLOYEES[[#This Row],[LOCATION]],L_LOCATION,0))</f>
        <v>1</v>
      </c>
      <c r="AI552">
        <f ca="1">IF(T_EMPLOYEES[[#This Row],[EMPLOYEE NUMBER]]="","",MATCH(T_EMPLOYEES[[#This Row],[DEPARTMENT]],L_DEPARTMENT,0))</f>
        <v>11</v>
      </c>
      <c r="AJ552">
        <f ca="1">IF(T_EMPLOYEES[[#This Row],[EMPLOYEE NUMBER]]="","",MATCH(T_EMPLOYEES[[#This Row],[JOB TYPE]],L_JOBTYPE,0))</f>
        <v>2</v>
      </c>
      <c r="AK552">
        <f ca="1">IF(T_EMPLOYEES[[#This Row],[EMPLOYEE NUMBER]]="","",MATCH(T_EMPLOYEES[[#This Row],[JOB CATEGORY]],L_JOBCATEGORY,0))</f>
        <v>30</v>
      </c>
      <c r="AL552">
        <f ca="1">IF(T_EMPLOYEES[[#This Row],[EMPLOYEE NUMBER]]="","",MATCH(T_EMPLOYEES[[#This Row],[JOB LEVEL]],L_JOBLEVEL,0))</f>
        <v>1</v>
      </c>
      <c r="AM552">
        <f ca="1">IF(T_EMPLOYEES[[#This Row],[EMPLOYEE NUMBER]]="","",MATCH(T_EMPLOYEES[[#This Row],[JOB TITLE]],L_JOBTITLE,0))</f>
        <v>30</v>
      </c>
      <c r="AN552">
        <f ca="1">IF(T_EMPLOYEES[[#This Row],[EMPLOYEE NUMBER]]="","",MATCH(T_EMPLOYEES[[#This Row],[MANAGER]],L_EMPLABELS,0))</f>
        <v>57</v>
      </c>
      <c r="AO552">
        <f ca="1">IF(T_EMPLOYEES[[#This Row],[EMPLOYEE NUMBER]]="","",IF(T_EMPLOYEES[[#This Row],[ERROR]]="",0,1))</f>
        <v>0</v>
      </c>
      <c r="AP55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3" spans="1:42">
      <c r="A553" t="s">
        <v>1727</v>
      </c>
      <c r="B553" t="s">
        <v>1728</v>
      </c>
      <c r="C553">
        <v>1029533</v>
      </c>
      <c r="D553" t="s">
        <v>1729</v>
      </c>
      <c r="E553" s="26">
        <v>37128</v>
      </c>
      <c r="F553" s="26">
        <v>44757</v>
      </c>
      <c r="H553" t="s">
        <v>27</v>
      </c>
      <c r="I553" t="s">
        <v>54</v>
      </c>
      <c r="J553" t="s">
        <v>64</v>
      </c>
      <c r="K553" t="s">
        <v>43</v>
      </c>
      <c r="L553" s="27" t="s">
        <v>114</v>
      </c>
      <c r="M553" t="s">
        <v>46</v>
      </c>
      <c r="N553" t="s">
        <v>151</v>
      </c>
      <c r="O553" t="s">
        <v>36</v>
      </c>
      <c r="P553" t="s">
        <v>151</v>
      </c>
      <c r="Q553" t="s">
        <v>468</v>
      </c>
      <c r="R553">
        <v>0</v>
      </c>
      <c r="S553" s="1">
        <v>1200000</v>
      </c>
      <c r="T553" s="1">
        <f ca="1">ROUND(T_EMPLOYEES[[#This Row],[EMP_CTC1]]/12, 0)</f>
        <v>100000</v>
      </c>
      <c r="U553" s="1">
        <v>1000000</v>
      </c>
      <c r="V553" s="1" t="s">
        <v>207</v>
      </c>
      <c r="W553" s="1" t="s">
        <v>207</v>
      </c>
      <c r="X55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Rangabhatla Sai Harish (1029533)</v>
      </c>
      <c r="Y553">
        <v>120000</v>
      </c>
      <c r="Z553" s="29">
        <f t="shared" ca="1" si="9"/>
        <v>16.666666666666664</v>
      </c>
      <c r="AA553">
        <f ca="1">IF(T_EMPLOYEES[[#This Row],[EMPLOYEE NUMBER]]="","",ROW(T_EMPLOYEES[[#This Row],[EMPLOYEE LABEL]])-ROW(T_EMPLOYEES[[#Headers],[EMPLOYEE LABEL]]))</f>
        <v>550</v>
      </c>
      <c r="AB553">
        <f ca="1">IF(T_EMPLOYEES[[#This Row],[EMPLOYEE NUMBER]]="","",IF(COUNTIF(T_EMPLOYEES[EMPLOYEE NUMBER],T_EMPLOYEES[[#This Row],[EMPLOYEE NUMBER]])&gt;1,1,0))</f>
        <v>0</v>
      </c>
      <c r="AC553">
        <f ca="1">IF(T_EMPLOYEES[[#This Row],[EMPLOYEE NUMBER]]="","",IF(AND(T_EMPLOYEES[[#This Row],[DATE OF BIRTH]]&gt;0,T_EMPLOYEES[[#This Row],[DATE OF BIRTH]]&lt;TODAY()),0,1))</f>
        <v>0</v>
      </c>
      <c r="AD553">
        <f ca="1">IF(T_EMPLOYEES[[#This Row],[EMPLOYEE NUMBER]]="","",IF(AND(T_EMPLOYEES[[#This Row],[START DATE]]&gt;0,T_EMPLOYEES[[#This Row],[START DATE]]&lt;TODAY()+60),0,1))</f>
        <v>0</v>
      </c>
      <c r="AE553">
        <f ca="1">IF(T_EMPLOYEES[[#This Row],[EMPLOYEE NUMBER]]="","",MATCH(T_EMPLOYEES[[#This Row],[GENDER]],L_GENDER,0))</f>
        <v>1</v>
      </c>
      <c r="AF553">
        <f ca="1">IF(T_EMPLOYEES[[#This Row],[EMPLOYEE NUMBER]]="","",MATCH(T_EMPLOYEES[[#This Row],[HIRE SOURCE]],L_HIRESOURCE,0))</f>
        <v>4</v>
      </c>
      <c r="AG553">
        <f ca="1">IF(T_EMPLOYEES[[#This Row],[EMPLOYEE NUMBER]]="","",MATCH(T_EMPLOYEES[[#This Row],[ETHNICITY]],L_ETHNICITY,0))</f>
        <v>3</v>
      </c>
      <c r="AH553">
        <f ca="1">IF(T_EMPLOYEES[[#This Row],[EMPLOYEE NUMBER]]="","",MATCH(T_EMPLOYEES[[#This Row],[LOCATION]],L_LOCATION,0))</f>
        <v>2</v>
      </c>
      <c r="AI553">
        <f ca="1">IF(T_EMPLOYEES[[#This Row],[EMPLOYEE NUMBER]]="","",MATCH(T_EMPLOYEES[[#This Row],[DEPARTMENT]],L_DEPARTMENT,0))</f>
        <v>11</v>
      </c>
      <c r="AJ553">
        <f ca="1">IF(T_EMPLOYEES[[#This Row],[EMPLOYEE NUMBER]]="","",MATCH(T_EMPLOYEES[[#This Row],[JOB TYPE]],L_JOBTYPE,0))</f>
        <v>2</v>
      </c>
      <c r="AK553">
        <f ca="1">IF(T_EMPLOYEES[[#This Row],[EMPLOYEE NUMBER]]="","",MATCH(T_EMPLOYEES[[#This Row],[JOB CATEGORY]],L_JOBCATEGORY,0))</f>
        <v>30</v>
      </c>
      <c r="AL553">
        <f ca="1">IF(T_EMPLOYEES[[#This Row],[EMPLOYEE NUMBER]]="","",MATCH(T_EMPLOYEES[[#This Row],[JOB LEVEL]],L_JOBLEVEL,0))</f>
        <v>1</v>
      </c>
      <c r="AM553">
        <f ca="1">IF(T_EMPLOYEES[[#This Row],[EMPLOYEE NUMBER]]="","",MATCH(T_EMPLOYEES[[#This Row],[JOB TITLE]],L_JOBTITLE,0))</f>
        <v>30</v>
      </c>
      <c r="AN553">
        <f ca="1">IF(T_EMPLOYEES[[#This Row],[EMPLOYEE NUMBER]]="","",MATCH(T_EMPLOYEES[[#This Row],[MANAGER]],L_EMPLABELS,0))</f>
        <v>56</v>
      </c>
      <c r="AO553">
        <f ca="1">IF(T_EMPLOYEES[[#This Row],[EMPLOYEE NUMBER]]="","",IF(T_EMPLOYEES[[#This Row],[ERROR]]="",0,1))</f>
        <v>0</v>
      </c>
      <c r="AP55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4" spans="1:42">
      <c r="A554" t="s">
        <v>1730</v>
      </c>
      <c r="B554" t="s">
        <v>1731</v>
      </c>
      <c r="C554">
        <v>1029868</v>
      </c>
      <c r="D554" t="s">
        <v>1732</v>
      </c>
      <c r="E554" s="26">
        <v>37128</v>
      </c>
      <c r="F554" s="26">
        <v>44791</v>
      </c>
      <c r="H554" t="s">
        <v>40</v>
      </c>
      <c r="I554" t="s">
        <v>54</v>
      </c>
      <c r="J554" t="s">
        <v>64</v>
      </c>
      <c r="K554" t="s">
        <v>30</v>
      </c>
      <c r="L554" s="27" t="s">
        <v>114</v>
      </c>
      <c r="M554" t="s">
        <v>46</v>
      </c>
      <c r="N554" t="s">
        <v>151</v>
      </c>
      <c r="O554" t="s">
        <v>36</v>
      </c>
      <c r="P554" t="s">
        <v>151</v>
      </c>
      <c r="Q554" t="s">
        <v>468</v>
      </c>
      <c r="R554" s="27">
        <v>0</v>
      </c>
      <c r="S554" s="1">
        <v>1200000</v>
      </c>
      <c r="T554" s="1">
        <f ca="1">ROUND(T_EMPLOYEES[[#This Row],[EMP_CTC1]]/12, 0)</f>
        <v>100000</v>
      </c>
      <c r="U554" s="1">
        <v>1000000</v>
      </c>
      <c r="V554" s="1" t="s">
        <v>207</v>
      </c>
      <c r="W554" s="1" t="s">
        <v>207</v>
      </c>
      <c r="X55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Yanamadala Likhitha Sree (1029868)</v>
      </c>
      <c r="Y554">
        <v>120000</v>
      </c>
      <c r="Z554" s="29">
        <f t="shared" ca="1" si="9"/>
        <v>16.666666666666664</v>
      </c>
      <c r="AA554">
        <f ca="1">IF(T_EMPLOYEES[[#This Row],[EMPLOYEE NUMBER]]="","",ROW(T_EMPLOYEES[[#This Row],[EMPLOYEE LABEL]])-ROW(T_EMPLOYEES[[#Headers],[EMPLOYEE LABEL]]))</f>
        <v>551</v>
      </c>
      <c r="AB554">
        <f ca="1">IF(T_EMPLOYEES[[#This Row],[EMPLOYEE NUMBER]]="","",IF(COUNTIF(T_EMPLOYEES[EMPLOYEE NUMBER],T_EMPLOYEES[[#This Row],[EMPLOYEE NUMBER]])&gt;1,1,0))</f>
        <v>0</v>
      </c>
      <c r="AC554">
        <f ca="1">IF(T_EMPLOYEES[[#This Row],[EMPLOYEE NUMBER]]="","",IF(AND(T_EMPLOYEES[[#This Row],[DATE OF BIRTH]]&gt;0,T_EMPLOYEES[[#This Row],[DATE OF BIRTH]]&lt;TODAY()),0,1))</f>
        <v>0</v>
      </c>
      <c r="AD554">
        <f ca="1">IF(T_EMPLOYEES[[#This Row],[EMPLOYEE NUMBER]]="","",IF(AND(T_EMPLOYEES[[#This Row],[START DATE]]&gt;0,T_EMPLOYEES[[#This Row],[START DATE]]&lt;TODAY()+60),0,1))</f>
        <v>0</v>
      </c>
      <c r="AE554">
        <f ca="1">IF(T_EMPLOYEES[[#This Row],[EMPLOYEE NUMBER]]="","",MATCH(T_EMPLOYEES[[#This Row],[GENDER]],L_GENDER,0))</f>
        <v>2</v>
      </c>
      <c r="AF554">
        <f ca="1">IF(T_EMPLOYEES[[#This Row],[EMPLOYEE NUMBER]]="","",MATCH(T_EMPLOYEES[[#This Row],[HIRE SOURCE]],L_HIRESOURCE,0))</f>
        <v>4</v>
      </c>
      <c r="AG554">
        <f ca="1">IF(T_EMPLOYEES[[#This Row],[EMPLOYEE NUMBER]]="","",MATCH(T_EMPLOYEES[[#This Row],[ETHNICITY]],L_ETHNICITY,0))</f>
        <v>3</v>
      </c>
      <c r="AH554">
        <f ca="1">IF(T_EMPLOYEES[[#This Row],[EMPLOYEE NUMBER]]="","",MATCH(T_EMPLOYEES[[#This Row],[LOCATION]],L_LOCATION,0))</f>
        <v>1</v>
      </c>
      <c r="AI554">
        <f ca="1">IF(T_EMPLOYEES[[#This Row],[EMPLOYEE NUMBER]]="","",MATCH(T_EMPLOYEES[[#This Row],[DEPARTMENT]],L_DEPARTMENT,0))</f>
        <v>11</v>
      </c>
      <c r="AJ554">
        <f ca="1">IF(T_EMPLOYEES[[#This Row],[EMPLOYEE NUMBER]]="","",MATCH(T_EMPLOYEES[[#This Row],[JOB TYPE]],L_JOBTYPE,0))</f>
        <v>2</v>
      </c>
      <c r="AK554">
        <f ca="1">IF(T_EMPLOYEES[[#This Row],[EMPLOYEE NUMBER]]="","",MATCH(T_EMPLOYEES[[#This Row],[JOB CATEGORY]],L_JOBCATEGORY,0))</f>
        <v>30</v>
      </c>
      <c r="AL554">
        <f ca="1">IF(T_EMPLOYEES[[#This Row],[EMPLOYEE NUMBER]]="","",MATCH(T_EMPLOYEES[[#This Row],[JOB LEVEL]],L_JOBLEVEL,0))</f>
        <v>1</v>
      </c>
      <c r="AM554">
        <f ca="1">IF(T_EMPLOYEES[[#This Row],[EMPLOYEE NUMBER]]="","",MATCH(T_EMPLOYEES[[#This Row],[JOB TITLE]],L_JOBTITLE,0))</f>
        <v>30</v>
      </c>
      <c r="AN554">
        <f ca="1">IF(T_EMPLOYEES[[#This Row],[EMPLOYEE NUMBER]]="","",MATCH(T_EMPLOYEES[[#This Row],[MANAGER]],L_EMPLABELS,0))</f>
        <v>56</v>
      </c>
      <c r="AO554">
        <f ca="1">IF(T_EMPLOYEES[[#This Row],[EMPLOYEE NUMBER]]="","",IF(T_EMPLOYEES[[#This Row],[ERROR]]="",0,1))</f>
        <v>0</v>
      </c>
      <c r="AP55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5" spans="1:42">
      <c r="A555" t="s">
        <v>1733</v>
      </c>
      <c r="B555" t="s">
        <v>1734</v>
      </c>
      <c r="C555">
        <v>1033263</v>
      </c>
      <c r="D555" t="s">
        <v>1735</v>
      </c>
      <c r="E555" s="26">
        <v>37130</v>
      </c>
      <c r="F555" s="26">
        <v>45155</v>
      </c>
      <c r="H555" t="s">
        <v>27</v>
      </c>
      <c r="I555" t="s">
        <v>54</v>
      </c>
      <c r="J555" t="s">
        <v>64</v>
      </c>
      <c r="K555" t="s">
        <v>30</v>
      </c>
      <c r="L555" s="27" t="s">
        <v>114</v>
      </c>
      <c r="M555" t="s">
        <v>46</v>
      </c>
      <c r="N555" t="s">
        <v>151</v>
      </c>
      <c r="O555" t="s">
        <v>36</v>
      </c>
      <c r="P555" t="s">
        <v>151</v>
      </c>
      <c r="Q555" t="s">
        <v>505</v>
      </c>
      <c r="R555">
        <v>0</v>
      </c>
      <c r="S555" s="1">
        <v>1200000</v>
      </c>
      <c r="T555" s="1">
        <f ca="1">ROUND(T_EMPLOYEES[[#This Row],[EMP_CTC1]]/12, 0)</f>
        <v>100000</v>
      </c>
      <c r="U555" s="1">
        <v>1000000</v>
      </c>
      <c r="V555" s="1" t="s">
        <v>207</v>
      </c>
      <c r="W555" s="1" t="s">
        <v>207</v>
      </c>
      <c r="X55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Vemula Sanjay Kumar (1033263)</v>
      </c>
      <c r="Y555">
        <v>120000</v>
      </c>
      <c r="Z555" s="29">
        <f t="shared" ca="1" si="9"/>
        <v>16.666666666666664</v>
      </c>
      <c r="AA555">
        <f ca="1">IF(T_EMPLOYEES[[#This Row],[EMPLOYEE NUMBER]]="","",ROW(T_EMPLOYEES[[#This Row],[EMPLOYEE LABEL]])-ROW(T_EMPLOYEES[[#Headers],[EMPLOYEE LABEL]]))</f>
        <v>552</v>
      </c>
      <c r="AB555">
        <f ca="1">IF(T_EMPLOYEES[[#This Row],[EMPLOYEE NUMBER]]="","",IF(COUNTIF(T_EMPLOYEES[EMPLOYEE NUMBER],T_EMPLOYEES[[#This Row],[EMPLOYEE NUMBER]])&gt;1,1,0))</f>
        <v>0</v>
      </c>
      <c r="AC555">
        <f ca="1">IF(T_EMPLOYEES[[#This Row],[EMPLOYEE NUMBER]]="","",IF(AND(T_EMPLOYEES[[#This Row],[DATE OF BIRTH]]&gt;0,T_EMPLOYEES[[#This Row],[DATE OF BIRTH]]&lt;TODAY()),0,1))</f>
        <v>0</v>
      </c>
      <c r="AD555">
        <f ca="1">IF(T_EMPLOYEES[[#This Row],[EMPLOYEE NUMBER]]="","",IF(AND(T_EMPLOYEES[[#This Row],[START DATE]]&gt;0,T_EMPLOYEES[[#This Row],[START DATE]]&lt;TODAY()+60),0,1))</f>
        <v>0</v>
      </c>
      <c r="AE555">
        <f ca="1">IF(T_EMPLOYEES[[#This Row],[EMPLOYEE NUMBER]]="","",MATCH(T_EMPLOYEES[[#This Row],[GENDER]],L_GENDER,0))</f>
        <v>1</v>
      </c>
      <c r="AF555">
        <f ca="1">IF(T_EMPLOYEES[[#This Row],[EMPLOYEE NUMBER]]="","",MATCH(T_EMPLOYEES[[#This Row],[HIRE SOURCE]],L_HIRESOURCE,0))</f>
        <v>4</v>
      </c>
      <c r="AG555">
        <f ca="1">IF(T_EMPLOYEES[[#This Row],[EMPLOYEE NUMBER]]="","",MATCH(T_EMPLOYEES[[#This Row],[ETHNICITY]],L_ETHNICITY,0))</f>
        <v>3</v>
      </c>
      <c r="AH555">
        <f ca="1">IF(T_EMPLOYEES[[#This Row],[EMPLOYEE NUMBER]]="","",MATCH(T_EMPLOYEES[[#This Row],[LOCATION]],L_LOCATION,0))</f>
        <v>1</v>
      </c>
      <c r="AI555">
        <f ca="1">IF(T_EMPLOYEES[[#This Row],[EMPLOYEE NUMBER]]="","",MATCH(T_EMPLOYEES[[#This Row],[DEPARTMENT]],L_DEPARTMENT,0))</f>
        <v>11</v>
      </c>
      <c r="AJ555">
        <f ca="1">IF(T_EMPLOYEES[[#This Row],[EMPLOYEE NUMBER]]="","",MATCH(T_EMPLOYEES[[#This Row],[JOB TYPE]],L_JOBTYPE,0))</f>
        <v>2</v>
      </c>
      <c r="AK555">
        <f ca="1">IF(T_EMPLOYEES[[#This Row],[EMPLOYEE NUMBER]]="","",MATCH(T_EMPLOYEES[[#This Row],[JOB CATEGORY]],L_JOBCATEGORY,0))</f>
        <v>30</v>
      </c>
      <c r="AL555">
        <f ca="1">IF(T_EMPLOYEES[[#This Row],[EMPLOYEE NUMBER]]="","",MATCH(T_EMPLOYEES[[#This Row],[JOB LEVEL]],L_JOBLEVEL,0))</f>
        <v>1</v>
      </c>
      <c r="AM555">
        <f ca="1">IF(T_EMPLOYEES[[#This Row],[EMPLOYEE NUMBER]]="","",MATCH(T_EMPLOYEES[[#This Row],[JOB TITLE]],L_JOBTITLE,0))</f>
        <v>30</v>
      </c>
      <c r="AN555">
        <f ca="1">IF(T_EMPLOYEES[[#This Row],[EMPLOYEE NUMBER]]="","",MATCH(T_EMPLOYEES[[#This Row],[MANAGER]],L_EMPLABELS,0))</f>
        <v>57</v>
      </c>
      <c r="AO555">
        <f ca="1">IF(T_EMPLOYEES[[#This Row],[EMPLOYEE NUMBER]]="","",IF(T_EMPLOYEES[[#This Row],[ERROR]]="",0,1))</f>
        <v>0</v>
      </c>
      <c r="AP55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6" spans="1:42">
      <c r="A556" t="s">
        <v>1736</v>
      </c>
      <c r="B556" t="s">
        <v>1404</v>
      </c>
      <c r="C556">
        <v>1033225</v>
      </c>
      <c r="D556" t="s">
        <v>1737</v>
      </c>
      <c r="E556" s="26">
        <v>37142</v>
      </c>
      <c r="F556" s="26">
        <v>45155</v>
      </c>
      <c r="H556" t="s">
        <v>40</v>
      </c>
      <c r="I556" t="s">
        <v>54</v>
      </c>
      <c r="J556" t="s">
        <v>64</v>
      </c>
      <c r="K556" t="s">
        <v>30</v>
      </c>
      <c r="L556" s="27" t="s">
        <v>114</v>
      </c>
      <c r="M556" t="s">
        <v>46</v>
      </c>
      <c r="N556" t="s">
        <v>151</v>
      </c>
      <c r="O556" t="s">
        <v>36</v>
      </c>
      <c r="P556" t="s">
        <v>151</v>
      </c>
      <c r="Q556" t="s">
        <v>468</v>
      </c>
      <c r="R556" s="27">
        <v>0</v>
      </c>
      <c r="S556" s="1">
        <v>1200000</v>
      </c>
      <c r="T556" s="1">
        <f ca="1">ROUND(T_EMPLOYEES[[#This Row],[EMP_CTC1]]/12, 0)</f>
        <v>100000</v>
      </c>
      <c r="U556" s="1">
        <v>1000000</v>
      </c>
      <c r="V556" s="1" t="s">
        <v>207</v>
      </c>
      <c r="W556" s="1" t="s">
        <v>207</v>
      </c>
      <c r="X55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Sonali Sahu (1033225)</v>
      </c>
      <c r="Y556">
        <v>120000</v>
      </c>
      <c r="Z556" s="29">
        <f t="shared" ca="1" si="9"/>
        <v>16.666666666666664</v>
      </c>
      <c r="AA556">
        <f ca="1">IF(T_EMPLOYEES[[#This Row],[EMPLOYEE NUMBER]]="","",ROW(T_EMPLOYEES[[#This Row],[EMPLOYEE LABEL]])-ROW(T_EMPLOYEES[[#Headers],[EMPLOYEE LABEL]]))</f>
        <v>553</v>
      </c>
      <c r="AB556">
        <f ca="1">IF(T_EMPLOYEES[[#This Row],[EMPLOYEE NUMBER]]="","",IF(COUNTIF(T_EMPLOYEES[EMPLOYEE NUMBER],T_EMPLOYEES[[#This Row],[EMPLOYEE NUMBER]])&gt;1,1,0))</f>
        <v>0</v>
      </c>
      <c r="AC556">
        <f ca="1">IF(T_EMPLOYEES[[#This Row],[EMPLOYEE NUMBER]]="","",IF(AND(T_EMPLOYEES[[#This Row],[DATE OF BIRTH]]&gt;0,T_EMPLOYEES[[#This Row],[DATE OF BIRTH]]&lt;TODAY()),0,1))</f>
        <v>0</v>
      </c>
      <c r="AD556">
        <f ca="1">IF(T_EMPLOYEES[[#This Row],[EMPLOYEE NUMBER]]="","",IF(AND(T_EMPLOYEES[[#This Row],[START DATE]]&gt;0,T_EMPLOYEES[[#This Row],[START DATE]]&lt;TODAY()+60),0,1))</f>
        <v>0</v>
      </c>
      <c r="AE556">
        <f ca="1">IF(T_EMPLOYEES[[#This Row],[EMPLOYEE NUMBER]]="","",MATCH(T_EMPLOYEES[[#This Row],[GENDER]],L_GENDER,0))</f>
        <v>2</v>
      </c>
      <c r="AF556">
        <f ca="1">IF(T_EMPLOYEES[[#This Row],[EMPLOYEE NUMBER]]="","",MATCH(T_EMPLOYEES[[#This Row],[HIRE SOURCE]],L_HIRESOURCE,0))</f>
        <v>4</v>
      </c>
      <c r="AG556">
        <f ca="1">IF(T_EMPLOYEES[[#This Row],[EMPLOYEE NUMBER]]="","",MATCH(T_EMPLOYEES[[#This Row],[ETHNICITY]],L_ETHNICITY,0))</f>
        <v>3</v>
      </c>
      <c r="AH556">
        <f ca="1">IF(T_EMPLOYEES[[#This Row],[EMPLOYEE NUMBER]]="","",MATCH(T_EMPLOYEES[[#This Row],[LOCATION]],L_LOCATION,0))</f>
        <v>1</v>
      </c>
      <c r="AI556">
        <f ca="1">IF(T_EMPLOYEES[[#This Row],[EMPLOYEE NUMBER]]="","",MATCH(T_EMPLOYEES[[#This Row],[DEPARTMENT]],L_DEPARTMENT,0))</f>
        <v>11</v>
      </c>
      <c r="AJ556">
        <f ca="1">IF(T_EMPLOYEES[[#This Row],[EMPLOYEE NUMBER]]="","",MATCH(T_EMPLOYEES[[#This Row],[JOB TYPE]],L_JOBTYPE,0))</f>
        <v>2</v>
      </c>
      <c r="AK556">
        <f ca="1">IF(T_EMPLOYEES[[#This Row],[EMPLOYEE NUMBER]]="","",MATCH(T_EMPLOYEES[[#This Row],[JOB CATEGORY]],L_JOBCATEGORY,0))</f>
        <v>30</v>
      </c>
      <c r="AL556">
        <f ca="1">IF(T_EMPLOYEES[[#This Row],[EMPLOYEE NUMBER]]="","",MATCH(T_EMPLOYEES[[#This Row],[JOB LEVEL]],L_JOBLEVEL,0))</f>
        <v>1</v>
      </c>
      <c r="AM556">
        <f ca="1">IF(T_EMPLOYEES[[#This Row],[EMPLOYEE NUMBER]]="","",MATCH(T_EMPLOYEES[[#This Row],[JOB TITLE]],L_JOBTITLE,0))</f>
        <v>30</v>
      </c>
      <c r="AN556">
        <f ca="1">IF(T_EMPLOYEES[[#This Row],[EMPLOYEE NUMBER]]="","",MATCH(T_EMPLOYEES[[#This Row],[MANAGER]],L_EMPLABELS,0))</f>
        <v>56</v>
      </c>
      <c r="AO556">
        <f ca="1">IF(T_EMPLOYEES[[#This Row],[EMPLOYEE NUMBER]]="","",IF(T_EMPLOYEES[[#This Row],[ERROR]]="",0,1))</f>
        <v>0</v>
      </c>
      <c r="AP55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7" spans="1:42">
      <c r="A557" t="s">
        <v>1738</v>
      </c>
      <c r="B557" t="s">
        <v>1739</v>
      </c>
      <c r="C557">
        <v>1033249</v>
      </c>
      <c r="D557" t="s">
        <v>1740</v>
      </c>
      <c r="E557" s="26">
        <v>37147</v>
      </c>
      <c r="F557" s="26">
        <v>45155</v>
      </c>
      <c r="H557" t="s">
        <v>27</v>
      </c>
      <c r="I557" t="s">
        <v>54</v>
      </c>
      <c r="J557" t="s">
        <v>64</v>
      </c>
      <c r="K557" t="s">
        <v>30</v>
      </c>
      <c r="L557" s="27" t="s">
        <v>114</v>
      </c>
      <c r="M557" t="s">
        <v>46</v>
      </c>
      <c r="N557" t="s">
        <v>151</v>
      </c>
      <c r="O557" t="s">
        <v>36</v>
      </c>
      <c r="P557" t="s">
        <v>151</v>
      </c>
      <c r="Q557" t="s">
        <v>206</v>
      </c>
      <c r="R557">
        <v>0</v>
      </c>
      <c r="S557" s="1">
        <v>1200000</v>
      </c>
      <c r="T557" s="1">
        <f ca="1">ROUND(T_EMPLOYEES[[#This Row],[EMP_CTC1]]/12, 0)</f>
        <v>100000</v>
      </c>
      <c r="U557" s="1">
        <v>1000000</v>
      </c>
      <c r="V557" s="1" t="s">
        <v>207</v>
      </c>
      <c r="W557" s="1" t="s">
        <v>207</v>
      </c>
      <c r="X55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Jadala Naveen Kumar (1033249)</v>
      </c>
      <c r="Y557">
        <v>120000</v>
      </c>
      <c r="Z557" s="29">
        <f t="shared" ca="1" si="9"/>
        <v>16.666666666666664</v>
      </c>
      <c r="AA557">
        <f ca="1">IF(T_EMPLOYEES[[#This Row],[EMPLOYEE NUMBER]]="","",ROW(T_EMPLOYEES[[#This Row],[EMPLOYEE LABEL]])-ROW(T_EMPLOYEES[[#Headers],[EMPLOYEE LABEL]]))</f>
        <v>554</v>
      </c>
      <c r="AB557">
        <f ca="1">IF(T_EMPLOYEES[[#This Row],[EMPLOYEE NUMBER]]="","",IF(COUNTIF(T_EMPLOYEES[EMPLOYEE NUMBER],T_EMPLOYEES[[#This Row],[EMPLOYEE NUMBER]])&gt;1,1,0))</f>
        <v>0</v>
      </c>
      <c r="AC557">
        <f ca="1">IF(T_EMPLOYEES[[#This Row],[EMPLOYEE NUMBER]]="","",IF(AND(T_EMPLOYEES[[#This Row],[DATE OF BIRTH]]&gt;0,T_EMPLOYEES[[#This Row],[DATE OF BIRTH]]&lt;TODAY()),0,1))</f>
        <v>0</v>
      </c>
      <c r="AD557">
        <f ca="1">IF(T_EMPLOYEES[[#This Row],[EMPLOYEE NUMBER]]="","",IF(AND(T_EMPLOYEES[[#This Row],[START DATE]]&gt;0,T_EMPLOYEES[[#This Row],[START DATE]]&lt;TODAY()+60),0,1))</f>
        <v>0</v>
      </c>
      <c r="AE557">
        <f ca="1">IF(T_EMPLOYEES[[#This Row],[EMPLOYEE NUMBER]]="","",MATCH(T_EMPLOYEES[[#This Row],[GENDER]],L_GENDER,0))</f>
        <v>1</v>
      </c>
      <c r="AF557">
        <f ca="1">IF(T_EMPLOYEES[[#This Row],[EMPLOYEE NUMBER]]="","",MATCH(T_EMPLOYEES[[#This Row],[HIRE SOURCE]],L_HIRESOURCE,0))</f>
        <v>4</v>
      </c>
      <c r="AG557">
        <f ca="1">IF(T_EMPLOYEES[[#This Row],[EMPLOYEE NUMBER]]="","",MATCH(T_EMPLOYEES[[#This Row],[ETHNICITY]],L_ETHNICITY,0))</f>
        <v>3</v>
      </c>
      <c r="AH557">
        <f ca="1">IF(T_EMPLOYEES[[#This Row],[EMPLOYEE NUMBER]]="","",MATCH(T_EMPLOYEES[[#This Row],[LOCATION]],L_LOCATION,0))</f>
        <v>1</v>
      </c>
      <c r="AI557">
        <f ca="1">IF(T_EMPLOYEES[[#This Row],[EMPLOYEE NUMBER]]="","",MATCH(T_EMPLOYEES[[#This Row],[DEPARTMENT]],L_DEPARTMENT,0))</f>
        <v>11</v>
      </c>
      <c r="AJ557">
        <f ca="1">IF(T_EMPLOYEES[[#This Row],[EMPLOYEE NUMBER]]="","",MATCH(T_EMPLOYEES[[#This Row],[JOB TYPE]],L_JOBTYPE,0))</f>
        <v>2</v>
      </c>
      <c r="AK557">
        <f ca="1">IF(T_EMPLOYEES[[#This Row],[EMPLOYEE NUMBER]]="","",MATCH(T_EMPLOYEES[[#This Row],[JOB CATEGORY]],L_JOBCATEGORY,0))</f>
        <v>30</v>
      </c>
      <c r="AL557">
        <f ca="1">IF(T_EMPLOYEES[[#This Row],[EMPLOYEE NUMBER]]="","",MATCH(T_EMPLOYEES[[#This Row],[JOB LEVEL]],L_JOBLEVEL,0))</f>
        <v>1</v>
      </c>
      <c r="AM557">
        <f ca="1">IF(T_EMPLOYEES[[#This Row],[EMPLOYEE NUMBER]]="","",MATCH(T_EMPLOYEES[[#This Row],[JOB TITLE]],L_JOBTITLE,0))</f>
        <v>30</v>
      </c>
      <c r="AN557">
        <f ca="1">IF(T_EMPLOYEES[[#This Row],[EMPLOYEE NUMBER]]="","",MATCH(T_EMPLOYEES[[#This Row],[MANAGER]],L_EMPLABELS,0))</f>
        <v>6</v>
      </c>
      <c r="AO557">
        <f ca="1">IF(T_EMPLOYEES[[#This Row],[EMPLOYEE NUMBER]]="","",IF(T_EMPLOYEES[[#This Row],[ERROR]]="",0,1))</f>
        <v>0</v>
      </c>
      <c r="AP55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8" spans="1:42">
      <c r="A558" t="s">
        <v>1741</v>
      </c>
      <c r="B558" t="s">
        <v>1742</v>
      </c>
      <c r="C558">
        <v>1033209</v>
      </c>
      <c r="D558" t="s">
        <v>1743</v>
      </c>
      <c r="E558" s="26">
        <v>37155</v>
      </c>
      <c r="F558" s="26">
        <v>45155</v>
      </c>
      <c r="H558" t="s">
        <v>40</v>
      </c>
      <c r="I558" t="s">
        <v>54</v>
      </c>
      <c r="J558" t="s">
        <v>64</v>
      </c>
      <c r="K558" t="s">
        <v>30</v>
      </c>
      <c r="L558" s="27" t="s">
        <v>114</v>
      </c>
      <c r="M558" t="s">
        <v>46</v>
      </c>
      <c r="N558" t="s">
        <v>151</v>
      </c>
      <c r="O558" t="s">
        <v>36</v>
      </c>
      <c r="P558" t="s">
        <v>151</v>
      </c>
      <c r="Q558" t="s">
        <v>206</v>
      </c>
      <c r="R558" s="27">
        <v>0</v>
      </c>
      <c r="S558" s="1">
        <v>1200000</v>
      </c>
      <c r="T558" s="1">
        <f ca="1">ROUND(T_EMPLOYEES[[#This Row],[EMP_CTC1]]/12, 0)</f>
        <v>100000</v>
      </c>
      <c r="U558" s="1">
        <v>1000000</v>
      </c>
      <c r="V558" s="1" t="s">
        <v>207</v>
      </c>
      <c r="W558" s="1" t="s">
        <v>207</v>
      </c>
      <c r="X55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Khafia Ayyub (1033209)</v>
      </c>
      <c r="Y558">
        <v>120000</v>
      </c>
      <c r="Z558" s="29">
        <f t="shared" ca="1" si="9"/>
        <v>16.666666666666664</v>
      </c>
      <c r="AA558">
        <f ca="1">IF(T_EMPLOYEES[[#This Row],[EMPLOYEE NUMBER]]="","",ROW(T_EMPLOYEES[[#This Row],[EMPLOYEE LABEL]])-ROW(T_EMPLOYEES[[#Headers],[EMPLOYEE LABEL]]))</f>
        <v>555</v>
      </c>
      <c r="AB558">
        <f ca="1">IF(T_EMPLOYEES[[#This Row],[EMPLOYEE NUMBER]]="","",IF(COUNTIF(T_EMPLOYEES[EMPLOYEE NUMBER],T_EMPLOYEES[[#This Row],[EMPLOYEE NUMBER]])&gt;1,1,0))</f>
        <v>0</v>
      </c>
      <c r="AC558">
        <f ca="1">IF(T_EMPLOYEES[[#This Row],[EMPLOYEE NUMBER]]="","",IF(AND(T_EMPLOYEES[[#This Row],[DATE OF BIRTH]]&gt;0,T_EMPLOYEES[[#This Row],[DATE OF BIRTH]]&lt;TODAY()),0,1))</f>
        <v>0</v>
      </c>
      <c r="AD558">
        <f ca="1">IF(T_EMPLOYEES[[#This Row],[EMPLOYEE NUMBER]]="","",IF(AND(T_EMPLOYEES[[#This Row],[START DATE]]&gt;0,T_EMPLOYEES[[#This Row],[START DATE]]&lt;TODAY()+60),0,1))</f>
        <v>0</v>
      </c>
      <c r="AE558">
        <f ca="1">IF(T_EMPLOYEES[[#This Row],[EMPLOYEE NUMBER]]="","",MATCH(T_EMPLOYEES[[#This Row],[GENDER]],L_GENDER,0))</f>
        <v>2</v>
      </c>
      <c r="AF558">
        <f ca="1">IF(T_EMPLOYEES[[#This Row],[EMPLOYEE NUMBER]]="","",MATCH(T_EMPLOYEES[[#This Row],[HIRE SOURCE]],L_HIRESOURCE,0))</f>
        <v>4</v>
      </c>
      <c r="AG558">
        <f ca="1">IF(T_EMPLOYEES[[#This Row],[EMPLOYEE NUMBER]]="","",MATCH(T_EMPLOYEES[[#This Row],[ETHNICITY]],L_ETHNICITY,0))</f>
        <v>3</v>
      </c>
      <c r="AH558">
        <f ca="1">IF(T_EMPLOYEES[[#This Row],[EMPLOYEE NUMBER]]="","",MATCH(T_EMPLOYEES[[#This Row],[LOCATION]],L_LOCATION,0))</f>
        <v>1</v>
      </c>
      <c r="AI558">
        <f ca="1">IF(T_EMPLOYEES[[#This Row],[EMPLOYEE NUMBER]]="","",MATCH(T_EMPLOYEES[[#This Row],[DEPARTMENT]],L_DEPARTMENT,0))</f>
        <v>11</v>
      </c>
      <c r="AJ558">
        <f ca="1">IF(T_EMPLOYEES[[#This Row],[EMPLOYEE NUMBER]]="","",MATCH(T_EMPLOYEES[[#This Row],[JOB TYPE]],L_JOBTYPE,0))</f>
        <v>2</v>
      </c>
      <c r="AK558">
        <f ca="1">IF(T_EMPLOYEES[[#This Row],[EMPLOYEE NUMBER]]="","",MATCH(T_EMPLOYEES[[#This Row],[JOB CATEGORY]],L_JOBCATEGORY,0))</f>
        <v>30</v>
      </c>
      <c r="AL558">
        <f ca="1">IF(T_EMPLOYEES[[#This Row],[EMPLOYEE NUMBER]]="","",MATCH(T_EMPLOYEES[[#This Row],[JOB LEVEL]],L_JOBLEVEL,0))</f>
        <v>1</v>
      </c>
      <c r="AM558">
        <f ca="1">IF(T_EMPLOYEES[[#This Row],[EMPLOYEE NUMBER]]="","",MATCH(T_EMPLOYEES[[#This Row],[JOB TITLE]],L_JOBTITLE,0))</f>
        <v>30</v>
      </c>
      <c r="AN558">
        <f ca="1">IF(T_EMPLOYEES[[#This Row],[EMPLOYEE NUMBER]]="","",MATCH(T_EMPLOYEES[[#This Row],[MANAGER]],L_EMPLABELS,0))</f>
        <v>6</v>
      </c>
      <c r="AO558">
        <f ca="1">IF(T_EMPLOYEES[[#This Row],[EMPLOYEE NUMBER]]="","",IF(T_EMPLOYEES[[#This Row],[ERROR]]="",0,1))</f>
        <v>0</v>
      </c>
      <c r="AP55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9" spans="1:42">
      <c r="A559" t="s">
        <v>1744</v>
      </c>
      <c r="B559" t="s">
        <v>1128</v>
      </c>
      <c r="C559">
        <v>1029906</v>
      </c>
      <c r="D559" t="s">
        <v>1745</v>
      </c>
      <c r="E559" s="26">
        <v>37161</v>
      </c>
      <c r="F559" s="26">
        <v>44791</v>
      </c>
      <c r="H559" t="s">
        <v>27</v>
      </c>
      <c r="I559" t="s">
        <v>54</v>
      </c>
      <c r="J559" t="s">
        <v>64</v>
      </c>
      <c r="K559" t="s">
        <v>30</v>
      </c>
      <c r="L559" s="27" t="s">
        <v>114</v>
      </c>
      <c r="M559" t="s">
        <v>46</v>
      </c>
      <c r="N559" t="s">
        <v>151</v>
      </c>
      <c r="O559" t="s">
        <v>36</v>
      </c>
      <c r="P559" t="s">
        <v>151</v>
      </c>
      <c r="Q559" t="s">
        <v>206</v>
      </c>
      <c r="R559">
        <v>0</v>
      </c>
      <c r="S559" s="1">
        <v>1200000</v>
      </c>
      <c r="T559" s="1">
        <f ca="1">ROUND(T_EMPLOYEES[[#This Row],[EMP_CTC1]]/12, 0)</f>
        <v>100000</v>
      </c>
      <c r="U559" s="1">
        <v>1000000</v>
      </c>
      <c r="V559" s="1" t="s">
        <v>207</v>
      </c>
      <c r="W559" s="1" t="s">
        <v>207</v>
      </c>
      <c r="X55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Javed Khan (1029906)</v>
      </c>
      <c r="Y559">
        <v>120000</v>
      </c>
      <c r="Z559" s="29">
        <f t="shared" ca="1" si="9"/>
        <v>16.666666666666664</v>
      </c>
      <c r="AA559">
        <f ca="1">IF(T_EMPLOYEES[[#This Row],[EMPLOYEE NUMBER]]="","",ROW(T_EMPLOYEES[[#This Row],[EMPLOYEE LABEL]])-ROW(T_EMPLOYEES[[#Headers],[EMPLOYEE LABEL]]))</f>
        <v>556</v>
      </c>
      <c r="AB559">
        <f ca="1">IF(T_EMPLOYEES[[#This Row],[EMPLOYEE NUMBER]]="","",IF(COUNTIF(T_EMPLOYEES[EMPLOYEE NUMBER],T_EMPLOYEES[[#This Row],[EMPLOYEE NUMBER]])&gt;1,1,0))</f>
        <v>0</v>
      </c>
      <c r="AC559">
        <f ca="1">IF(T_EMPLOYEES[[#This Row],[EMPLOYEE NUMBER]]="","",IF(AND(T_EMPLOYEES[[#This Row],[DATE OF BIRTH]]&gt;0,T_EMPLOYEES[[#This Row],[DATE OF BIRTH]]&lt;TODAY()),0,1))</f>
        <v>0</v>
      </c>
      <c r="AD559">
        <f ca="1">IF(T_EMPLOYEES[[#This Row],[EMPLOYEE NUMBER]]="","",IF(AND(T_EMPLOYEES[[#This Row],[START DATE]]&gt;0,T_EMPLOYEES[[#This Row],[START DATE]]&lt;TODAY()+60),0,1))</f>
        <v>0</v>
      </c>
      <c r="AE559">
        <f ca="1">IF(T_EMPLOYEES[[#This Row],[EMPLOYEE NUMBER]]="","",MATCH(T_EMPLOYEES[[#This Row],[GENDER]],L_GENDER,0))</f>
        <v>1</v>
      </c>
      <c r="AF559">
        <f ca="1">IF(T_EMPLOYEES[[#This Row],[EMPLOYEE NUMBER]]="","",MATCH(T_EMPLOYEES[[#This Row],[HIRE SOURCE]],L_HIRESOURCE,0))</f>
        <v>4</v>
      </c>
      <c r="AG559">
        <f ca="1">IF(T_EMPLOYEES[[#This Row],[EMPLOYEE NUMBER]]="","",MATCH(T_EMPLOYEES[[#This Row],[ETHNICITY]],L_ETHNICITY,0))</f>
        <v>3</v>
      </c>
      <c r="AH559">
        <f ca="1">IF(T_EMPLOYEES[[#This Row],[EMPLOYEE NUMBER]]="","",MATCH(T_EMPLOYEES[[#This Row],[LOCATION]],L_LOCATION,0))</f>
        <v>1</v>
      </c>
      <c r="AI559">
        <f ca="1">IF(T_EMPLOYEES[[#This Row],[EMPLOYEE NUMBER]]="","",MATCH(T_EMPLOYEES[[#This Row],[DEPARTMENT]],L_DEPARTMENT,0))</f>
        <v>11</v>
      </c>
      <c r="AJ559">
        <f ca="1">IF(T_EMPLOYEES[[#This Row],[EMPLOYEE NUMBER]]="","",MATCH(T_EMPLOYEES[[#This Row],[JOB TYPE]],L_JOBTYPE,0))</f>
        <v>2</v>
      </c>
      <c r="AK559">
        <f ca="1">IF(T_EMPLOYEES[[#This Row],[EMPLOYEE NUMBER]]="","",MATCH(T_EMPLOYEES[[#This Row],[JOB CATEGORY]],L_JOBCATEGORY,0))</f>
        <v>30</v>
      </c>
      <c r="AL559">
        <f ca="1">IF(T_EMPLOYEES[[#This Row],[EMPLOYEE NUMBER]]="","",MATCH(T_EMPLOYEES[[#This Row],[JOB LEVEL]],L_JOBLEVEL,0))</f>
        <v>1</v>
      </c>
      <c r="AM559">
        <f ca="1">IF(T_EMPLOYEES[[#This Row],[EMPLOYEE NUMBER]]="","",MATCH(T_EMPLOYEES[[#This Row],[JOB TITLE]],L_JOBTITLE,0))</f>
        <v>30</v>
      </c>
      <c r="AN559">
        <f ca="1">IF(T_EMPLOYEES[[#This Row],[EMPLOYEE NUMBER]]="","",MATCH(T_EMPLOYEES[[#This Row],[MANAGER]],L_EMPLABELS,0))</f>
        <v>6</v>
      </c>
      <c r="AO559">
        <f ca="1">IF(T_EMPLOYEES[[#This Row],[EMPLOYEE NUMBER]]="","",IF(T_EMPLOYEES[[#This Row],[ERROR]]="",0,1))</f>
        <v>0</v>
      </c>
      <c r="AP55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0" spans="1:42">
      <c r="A560" t="s">
        <v>544</v>
      </c>
      <c r="B560" t="s">
        <v>1746</v>
      </c>
      <c r="C560">
        <v>1033223</v>
      </c>
      <c r="D560" t="s">
        <v>1747</v>
      </c>
      <c r="E560" s="26">
        <v>37176</v>
      </c>
      <c r="F560" s="26">
        <v>45155</v>
      </c>
      <c r="H560" t="s">
        <v>27</v>
      </c>
      <c r="I560" t="s">
        <v>54</v>
      </c>
      <c r="J560" t="s">
        <v>64</v>
      </c>
      <c r="K560" t="s">
        <v>30</v>
      </c>
      <c r="L560" s="27" t="s">
        <v>114</v>
      </c>
      <c r="M560" t="s">
        <v>46</v>
      </c>
      <c r="N560" t="s">
        <v>151</v>
      </c>
      <c r="O560" t="s">
        <v>36</v>
      </c>
      <c r="P560" t="s">
        <v>151</v>
      </c>
      <c r="Q560" t="s">
        <v>505</v>
      </c>
      <c r="R560" s="27">
        <v>0</v>
      </c>
      <c r="S560" s="1">
        <v>1200000</v>
      </c>
      <c r="T560" s="1">
        <f ca="1">ROUND(T_EMPLOYEES[[#This Row],[EMP_CTC1]]/12, 0)</f>
        <v>100000</v>
      </c>
      <c r="U560" s="1">
        <v>1000000</v>
      </c>
      <c r="V560" s="1" t="s">
        <v>207</v>
      </c>
      <c r="W560" s="1" t="s">
        <v>207</v>
      </c>
      <c r="X56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Amit Sai Basantara (1033223)</v>
      </c>
      <c r="Y560">
        <v>120000</v>
      </c>
      <c r="Z560" s="29">
        <f t="shared" ca="1" si="9"/>
        <v>16.666666666666664</v>
      </c>
      <c r="AA560">
        <f ca="1">IF(T_EMPLOYEES[[#This Row],[EMPLOYEE NUMBER]]="","",ROW(T_EMPLOYEES[[#This Row],[EMPLOYEE LABEL]])-ROW(T_EMPLOYEES[[#Headers],[EMPLOYEE LABEL]]))</f>
        <v>557</v>
      </c>
      <c r="AB560">
        <f ca="1">IF(T_EMPLOYEES[[#This Row],[EMPLOYEE NUMBER]]="","",IF(COUNTIF(T_EMPLOYEES[EMPLOYEE NUMBER],T_EMPLOYEES[[#This Row],[EMPLOYEE NUMBER]])&gt;1,1,0))</f>
        <v>0</v>
      </c>
      <c r="AC560">
        <f ca="1">IF(T_EMPLOYEES[[#This Row],[EMPLOYEE NUMBER]]="","",IF(AND(T_EMPLOYEES[[#This Row],[DATE OF BIRTH]]&gt;0,T_EMPLOYEES[[#This Row],[DATE OF BIRTH]]&lt;TODAY()),0,1))</f>
        <v>0</v>
      </c>
      <c r="AD560">
        <f ca="1">IF(T_EMPLOYEES[[#This Row],[EMPLOYEE NUMBER]]="","",IF(AND(T_EMPLOYEES[[#This Row],[START DATE]]&gt;0,T_EMPLOYEES[[#This Row],[START DATE]]&lt;TODAY()+60),0,1))</f>
        <v>0</v>
      </c>
      <c r="AE560">
        <f ca="1">IF(T_EMPLOYEES[[#This Row],[EMPLOYEE NUMBER]]="","",MATCH(T_EMPLOYEES[[#This Row],[GENDER]],L_GENDER,0))</f>
        <v>1</v>
      </c>
      <c r="AF560">
        <f ca="1">IF(T_EMPLOYEES[[#This Row],[EMPLOYEE NUMBER]]="","",MATCH(T_EMPLOYEES[[#This Row],[HIRE SOURCE]],L_HIRESOURCE,0))</f>
        <v>4</v>
      </c>
      <c r="AG560">
        <f ca="1">IF(T_EMPLOYEES[[#This Row],[EMPLOYEE NUMBER]]="","",MATCH(T_EMPLOYEES[[#This Row],[ETHNICITY]],L_ETHNICITY,0))</f>
        <v>3</v>
      </c>
      <c r="AH560">
        <f ca="1">IF(T_EMPLOYEES[[#This Row],[EMPLOYEE NUMBER]]="","",MATCH(T_EMPLOYEES[[#This Row],[LOCATION]],L_LOCATION,0))</f>
        <v>1</v>
      </c>
      <c r="AI560">
        <f ca="1">IF(T_EMPLOYEES[[#This Row],[EMPLOYEE NUMBER]]="","",MATCH(T_EMPLOYEES[[#This Row],[DEPARTMENT]],L_DEPARTMENT,0))</f>
        <v>11</v>
      </c>
      <c r="AJ560">
        <f ca="1">IF(T_EMPLOYEES[[#This Row],[EMPLOYEE NUMBER]]="","",MATCH(T_EMPLOYEES[[#This Row],[JOB TYPE]],L_JOBTYPE,0))</f>
        <v>2</v>
      </c>
      <c r="AK560">
        <f ca="1">IF(T_EMPLOYEES[[#This Row],[EMPLOYEE NUMBER]]="","",MATCH(T_EMPLOYEES[[#This Row],[JOB CATEGORY]],L_JOBCATEGORY,0))</f>
        <v>30</v>
      </c>
      <c r="AL560">
        <f ca="1">IF(T_EMPLOYEES[[#This Row],[EMPLOYEE NUMBER]]="","",MATCH(T_EMPLOYEES[[#This Row],[JOB LEVEL]],L_JOBLEVEL,0))</f>
        <v>1</v>
      </c>
      <c r="AM560">
        <f ca="1">IF(T_EMPLOYEES[[#This Row],[EMPLOYEE NUMBER]]="","",MATCH(T_EMPLOYEES[[#This Row],[JOB TITLE]],L_JOBTITLE,0))</f>
        <v>30</v>
      </c>
      <c r="AN560">
        <f ca="1">IF(T_EMPLOYEES[[#This Row],[EMPLOYEE NUMBER]]="","",MATCH(T_EMPLOYEES[[#This Row],[MANAGER]],L_EMPLABELS,0))</f>
        <v>57</v>
      </c>
      <c r="AO560">
        <f ca="1">IF(T_EMPLOYEES[[#This Row],[EMPLOYEE NUMBER]]="","",IF(T_EMPLOYEES[[#This Row],[ERROR]]="",0,1))</f>
        <v>0</v>
      </c>
      <c r="AP56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1" spans="1:42">
      <c r="A561" t="s">
        <v>1748</v>
      </c>
      <c r="B561" t="s">
        <v>1749</v>
      </c>
      <c r="C561">
        <v>1033264</v>
      </c>
      <c r="D561" t="s">
        <v>1750</v>
      </c>
      <c r="E561" s="26">
        <v>37182</v>
      </c>
      <c r="F561" s="26">
        <v>45155</v>
      </c>
      <c r="H561" t="s">
        <v>40</v>
      </c>
      <c r="I561" t="s">
        <v>54</v>
      </c>
      <c r="J561" t="s">
        <v>64</v>
      </c>
      <c r="K561" t="s">
        <v>30</v>
      </c>
      <c r="L561" s="27" t="s">
        <v>45</v>
      </c>
      <c r="M561" t="s">
        <v>46</v>
      </c>
      <c r="N561" t="s">
        <v>151</v>
      </c>
      <c r="O561" t="s">
        <v>36</v>
      </c>
      <c r="P561" t="s">
        <v>151</v>
      </c>
      <c r="Q561" t="s">
        <v>1522</v>
      </c>
      <c r="R561">
        <v>0</v>
      </c>
      <c r="S561" s="1">
        <v>1200000</v>
      </c>
      <c r="T561" s="1">
        <f ca="1">ROUND(T_EMPLOYEES[[#This Row],[EMP_CTC1]]/12, 0)</f>
        <v>100000</v>
      </c>
      <c r="U561" s="1">
        <v>1000000</v>
      </c>
      <c r="V561" s="1" t="s">
        <v>207</v>
      </c>
      <c r="W561" s="1" t="s">
        <v>207</v>
      </c>
      <c r="X56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Mothi Tejaswini (1033264)</v>
      </c>
      <c r="Y561">
        <v>120000</v>
      </c>
      <c r="Z561" s="29">
        <f t="shared" ca="1" si="9"/>
        <v>16.666666666666664</v>
      </c>
      <c r="AA561">
        <f ca="1">IF(T_EMPLOYEES[[#This Row],[EMPLOYEE NUMBER]]="","",ROW(T_EMPLOYEES[[#This Row],[EMPLOYEE LABEL]])-ROW(T_EMPLOYEES[[#Headers],[EMPLOYEE LABEL]]))</f>
        <v>558</v>
      </c>
      <c r="AB561">
        <f ca="1">IF(T_EMPLOYEES[[#This Row],[EMPLOYEE NUMBER]]="","",IF(COUNTIF(T_EMPLOYEES[EMPLOYEE NUMBER],T_EMPLOYEES[[#This Row],[EMPLOYEE NUMBER]])&gt;1,1,0))</f>
        <v>0</v>
      </c>
      <c r="AC561">
        <f ca="1">IF(T_EMPLOYEES[[#This Row],[EMPLOYEE NUMBER]]="","",IF(AND(T_EMPLOYEES[[#This Row],[DATE OF BIRTH]]&gt;0,T_EMPLOYEES[[#This Row],[DATE OF BIRTH]]&lt;TODAY()),0,1))</f>
        <v>0</v>
      </c>
      <c r="AD561">
        <f ca="1">IF(T_EMPLOYEES[[#This Row],[EMPLOYEE NUMBER]]="","",IF(AND(T_EMPLOYEES[[#This Row],[START DATE]]&gt;0,T_EMPLOYEES[[#This Row],[START DATE]]&lt;TODAY()+60),0,1))</f>
        <v>0</v>
      </c>
      <c r="AE561">
        <f ca="1">IF(T_EMPLOYEES[[#This Row],[EMPLOYEE NUMBER]]="","",MATCH(T_EMPLOYEES[[#This Row],[GENDER]],L_GENDER,0))</f>
        <v>2</v>
      </c>
      <c r="AF561">
        <f ca="1">IF(T_EMPLOYEES[[#This Row],[EMPLOYEE NUMBER]]="","",MATCH(T_EMPLOYEES[[#This Row],[HIRE SOURCE]],L_HIRESOURCE,0))</f>
        <v>4</v>
      </c>
      <c r="AG561">
        <f ca="1">IF(T_EMPLOYEES[[#This Row],[EMPLOYEE NUMBER]]="","",MATCH(T_EMPLOYEES[[#This Row],[ETHNICITY]],L_ETHNICITY,0))</f>
        <v>3</v>
      </c>
      <c r="AH561">
        <f ca="1">IF(T_EMPLOYEES[[#This Row],[EMPLOYEE NUMBER]]="","",MATCH(T_EMPLOYEES[[#This Row],[LOCATION]],L_LOCATION,0))</f>
        <v>1</v>
      </c>
      <c r="AI561">
        <f ca="1">IF(T_EMPLOYEES[[#This Row],[EMPLOYEE NUMBER]]="","",MATCH(T_EMPLOYEES[[#This Row],[DEPARTMENT]],L_DEPARTMENT,0))</f>
        <v>2</v>
      </c>
      <c r="AJ561">
        <f ca="1">IF(T_EMPLOYEES[[#This Row],[EMPLOYEE NUMBER]]="","",MATCH(T_EMPLOYEES[[#This Row],[JOB TYPE]],L_JOBTYPE,0))</f>
        <v>2</v>
      </c>
      <c r="AK561">
        <f ca="1">IF(T_EMPLOYEES[[#This Row],[EMPLOYEE NUMBER]]="","",MATCH(T_EMPLOYEES[[#This Row],[JOB CATEGORY]],L_JOBCATEGORY,0))</f>
        <v>30</v>
      </c>
      <c r="AL561">
        <f ca="1">IF(T_EMPLOYEES[[#This Row],[EMPLOYEE NUMBER]]="","",MATCH(T_EMPLOYEES[[#This Row],[JOB LEVEL]],L_JOBLEVEL,0))</f>
        <v>1</v>
      </c>
      <c r="AM561">
        <f ca="1">IF(T_EMPLOYEES[[#This Row],[EMPLOYEE NUMBER]]="","",MATCH(T_EMPLOYEES[[#This Row],[JOB TITLE]],L_JOBTITLE,0))</f>
        <v>30</v>
      </c>
      <c r="AN561">
        <f ca="1">IF(T_EMPLOYEES[[#This Row],[EMPLOYEE NUMBER]]="","",MATCH(T_EMPLOYEES[[#This Row],[MANAGER]],L_EMPLABELS,0))</f>
        <v>38</v>
      </c>
      <c r="AO561">
        <f ca="1">IF(T_EMPLOYEES[[#This Row],[EMPLOYEE NUMBER]]="","",IF(T_EMPLOYEES[[#This Row],[ERROR]]="",0,1))</f>
        <v>0</v>
      </c>
      <c r="AP56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2" spans="1:42">
      <c r="A562" t="s">
        <v>1751</v>
      </c>
      <c r="B562" t="s">
        <v>1752</v>
      </c>
      <c r="C562">
        <v>1033231</v>
      </c>
      <c r="D562" t="s">
        <v>1753</v>
      </c>
      <c r="E562" s="26">
        <v>37194</v>
      </c>
      <c r="F562" s="26">
        <v>45155</v>
      </c>
      <c r="H562" t="s">
        <v>27</v>
      </c>
      <c r="I562" t="s">
        <v>54</v>
      </c>
      <c r="J562" t="s">
        <v>64</v>
      </c>
      <c r="K562" t="s">
        <v>30</v>
      </c>
      <c r="L562" s="27" t="s">
        <v>114</v>
      </c>
      <c r="M562" t="s">
        <v>46</v>
      </c>
      <c r="N562" t="s">
        <v>151</v>
      </c>
      <c r="O562" t="s">
        <v>36</v>
      </c>
      <c r="P562" t="s">
        <v>151</v>
      </c>
      <c r="Q562" t="s">
        <v>505</v>
      </c>
      <c r="R562" s="27">
        <v>0</v>
      </c>
      <c r="S562" s="1">
        <v>1200000</v>
      </c>
      <c r="T562" s="1">
        <f ca="1">ROUND(T_EMPLOYEES[[#This Row],[EMP_CTC1]]/12, 0)</f>
        <v>100000</v>
      </c>
      <c r="U562" s="1">
        <v>1000000</v>
      </c>
      <c r="V562" s="1" t="s">
        <v>207</v>
      </c>
      <c r="W562" s="1" t="s">
        <v>207</v>
      </c>
      <c r="X56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Rohan Kumar Sahoo (1033231)</v>
      </c>
      <c r="Y562">
        <v>120000</v>
      </c>
      <c r="Z562" s="29">
        <f t="shared" ca="1" si="9"/>
        <v>16.666666666666664</v>
      </c>
      <c r="AA562">
        <f ca="1">IF(T_EMPLOYEES[[#This Row],[EMPLOYEE NUMBER]]="","",ROW(T_EMPLOYEES[[#This Row],[EMPLOYEE LABEL]])-ROW(T_EMPLOYEES[[#Headers],[EMPLOYEE LABEL]]))</f>
        <v>559</v>
      </c>
      <c r="AB562">
        <f ca="1">IF(T_EMPLOYEES[[#This Row],[EMPLOYEE NUMBER]]="","",IF(COUNTIF(T_EMPLOYEES[EMPLOYEE NUMBER],T_EMPLOYEES[[#This Row],[EMPLOYEE NUMBER]])&gt;1,1,0))</f>
        <v>0</v>
      </c>
      <c r="AC562">
        <f ca="1">IF(T_EMPLOYEES[[#This Row],[EMPLOYEE NUMBER]]="","",IF(AND(T_EMPLOYEES[[#This Row],[DATE OF BIRTH]]&gt;0,T_EMPLOYEES[[#This Row],[DATE OF BIRTH]]&lt;TODAY()),0,1))</f>
        <v>0</v>
      </c>
      <c r="AD562">
        <f ca="1">IF(T_EMPLOYEES[[#This Row],[EMPLOYEE NUMBER]]="","",IF(AND(T_EMPLOYEES[[#This Row],[START DATE]]&gt;0,T_EMPLOYEES[[#This Row],[START DATE]]&lt;TODAY()+60),0,1))</f>
        <v>0</v>
      </c>
      <c r="AE562">
        <f ca="1">IF(T_EMPLOYEES[[#This Row],[EMPLOYEE NUMBER]]="","",MATCH(T_EMPLOYEES[[#This Row],[GENDER]],L_GENDER,0))</f>
        <v>1</v>
      </c>
      <c r="AF562">
        <f ca="1">IF(T_EMPLOYEES[[#This Row],[EMPLOYEE NUMBER]]="","",MATCH(T_EMPLOYEES[[#This Row],[HIRE SOURCE]],L_HIRESOURCE,0))</f>
        <v>4</v>
      </c>
      <c r="AG562">
        <f ca="1">IF(T_EMPLOYEES[[#This Row],[EMPLOYEE NUMBER]]="","",MATCH(T_EMPLOYEES[[#This Row],[ETHNICITY]],L_ETHNICITY,0))</f>
        <v>3</v>
      </c>
      <c r="AH562">
        <f ca="1">IF(T_EMPLOYEES[[#This Row],[EMPLOYEE NUMBER]]="","",MATCH(T_EMPLOYEES[[#This Row],[LOCATION]],L_LOCATION,0))</f>
        <v>1</v>
      </c>
      <c r="AI562">
        <f ca="1">IF(T_EMPLOYEES[[#This Row],[EMPLOYEE NUMBER]]="","",MATCH(T_EMPLOYEES[[#This Row],[DEPARTMENT]],L_DEPARTMENT,0))</f>
        <v>11</v>
      </c>
      <c r="AJ562">
        <f ca="1">IF(T_EMPLOYEES[[#This Row],[EMPLOYEE NUMBER]]="","",MATCH(T_EMPLOYEES[[#This Row],[JOB TYPE]],L_JOBTYPE,0))</f>
        <v>2</v>
      </c>
      <c r="AK562">
        <f ca="1">IF(T_EMPLOYEES[[#This Row],[EMPLOYEE NUMBER]]="","",MATCH(T_EMPLOYEES[[#This Row],[JOB CATEGORY]],L_JOBCATEGORY,0))</f>
        <v>30</v>
      </c>
      <c r="AL562">
        <f ca="1">IF(T_EMPLOYEES[[#This Row],[EMPLOYEE NUMBER]]="","",MATCH(T_EMPLOYEES[[#This Row],[JOB LEVEL]],L_JOBLEVEL,0))</f>
        <v>1</v>
      </c>
      <c r="AM562">
        <f ca="1">IF(T_EMPLOYEES[[#This Row],[EMPLOYEE NUMBER]]="","",MATCH(T_EMPLOYEES[[#This Row],[JOB TITLE]],L_JOBTITLE,0))</f>
        <v>30</v>
      </c>
      <c r="AN562">
        <f ca="1">IF(T_EMPLOYEES[[#This Row],[EMPLOYEE NUMBER]]="","",MATCH(T_EMPLOYEES[[#This Row],[MANAGER]],L_EMPLABELS,0))</f>
        <v>57</v>
      </c>
      <c r="AO562">
        <f ca="1">IF(T_EMPLOYEES[[#This Row],[EMPLOYEE NUMBER]]="","",IF(T_EMPLOYEES[[#This Row],[ERROR]]="",0,1))</f>
        <v>0</v>
      </c>
      <c r="AP56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3" spans="1:42">
      <c r="A563" t="s">
        <v>1754</v>
      </c>
      <c r="B563" t="s">
        <v>1755</v>
      </c>
      <c r="C563">
        <v>1033236</v>
      </c>
      <c r="D563" t="s">
        <v>1756</v>
      </c>
      <c r="E563" s="26">
        <v>37197</v>
      </c>
      <c r="F563" s="26">
        <v>45155</v>
      </c>
      <c r="H563" t="s">
        <v>40</v>
      </c>
      <c r="I563" t="s">
        <v>54</v>
      </c>
      <c r="J563" t="s">
        <v>64</v>
      </c>
      <c r="K563" t="s">
        <v>30</v>
      </c>
      <c r="L563" s="27" t="s">
        <v>114</v>
      </c>
      <c r="M563" t="s">
        <v>46</v>
      </c>
      <c r="N563" t="s">
        <v>151</v>
      </c>
      <c r="O563" t="s">
        <v>36</v>
      </c>
      <c r="P563" t="s">
        <v>151</v>
      </c>
      <c r="Q563" t="s">
        <v>206</v>
      </c>
      <c r="R563">
        <v>0</v>
      </c>
      <c r="S563" s="1">
        <v>1200000</v>
      </c>
      <c r="T563" s="1">
        <f ca="1">ROUND(T_EMPLOYEES[[#This Row],[EMP_CTC1]]/12, 0)</f>
        <v>100000</v>
      </c>
      <c r="U563" s="1">
        <v>1000000</v>
      </c>
      <c r="V563" s="1" t="s">
        <v>207</v>
      </c>
      <c r="W563" s="1" t="s">
        <v>207</v>
      </c>
      <c r="X56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Tanya Arora (1033236)</v>
      </c>
      <c r="Y563">
        <v>120000</v>
      </c>
      <c r="Z563" s="29">
        <f t="shared" ca="1" si="9"/>
        <v>16.666666666666664</v>
      </c>
      <c r="AA563">
        <f ca="1">IF(T_EMPLOYEES[[#This Row],[EMPLOYEE NUMBER]]="","",ROW(T_EMPLOYEES[[#This Row],[EMPLOYEE LABEL]])-ROW(T_EMPLOYEES[[#Headers],[EMPLOYEE LABEL]]))</f>
        <v>560</v>
      </c>
      <c r="AB563">
        <f ca="1">IF(T_EMPLOYEES[[#This Row],[EMPLOYEE NUMBER]]="","",IF(COUNTIF(T_EMPLOYEES[EMPLOYEE NUMBER],T_EMPLOYEES[[#This Row],[EMPLOYEE NUMBER]])&gt;1,1,0))</f>
        <v>0</v>
      </c>
      <c r="AC563">
        <f ca="1">IF(T_EMPLOYEES[[#This Row],[EMPLOYEE NUMBER]]="","",IF(AND(T_EMPLOYEES[[#This Row],[DATE OF BIRTH]]&gt;0,T_EMPLOYEES[[#This Row],[DATE OF BIRTH]]&lt;TODAY()),0,1))</f>
        <v>0</v>
      </c>
      <c r="AD563">
        <f ca="1">IF(T_EMPLOYEES[[#This Row],[EMPLOYEE NUMBER]]="","",IF(AND(T_EMPLOYEES[[#This Row],[START DATE]]&gt;0,T_EMPLOYEES[[#This Row],[START DATE]]&lt;TODAY()+60),0,1))</f>
        <v>0</v>
      </c>
      <c r="AE563">
        <f ca="1">IF(T_EMPLOYEES[[#This Row],[EMPLOYEE NUMBER]]="","",MATCH(T_EMPLOYEES[[#This Row],[GENDER]],L_GENDER,0))</f>
        <v>2</v>
      </c>
      <c r="AF563">
        <f ca="1">IF(T_EMPLOYEES[[#This Row],[EMPLOYEE NUMBER]]="","",MATCH(T_EMPLOYEES[[#This Row],[HIRE SOURCE]],L_HIRESOURCE,0))</f>
        <v>4</v>
      </c>
      <c r="AG563">
        <f ca="1">IF(T_EMPLOYEES[[#This Row],[EMPLOYEE NUMBER]]="","",MATCH(T_EMPLOYEES[[#This Row],[ETHNICITY]],L_ETHNICITY,0))</f>
        <v>3</v>
      </c>
      <c r="AH563">
        <f ca="1">IF(T_EMPLOYEES[[#This Row],[EMPLOYEE NUMBER]]="","",MATCH(T_EMPLOYEES[[#This Row],[LOCATION]],L_LOCATION,0))</f>
        <v>1</v>
      </c>
      <c r="AI563">
        <f ca="1">IF(T_EMPLOYEES[[#This Row],[EMPLOYEE NUMBER]]="","",MATCH(T_EMPLOYEES[[#This Row],[DEPARTMENT]],L_DEPARTMENT,0))</f>
        <v>11</v>
      </c>
      <c r="AJ563">
        <f ca="1">IF(T_EMPLOYEES[[#This Row],[EMPLOYEE NUMBER]]="","",MATCH(T_EMPLOYEES[[#This Row],[JOB TYPE]],L_JOBTYPE,0))</f>
        <v>2</v>
      </c>
      <c r="AK563">
        <f ca="1">IF(T_EMPLOYEES[[#This Row],[EMPLOYEE NUMBER]]="","",MATCH(T_EMPLOYEES[[#This Row],[JOB CATEGORY]],L_JOBCATEGORY,0))</f>
        <v>30</v>
      </c>
      <c r="AL563">
        <f ca="1">IF(T_EMPLOYEES[[#This Row],[EMPLOYEE NUMBER]]="","",MATCH(T_EMPLOYEES[[#This Row],[JOB LEVEL]],L_JOBLEVEL,0))</f>
        <v>1</v>
      </c>
      <c r="AM563">
        <f ca="1">IF(T_EMPLOYEES[[#This Row],[EMPLOYEE NUMBER]]="","",MATCH(T_EMPLOYEES[[#This Row],[JOB TITLE]],L_JOBTITLE,0))</f>
        <v>30</v>
      </c>
      <c r="AN563">
        <f ca="1">IF(T_EMPLOYEES[[#This Row],[EMPLOYEE NUMBER]]="","",MATCH(T_EMPLOYEES[[#This Row],[MANAGER]],L_EMPLABELS,0))</f>
        <v>6</v>
      </c>
      <c r="AO563">
        <f ca="1">IF(T_EMPLOYEES[[#This Row],[EMPLOYEE NUMBER]]="","",IF(T_EMPLOYEES[[#This Row],[ERROR]]="",0,1))</f>
        <v>0</v>
      </c>
      <c r="AP56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4" spans="1:42">
      <c r="A564" t="s">
        <v>440</v>
      </c>
      <c r="B564" t="s">
        <v>1757</v>
      </c>
      <c r="C564">
        <v>1033237</v>
      </c>
      <c r="D564" t="s">
        <v>1758</v>
      </c>
      <c r="E564" s="26">
        <v>37230</v>
      </c>
      <c r="F564" s="26">
        <v>45155</v>
      </c>
      <c r="H564" t="s">
        <v>27</v>
      </c>
      <c r="I564" t="s">
        <v>54</v>
      </c>
      <c r="J564" t="s">
        <v>64</v>
      </c>
      <c r="K564" t="s">
        <v>30</v>
      </c>
      <c r="L564" s="27" t="s">
        <v>114</v>
      </c>
      <c r="M564" t="s">
        <v>46</v>
      </c>
      <c r="N564" t="s">
        <v>151</v>
      </c>
      <c r="O564" t="s">
        <v>36</v>
      </c>
      <c r="P564" t="s">
        <v>151</v>
      </c>
      <c r="Q564" t="s">
        <v>505</v>
      </c>
      <c r="R564" s="27">
        <v>0</v>
      </c>
      <c r="S564" s="1">
        <v>1200000</v>
      </c>
      <c r="T564" s="1">
        <f ca="1">ROUND(T_EMPLOYEES[[#This Row],[EMP_CTC1]]/12, 0)</f>
        <v>100000</v>
      </c>
      <c r="U564" s="1">
        <v>1000000</v>
      </c>
      <c r="V564" s="1" t="s">
        <v>207</v>
      </c>
      <c r="W564" s="1" t="s">
        <v>207</v>
      </c>
      <c r="X56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Ganesh Mirda (1033237)</v>
      </c>
      <c r="Y564">
        <v>120000</v>
      </c>
      <c r="Z564" s="29">
        <f t="shared" ca="1" si="9"/>
        <v>16.666666666666664</v>
      </c>
      <c r="AA564">
        <f ca="1">IF(T_EMPLOYEES[[#This Row],[EMPLOYEE NUMBER]]="","",ROW(T_EMPLOYEES[[#This Row],[EMPLOYEE LABEL]])-ROW(T_EMPLOYEES[[#Headers],[EMPLOYEE LABEL]]))</f>
        <v>561</v>
      </c>
      <c r="AB564">
        <f ca="1">IF(T_EMPLOYEES[[#This Row],[EMPLOYEE NUMBER]]="","",IF(COUNTIF(T_EMPLOYEES[EMPLOYEE NUMBER],T_EMPLOYEES[[#This Row],[EMPLOYEE NUMBER]])&gt;1,1,0))</f>
        <v>0</v>
      </c>
      <c r="AC564">
        <f ca="1">IF(T_EMPLOYEES[[#This Row],[EMPLOYEE NUMBER]]="","",IF(AND(T_EMPLOYEES[[#This Row],[DATE OF BIRTH]]&gt;0,T_EMPLOYEES[[#This Row],[DATE OF BIRTH]]&lt;TODAY()),0,1))</f>
        <v>0</v>
      </c>
      <c r="AD564">
        <f ca="1">IF(T_EMPLOYEES[[#This Row],[EMPLOYEE NUMBER]]="","",IF(AND(T_EMPLOYEES[[#This Row],[START DATE]]&gt;0,T_EMPLOYEES[[#This Row],[START DATE]]&lt;TODAY()+60),0,1))</f>
        <v>0</v>
      </c>
      <c r="AE564">
        <f ca="1">IF(T_EMPLOYEES[[#This Row],[EMPLOYEE NUMBER]]="","",MATCH(T_EMPLOYEES[[#This Row],[GENDER]],L_GENDER,0))</f>
        <v>1</v>
      </c>
      <c r="AF564">
        <f ca="1">IF(T_EMPLOYEES[[#This Row],[EMPLOYEE NUMBER]]="","",MATCH(T_EMPLOYEES[[#This Row],[HIRE SOURCE]],L_HIRESOURCE,0))</f>
        <v>4</v>
      </c>
      <c r="AG564">
        <f ca="1">IF(T_EMPLOYEES[[#This Row],[EMPLOYEE NUMBER]]="","",MATCH(T_EMPLOYEES[[#This Row],[ETHNICITY]],L_ETHNICITY,0))</f>
        <v>3</v>
      </c>
      <c r="AH564">
        <f ca="1">IF(T_EMPLOYEES[[#This Row],[EMPLOYEE NUMBER]]="","",MATCH(T_EMPLOYEES[[#This Row],[LOCATION]],L_LOCATION,0))</f>
        <v>1</v>
      </c>
      <c r="AI564">
        <f ca="1">IF(T_EMPLOYEES[[#This Row],[EMPLOYEE NUMBER]]="","",MATCH(T_EMPLOYEES[[#This Row],[DEPARTMENT]],L_DEPARTMENT,0))</f>
        <v>11</v>
      </c>
      <c r="AJ564">
        <f ca="1">IF(T_EMPLOYEES[[#This Row],[EMPLOYEE NUMBER]]="","",MATCH(T_EMPLOYEES[[#This Row],[JOB TYPE]],L_JOBTYPE,0))</f>
        <v>2</v>
      </c>
      <c r="AK564">
        <f ca="1">IF(T_EMPLOYEES[[#This Row],[EMPLOYEE NUMBER]]="","",MATCH(T_EMPLOYEES[[#This Row],[JOB CATEGORY]],L_JOBCATEGORY,0))</f>
        <v>30</v>
      </c>
      <c r="AL564">
        <f ca="1">IF(T_EMPLOYEES[[#This Row],[EMPLOYEE NUMBER]]="","",MATCH(T_EMPLOYEES[[#This Row],[JOB LEVEL]],L_JOBLEVEL,0))</f>
        <v>1</v>
      </c>
      <c r="AM564">
        <f ca="1">IF(T_EMPLOYEES[[#This Row],[EMPLOYEE NUMBER]]="","",MATCH(T_EMPLOYEES[[#This Row],[JOB TITLE]],L_JOBTITLE,0))</f>
        <v>30</v>
      </c>
      <c r="AN564">
        <f ca="1">IF(T_EMPLOYEES[[#This Row],[EMPLOYEE NUMBER]]="","",MATCH(T_EMPLOYEES[[#This Row],[MANAGER]],L_EMPLABELS,0))</f>
        <v>57</v>
      </c>
      <c r="AO564">
        <f ca="1">IF(T_EMPLOYEES[[#This Row],[EMPLOYEE NUMBER]]="","",IF(T_EMPLOYEES[[#This Row],[ERROR]]="",0,1))</f>
        <v>0</v>
      </c>
      <c r="AP56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5" spans="1:42">
      <c r="A565" t="s">
        <v>1759</v>
      </c>
      <c r="B565" t="s">
        <v>1760</v>
      </c>
      <c r="C565">
        <v>1033245</v>
      </c>
      <c r="D565" t="s">
        <v>1761</v>
      </c>
      <c r="E565" s="26">
        <v>37230</v>
      </c>
      <c r="F565" s="26">
        <v>45155</v>
      </c>
      <c r="H565" t="s">
        <v>27</v>
      </c>
      <c r="I565" t="s">
        <v>54</v>
      </c>
      <c r="J565" t="s">
        <v>64</v>
      </c>
      <c r="K565" t="s">
        <v>30</v>
      </c>
      <c r="L565" s="27" t="s">
        <v>45</v>
      </c>
      <c r="M565" t="s">
        <v>46</v>
      </c>
      <c r="N565" t="s">
        <v>151</v>
      </c>
      <c r="O565" t="s">
        <v>36</v>
      </c>
      <c r="P565" t="s">
        <v>151</v>
      </c>
      <c r="Q565" t="s">
        <v>1522</v>
      </c>
      <c r="R565">
        <v>0</v>
      </c>
      <c r="S565" s="1">
        <v>1200000</v>
      </c>
      <c r="T565" s="1">
        <f ca="1">ROUND(T_EMPLOYEES[[#This Row],[EMP_CTC1]]/12, 0)</f>
        <v>100000</v>
      </c>
      <c r="U565" s="1">
        <v>1000000</v>
      </c>
      <c r="V565" s="1" t="s">
        <v>207</v>
      </c>
      <c r="W565" s="1" t="s">
        <v>207</v>
      </c>
      <c r="X56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Linga Avinash (1033245)</v>
      </c>
      <c r="Y565">
        <v>120000</v>
      </c>
      <c r="Z565" s="29">
        <f t="shared" ca="1" si="9"/>
        <v>16.666666666666664</v>
      </c>
      <c r="AA565">
        <f ca="1">IF(T_EMPLOYEES[[#This Row],[EMPLOYEE NUMBER]]="","",ROW(T_EMPLOYEES[[#This Row],[EMPLOYEE LABEL]])-ROW(T_EMPLOYEES[[#Headers],[EMPLOYEE LABEL]]))</f>
        <v>562</v>
      </c>
      <c r="AB565">
        <f ca="1">IF(T_EMPLOYEES[[#This Row],[EMPLOYEE NUMBER]]="","",IF(COUNTIF(T_EMPLOYEES[EMPLOYEE NUMBER],T_EMPLOYEES[[#This Row],[EMPLOYEE NUMBER]])&gt;1,1,0))</f>
        <v>0</v>
      </c>
      <c r="AC565">
        <f ca="1">IF(T_EMPLOYEES[[#This Row],[EMPLOYEE NUMBER]]="","",IF(AND(T_EMPLOYEES[[#This Row],[DATE OF BIRTH]]&gt;0,T_EMPLOYEES[[#This Row],[DATE OF BIRTH]]&lt;TODAY()),0,1))</f>
        <v>0</v>
      </c>
      <c r="AD565">
        <f ca="1">IF(T_EMPLOYEES[[#This Row],[EMPLOYEE NUMBER]]="","",IF(AND(T_EMPLOYEES[[#This Row],[START DATE]]&gt;0,T_EMPLOYEES[[#This Row],[START DATE]]&lt;TODAY()+60),0,1))</f>
        <v>0</v>
      </c>
      <c r="AE565">
        <f ca="1">IF(T_EMPLOYEES[[#This Row],[EMPLOYEE NUMBER]]="","",MATCH(T_EMPLOYEES[[#This Row],[GENDER]],L_GENDER,0))</f>
        <v>1</v>
      </c>
      <c r="AF565">
        <f ca="1">IF(T_EMPLOYEES[[#This Row],[EMPLOYEE NUMBER]]="","",MATCH(T_EMPLOYEES[[#This Row],[HIRE SOURCE]],L_HIRESOURCE,0))</f>
        <v>4</v>
      </c>
      <c r="AG565">
        <f ca="1">IF(T_EMPLOYEES[[#This Row],[EMPLOYEE NUMBER]]="","",MATCH(T_EMPLOYEES[[#This Row],[ETHNICITY]],L_ETHNICITY,0))</f>
        <v>3</v>
      </c>
      <c r="AH565">
        <f ca="1">IF(T_EMPLOYEES[[#This Row],[EMPLOYEE NUMBER]]="","",MATCH(T_EMPLOYEES[[#This Row],[LOCATION]],L_LOCATION,0))</f>
        <v>1</v>
      </c>
      <c r="AI565">
        <f ca="1">IF(T_EMPLOYEES[[#This Row],[EMPLOYEE NUMBER]]="","",MATCH(T_EMPLOYEES[[#This Row],[DEPARTMENT]],L_DEPARTMENT,0))</f>
        <v>2</v>
      </c>
      <c r="AJ565">
        <f ca="1">IF(T_EMPLOYEES[[#This Row],[EMPLOYEE NUMBER]]="","",MATCH(T_EMPLOYEES[[#This Row],[JOB TYPE]],L_JOBTYPE,0))</f>
        <v>2</v>
      </c>
      <c r="AK565">
        <f ca="1">IF(T_EMPLOYEES[[#This Row],[EMPLOYEE NUMBER]]="","",MATCH(T_EMPLOYEES[[#This Row],[JOB CATEGORY]],L_JOBCATEGORY,0))</f>
        <v>30</v>
      </c>
      <c r="AL565">
        <f ca="1">IF(T_EMPLOYEES[[#This Row],[EMPLOYEE NUMBER]]="","",MATCH(T_EMPLOYEES[[#This Row],[JOB LEVEL]],L_JOBLEVEL,0))</f>
        <v>1</v>
      </c>
      <c r="AM565">
        <f ca="1">IF(T_EMPLOYEES[[#This Row],[EMPLOYEE NUMBER]]="","",MATCH(T_EMPLOYEES[[#This Row],[JOB TITLE]],L_JOBTITLE,0))</f>
        <v>30</v>
      </c>
      <c r="AN565">
        <f ca="1">IF(T_EMPLOYEES[[#This Row],[EMPLOYEE NUMBER]]="","",MATCH(T_EMPLOYEES[[#This Row],[MANAGER]],L_EMPLABELS,0))</f>
        <v>38</v>
      </c>
      <c r="AO565">
        <f ca="1">IF(T_EMPLOYEES[[#This Row],[EMPLOYEE NUMBER]]="","",IF(T_EMPLOYEES[[#This Row],[ERROR]]="",0,1))</f>
        <v>0</v>
      </c>
      <c r="AP56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6" spans="1:42">
      <c r="A566" t="s">
        <v>1762</v>
      </c>
      <c r="B566" t="s">
        <v>1763</v>
      </c>
      <c r="C566">
        <v>1033260</v>
      </c>
      <c r="D566" t="s">
        <v>1764</v>
      </c>
      <c r="E566" s="26">
        <v>37231</v>
      </c>
      <c r="F566" s="26">
        <v>45155</v>
      </c>
      <c r="H566" t="s">
        <v>27</v>
      </c>
      <c r="I566" t="s">
        <v>54</v>
      </c>
      <c r="J566" t="s">
        <v>64</v>
      </c>
      <c r="K566" t="s">
        <v>30</v>
      </c>
      <c r="L566" s="27" t="s">
        <v>114</v>
      </c>
      <c r="M566" t="s">
        <v>46</v>
      </c>
      <c r="N566" t="s">
        <v>151</v>
      </c>
      <c r="O566" t="s">
        <v>36</v>
      </c>
      <c r="P566" t="s">
        <v>151</v>
      </c>
      <c r="Q566" t="s">
        <v>468</v>
      </c>
      <c r="R566" s="27">
        <v>0</v>
      </c>
      <c r="S566" s="1">
        <v>1200000</v>
      </c>
      <c r="T566" s="1">
        <f ca="1">ROUND(T_EMPLOYEES[[#This Row],[EMP_CTC1]]/12, 0)</f>
        <v>100000</v>
      </c>
      <c r="U566" s="1">
        <v>1000000</v>
      </c>
      <c r="V566" s="1" t="s">
        <v>207</v>
      </c>
      <c r="W566" s="1" t="s">
        <v>207</v>
      </c>
      <c r="X56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Pedditi Nithin Reddy (1033260)</v>
      </c>
      <c r="Y566">
        <v>120000</v>
      </c>
      <c r="Z566" s="29">
        <f t="shared" ca="1" si="9"/>
        <v>16.666666666666664</v>
      </c>
      <c r="AA566">
        <f ca="1">IF(T_EMPLOYEES[[#This Row],[EMPLOYEE NUMBER]]="","",ROW(T_EMPLOYEES[[#This Row],[EMPLOYEE LABEL]])-ROW(T_EMPLOYEES[[#Headers],[EMPLOYEE LABEL]]))</f>
        <v>563</v>
      </c>
      <c r="AB566">
        <f ca="1">IF(T_EMPLOYEES[[#This Row],[EMPLOYEE NUMBER]]="","",IF(COUNTIF(T_EMPLOYEES[EMPLOYEE NUMBER],T_EMPLOYEES[[#This Row],[EMPLOYEE NUMBER]])&gt;1,1,0))</f>
        <v>0</v>
      </c>
      <c r="AC566">
        <f ca="1">IF(T_EMPLOYEES[[#This Row],[EMPLOYEE NUMBER]]="","",IF(AND(T_EMPLOYEES[[#This Row],[DATE OF BIRTH]]&gt;0,T_EMPLOYEES[[#This Row],[DATE OF BIRTH]]&lt;TODAY()),0,1))</f>
        <v>0</v>
      </c>
      <c r="AD566">
        <f ca="1">IF(T_EMPLOYEES[[#This Row],[EMPLOYEE NUMBER]]="","",IF(AND(T_EMPLOYEES[[#This Row],[START DATE]]&gt;0,T_EMPLOYEES[[#This Row],[START DATE]]&lt;TODAY()+60),0,1))</f>
        <v>0</v>
      </c>
      <c r="AE566">
        <f ca="1">IF(T_EMPLOYEES[[#This Row],[EMPLOYEE NUMBER]]="","",MATCH(T_EMPLOYEES[[#This Row],[GENDER]],L_GENDER,0))</f>
        <v>1</v>
      </c>
      <c r="AF566">
        <f ca="1">IF(T_EMPLOYEES[[#This Row],[EMPLOYEE NUMBER]]="","",MATCH(T_EMPLOYEES[[#This Row],[HIRE SOURCE]],L_HIRESOURCE,0))</f>
        <v>4</v>
      </c>
      <c r="AG566">
        <f ca="1">IF(T_EMPLOYEES[[#This Row],[EMPLOYEE NUMBER]]="","",MATCH(T_EMPLOYEES[[#This Row],[ETHNICITY]],L_ETHNICITY,0))</f>
        <v>3</v>
      </c>
      <c r="AH566">
        <f ca="1">IF(T_EMPLOYEES[[#This Row],[EMPLOYEE NUMBER]]="","",MATCH(T_EMPLOYEES[[#This Row],[LOCATION]],L_LOCATION,0))</f>
        <v>1</v>
      </c>
      <c r="AI566">
        <f ca="1">IF(T_EMPLOYEES[[#This Row],[EMPLOYEE NUMBER]]="","",MATCH(T_EMPLOYEES[[#This Row],[DEPARTMENT]],L_DEPARTMENT,0))</f>
        <v>11</v>
      </c>
      <c r="AJ566">
        <f ca="1">IF(T_EMPLOYEES[[#This Row],[EMPLOYEE NUMBER]]="","",MATCH(T_EMPLOYEES[[#This Row],[JOB TYPE]],L_JOBTYPE,0))</f>
        <v>2</v>
      </c>
      <c r="AK566">
        <f ca="1">IF(T_EMPLOYEES[[#This Row],[EMPLOYEE NUMBER]]="","",MATCH(T_EMPLOYEES[[#This Row],[JOB CATEGORY]],L_JOBCATEGORY,0))</f>
        <v>30</v>
      </c>
      <c r="AL566">
        <f ca="1">IF(T_EMPLOYEES[[#This Row],[EMPLOYEE NUMBER]]="","",MATCH(T_EMPLOYEES[[#This Row],[JOB LEVEL]],L_JOBLEVEL,0))</f>
        <v>1</v>
      </c>
      <c r="AM566">
        <f ca="1">IF(T_EMPLOYEES[[#This Row],[EMPLOYEE NUMBER]]="","",MATCH(T_EMPLOYEES[[#This Row],[JOB TITLE]],L_JOBTITLE,0))</f>
        <v>30</v>
      </c>
      <c r="AN566">
        <f ca="1">IF(T_EMPLOYEES[[#This Row],[EMPLOYEE NUMBER]]="","",MATCH(T_EMPLOYEES[[#This Row],[MANAGER]],L_EMPLABELS,0))</f>
        <v>56</v>
      </c>
      <c r="AO566">
        <f ca="1">IF(T_EMPLOYEES[[#This Row],[EMPLOYEE NUMBER]]="","",IF(T_EMPLOYEES[[#This Row],[ERROR]]="",0,1))</f>
        <v>0</v>
      </c>
      <c r="AP56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7" spans="1:42">
      <c r="A567" t="s">
        <v>1765</v>
      </c>
      <c r="B567" t="s">
        <v>1662</v>
      </c>
      <c r="C567">
        <v>1033213</v>
      </c>
      <c r="D567" t="s">
        <v>1766</v>
      </c>
      <c r="E567" s="26">
        <v>37242</v>
      </c>
      <c r="F567" s="26">
        <v>45155</v>
      </c>
      <c r="H567" t="s">
        <v>27</v>
      </c>
      <c r="I567" t="s">
        <v>54</v>
      </c>
      <c r="J567" t="s">
        <v>64</v>
      </c>
      <c r="K567" t="s">
        <v>30</v>
      </c>
      <c r="L567" s="27" t="s">
        <v>114</v>
      </c>
      <c r="M567" t="s">
        <v>46</v>
      </c>
      <c r="N567" t="s">
        <v>151</v>
      </c>
      <c r="O567" t="s">
        <v>36</v>
      </c>
      <c r="P567" t="s">
        <v>151</v>
      </c>
      <c r="Q567" t="s">
        <v>505</v>
      </c>
      <c r="R567">
        <v>0</v>
      </c>
      <c r="S567" s="1">
        <v>1200000</v>
      </c>
      <c r="T567" s="1">
        <f ca="1">ROUND(T_EMPLOYEES[[#This Row],[EMP_CTC1]]/12, 0)</f>
        <v>100000</v>
      </c>
      <c r="U567" s="1">
        <v>1000000</v>
      </c>
      <c r="V567" s="1" t="s">
        <v>207</v>
      </c>
      <c r="W567" s="1" t="s">
        <v>207</v>
      </c>
      <c r="X56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Jitendra Sahoo (1033213)</v>
      </c>
      <c r="Y567">
        <v>120000</v>
      </c>
      <c r="Z567" s="29">
        <f t="shared" ca="1" si="9"/>
        <v>16.666666666666664</v>
      </c>
      <c r="AA567">
        <f ca="1">IF(T_EMPLOYEES[[#This Row],[EMPLOYEE NUMBER]]="","",ROW(T_EMPLOYEES[[#This Row],[EMPLOYEE LABEL]])-ROW(T_EMPLOYEES[[#Headers],[EMPLOYEE LABEL]]))</f>
        <v>564</v>
      </c>
      <c r="AB567">
        <f ca="1">IF(T_EMPLOYEES[[#This Row],[EMPLOYEE NUMBER]]="","",IF(COUNTIF(T_EMPLOYEES[EMPLOYEE NUMBER],T_EMPLOYEES[[#This Row],[EMPLOYEE NUMBER]])&gt;1,1,0))</f>
        <v>0</v>
      </c>
      <c r="AC567">
        <f ca="1">IF(T_EMPLOYEES[[#This Row],[EMPLOYEE NUMBER]]="","",IF(AND(T_EMPLOYEES[[#This Row],[DATE OF BIRTH]]&gt;0,T_EMPLOYEES[[#This Row],[DATE OF BIRTH]]&lt;TODAY()),0,1))</f>
        <v>0</v>
      </c>
      <c r="AD567">
        <f ca="1">IF(T_EMPLOYEES[[#This Row],[EMPLOYEE NUMBER]]="","",IF(AND(T_EMPLOYEES[[#This Row],[START DATE]]&gt;0,T_EMPLOYEES[[#This Row],[START DATE]]&lt;TODAY()+60),0,1))</f>
        <v>0</v>
      </c>
      <c r="AE567">
        <f ca="1">IF(T_EMPLOYEES[[#This Row],[EMPLOYEE NUMBER]]="","",MATCH(T_EMPLOYEES[[#This Row],[GENDER]],L_GENDER,0))</f>
        <v>1</v>
      </c>
      <c r="AF567">
        <f ca="1">IF(T_EMPLOYEES[[#This Row],[EMPLOYEE NUMBER]]="","",MATCH(T_EMPLOYEES[[#This Row],[HIRE SOURCE]],L_HIRESOURCE,0))</f>
        <v>4</v>
      </c>
      <c r="AG567">
        <f ca="1">IF(T_EMPLOYEES[[#This Row],[EMPLOYEE NUMBER]]="","",MATCH(T_EMPLOYEES[[#This Row],[ETHNICITY]],L_ETHNICITY,0))</f>
        <v>3</v>
      </c>
      <c r="AH567">
        <f ca="1">IF(T_EMPLOYEES[[#This Row],[EMPLOYEE NUMBER]]="","",MATCH(T_EMPLOYEES[[#This Row],[LOCATION]],L_LOCATION,0))</f>
        <v>1</v>
      </c>
      <c r="AI567">
        <f ca="1">IF(T_EMPLOYEES[[#This Row],[EMPLOYEE NUMBER]]="","",MATCH(T_EMPLOYEES[[#This Row],[DEPARTMENT]],L_DEPARTMENT,0))</f>
        <v>11</v>
      </c>
      <c r="AJ567">
        <f ca="1">IF(T_EMPLOYEES[[#This Row],[EMPLOYEE NUMBER]]="","",MATCH(T_EMPLOYEES[[#This Row],[JOB TYPE]],L_JOBTYPE,0))</f>
        <v>2</v>
      </c>
      <c r="AK567">
        <f ca="1">IF(T_EMPLOYEES[[#This Row],[EMPLOYEE NUMBER]]="","",MATCH(T_EMPLOYEES[[#This Row],[JOB CATEGORY]],L_JOBCATEGORY,0))</f>
        <v>30</v>
      </c>
      <c r="AL567">
        <f ca="1">IF(T_EMPLOYEES[[#This Row],[EMPLOYEE NUMBER]]="","",MATCH(T_EMPLOYEES[[#This Row],[JOB LEVEL]],L_JOBLEVEL,0))</f>
        <v>1</v>
      </c>
      <c r="AM567">
        <f ca="1">IF(T_EMPLOYEES[[#This Row],[EMPLOYEE NUMBER]]="","",MATCH(T_EMPLOYEES[[#This Row],[JOB TITLE]],L_JOBTITLE,0))</f>
        <v>30</v>
      </c>
      <c r="AN567">
        <f ca="1">IF(T_EMPLOYEES[[#This Row],[EMPLOYEE NUMBER]]="","",MATCH(T_EMPLOYEES[[#This Row],[MANAGER]],L_EMPLABELS,0))</f>
        <v>57</v>
      </c>
      <c r="AO567">
        <f ca="1">IF(T_EMPLOYEES[[#This Row],[EMPLOYEE NUMBER]]="","",IF(T_EMPLOYEES[[#This Row],[ERROR]]="",0,1))</f>
        <v>0</v>
      </c>
      <c r="AP56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8" spans="1:42">
      <c r="A568" t="s">
        <v>667</v>
      </c>
      <c r="B568" t="s">
        <v>1767</v>
      </c>
      <c r="C568">
        <v>1033255</v>
      </c>
      <c r="D568" t="s">
        <v>1768</v>
      </c>
      <c r="E568" s="26">
        <v>37251</v>
      </c>
      <c r="F568" s="26">
        <v>45155</v>
      </c>
      <c r="H568" t="s">
        <v>27</v>
      </c>
      <c r="I568" t="s">
        <v>54</v>
      </c>
      <c r="J568" t="s">
        <v>64</v>
      </c>
      <c r="K568" t="s">
        <v>30</v>
      </c>
      <c r="L568" s="27" t="s">
        <v>118</v>
      </c>
      <c r="M568" t="s">
        <v>46</v>
      </c>
      <c r="N568" t="s">
        <v>151</v>
      </c>
      <c r="O568" t="s">
        <v>36</v>
      </c>
      <c r="P568" t="s">
        <v>151</v>
      </c>
      <c r="Q568" t="s">
        <v>353</v>
      </c>
      <c r="R568" s="27">
        <v>0</v>
      </c>
      <c r="S568" s="1">
        <v>1200000</v>
      </c>
      <c r="T568" s="1">
        <f ca="1">ROUND(T_EMPLOYEES[[#This Row],[EMP_CTC1]]/12, 0)</f>
        <v>100000</v>
      </c>
      <c r="U568" s="1">
        <v>1000000</v>
      </c>
      <c r="V568" s="1" t="s">
        <v>207</v>
      </c>
      <c r="W568" s="1" t="s">
        <v>207</v>
      </c>
      <c r="X56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Katta Adhithya (1033255)</v>
      </c>
      <c r="Y568">
        <v>120000</v>
      </c>
      <c r="Z568" s="29">
        <f t="shared" ca="1" si="9"/>
        <v>16.666666666666664</v>
      </c>
      <c r="AA568">
        <f ca="1">IF(T_EMPLOYEES[[#This Row],[EMPLOYEE NUMBER]]="","",ROW(T_EMPLOYEES[[#This Row],[EMPLOYEE LABEL]])-ROW(T_EMPLOYEES[[#Headers],[EMPLOYEE LABEL]]))</f>
        <v>565</v>
      </c>
      <c r="AB568">
        <f ca="1">IF(T_EMPLOYEES[[#This Row],[EMPLOYEE NUMBER]]="","",IF(COUNTIF(T_EMPLOYEES[EMPLOYEE NUMBER],T_EMPLOYEES[[#This Row],[EMPLOYEE NUMBER]])&gt;1,1,0))</f>
        <v>0</v>
      </c>
      <c r="AC568">
        <f ca="1">IF(T_EMPLOYEES[[#This Row],[EMPLOYEE NUMBER]]="","",IF(AND(T_EMPLOYEES[[#This Row],[DATE OF BIRTH]]&gt;0,T_EMPLOYEES[[#This Row],[DATE OF BIRTH]]&lt;TODAY()),0,1))</f>
        <v>0</v>
      </c>
      <c r="AD568">
        <f ca="1">IF(T_EMPLOYEES[[#This Row],[EMPLOYEE NUMBER]]="","",IF(AND(T_EMPLOYEES[[#This Row],[START DATE]]&gt;0,T_EMPLOYEES[[#This Row],[START DATE]]&lt;TODAY()+60),0,1))</f>
        <v>0</v>
      </c>
      <c r="AE568">
        <f ca="1">IF(T_EMPLOYEES[[#This Row],[EMPLOYEE NUMBER]]="","",MATCH(T_EMPLOYEES[[#This Row],[GENDER]],L_GENDER,0))</f>
        <v>1</v>
      </c>
      <c r="AF568">
        <f ca="1">IF(T_EMPLOYEES[[#This Row],[EMPLOYEE NUMBER]]="","",MATCH(T_EMPLOYEES[[#This Row],[HIRE SOURCE]],L_HIRESOURCE,0))</f>
        <v>4</v>
      </c>
      <c r="AG568">
        <f ca="1">IF(T_EMPLOYEES[[#This Row],[EMPLOYEE NUMBER]]="","",MATCH(T_EMPLOYEES[[#This Row],[ETHNICITY]],L_ETHNICITY,0))</f>
        <v>3</v>
      </c>
      <c r="AH568">
        <f ca="1">IF(T_EMPLOYEES[[#This Row],[EMPLOYEE NUMBER]]="","",MATCH(T_EMPLOYEES[[#This Row],[LOCATION]],L_LOCATION,0))</f>
        <v>1</v>
      </c>
      <c r="AI568">
        <f ca="1">IF(T_EMPLOYEES[[#This Row],[EMPLOYEE NUMBER]]="","",MATCH(T_EMPLOYEES[[#This Row],[DEPARTMENT]],L_DEPARTMENT,0))</f>
        <v>12</v>
      </c>
      <c r="AJ568">
        <f ca="1">IF(T_EMPLOYEES[[#This Row],[EMPLOYEE NUMBER]]="","",MATCH(T_EMPLOYEES[[#This Row],[JOB TYPE]],L_JOBTYPE,0))</f>
        <v>2</v>
      </c>
      <c r="AK568">
        <f ca="1">IF(T_EMPLOYEES[[#This Row],[EMPLOYEE NUMBER]]="","",MATCH(T_EMPLOYEES[[#This Row],[JOB CATEGORY]],L_JOBCATEGORY,0))</f>
        <v>30</v>
      </c>
      <c r="AL568">
        <f ca="1">IF(T_EMPLOYEES[[#This Row],[EMPLOYEE NUMBER]]="","",MATCH(T_EMPLOYEES[[#This Row],[JOB LEVEL]],L_JOBLEVEL,0))</f>
        <v>1</v>
      </c>
      <c r="AM568">
        <f ca="1">IF(T_EMPLOYEES[[#This Row],[EMPLOYEE NUMBER]]="","",MATCH(T_EMPLOYEES[[#This Row],[JOB TITLE]],L_JOBTITLE,0))</f>
        <v>30</v>
      </c>
      <c r="AN568">
        <f ca="1">IF(T_EMPLOYEES[[#This Row],[EMPLOYEE NUMBER]]="","",MATCH(T_EMPLOYEES[[#This Row],[MANAGER]],L_EMPLABELS,0))</f>
        <v>137</v>
      </c>
      <c r="AO568">
        <f ca="1">IF(T_EMPLOYEES[[#This Row],[EMPLOYEE NUMBER]]="","",IF(T_EMPLOYEES[[#This Row],[ERROR]]="",0,1))</f>
        <v>0</v>
      </c>
      <c r="AP56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9" spans="1:42">
      <c r="A569" t="s">
        <v>1769</v>
      </c>
      <c r="B569" t="s">
        <v>1770</v>
      </c>
      <c r="C569">
        <v>1033252</v>
      </c>
      <c r="D569" t="s">
        <v>1771</v>
      </c>
      <c r="E569" s="26">
        <v>37260</v>
      </c>
      <c r="F569" s="26">
        <v>45155</v>
      </c>
      <c r="H569" t="s">
        <v>27</v>
      </c>
      <c r="I569" t="s">
        <v>54</v>
      </c>
      <c r="J569" t="s">
        <v>64</v>
      </c>
      <c r="K569" t="s">
        <v>30</v>
      </c>
      <c r="L569" s="27" t="s">
        <v>114</v>
      </c>
      <c r="M569" t="s">
        <v>46</v>
      </c>
      <c r="N569" t="s">
        <v>151</v>
      </c>
      <c r="O569" t="s">
        <v>36</v>
      </c>
      <c r="P569" t="s">
        <v>151</v>
      </c>
      <c r="Q569" t="s">
        <v>468</v>
      </c>
      <c r="R569">
        <v>0</v>
      </c>
      <c r="S569" s="1">
        <v>1200000</v>
      </c>
      <c r="T569" s="1">
        <f ca="1">ROUND(T_EMPLOYEES[[#This Row],[EMP_CTC1]]/12, 0)</f>
        <v>100000</v>
      </c>
      <c r="U569" s="1">
        <v>1000000</v>
      </c>
      <c r="V569" s="1" t="s">
        <v>207</v>
      </c>
      <c r="W569" s="1" t="s">
        <v>207</v>
      </c>
      <c r="X56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Pasham Sai Kishore Reddy (1033252)</v>
      </c>
      <c r="Y569">
        <v>120000</v>
      </c>
      <c r="Z569" s="29">
        <f t="shared" ca="1" si="9"/>
        <v>16.666666666666664</v>
      </c>
      <c r="AA569">
        <f ca="1">IF(T_EMPLOYEES[[#This Row],[EMPLOYEE NUMBER]]="","",ROW(T_EMPLOYEES[[#This Row],[EMPLOYEE LABEL]])-ROW(T_EMPLOYEES[[#Headers],[EMPLOYEE LABEL]]))</f>
        <v>566</v>
      </c>
      <c r="AB569">
        <f ca="1">IF(T_EMPLOYEES[[#This Row],[EMPLOYEE NUMBER]]="","",IF(COUNTIF(T_EMPLOYEES[EMPLOYEE NUMBER],T_EMPLOYEES[[#This Row],[EMPLOYEE NUMBER]])&gt;1,1,0))</f>
        <v>0</v>
      </c>
      <c r="AC569">
        <f ca="1">IF(T_EMPLOYEES[[#This Row],[EMPLOYEE NUMBER]]="","",IF(AND(T_EMPLOYEES[[#This Row],[DATE OF BIRTH]]&gt;0,T_EMPLOYEES[[#This Row],[DATE OF BIRTH]]&lt;TODAY()),0,1))</f>
        <v>0</v>
      </c>
      <c r="AD569">
        <f ca="1">IF(T_EMPLOYEES[[#This Row],[EMPLOYEE NUMBER]]="","",IF(AND(T_EMPLOYEES[[#This Row],[START DATE]]&gt;0,T_EMPLOYEES[[#This Row],[START DATE]]&lt;TODAY()+60),0,1))</f>
        <v>0</v>
      </c>
      <c r="AE569">
        <f ca="1">IF(T_EMPLOYEES[[#This Row],[EMPLOYEE NUMBER]]="","",MATCH(T_EMPLOYEES[[#This Row],[GENDER]],L_GENDER,0))</f>
        <v>1</v>
      </c>
      <c r="AF569">
        <f ca="1">IF(T_EMPLOYEES[[#This Row],[EMPLOYEE NUMBER]]="","",MATCH(T_EMPLOYEES[[#This Row],[HIRE SOURCE]],L_HIRESOURCE,0))</f>
        <v>4</v>
      </c>
      <c r="AG569">
        <f ca="1">IF(T_EMPLOYEES[[#This Row],[EMPLOYEE NUMBER]]="","",MATCH(T_EMPLOYEES[[#This Row],[ETHNICITY]],L_ETHNICITY,0))</f>
        <v>3</v>
      </c>
      <c r="AH569">
        <f ca="1">IF(T_EMPLOYEES[[#This Row],[EMPLOYEE NUMBER]]="","",MATCH(T_EMPLOYEES[[#This Row],[LOCATION]],L_LOCATION,0))</f>
        <v>1</v>
      </c>
      <c r="AI569">
        <f ca="1">IF(T_EMPLOYEES[[#This Row],[EMPLOYEE NUMBER]]="","",MATCH(T_EMPLOYEES[[#This Row],[DEPARTMENT]],L_DEPARTMENT,0))</f>
        <v>11</v>
      </c>
      <c r="AJ569">
        <f ca="1">IF(T_EMPLOYEES[[#This Row],[EMPLOYEE NUMBER]]="","",MATCH(T_EMPLOYEES[[#This Row],[JOB TYPE]],L_JOBTYPE,0))</f>
        <v>2</v>
      </c>
      <c r="AK569">
        <f ca="1">IF(T_EMPLOYEES[[#This Row],[EMPLOYEE NUMBER]]="","",MATCH(T_EMPLOYEES[[#This Row],[JOB CATEGORY]],L_JOBCATEGORY,0))</f>
        <v>30</v>
      </c>
      <c r="AL569">
        <f ca="1">IF(T_EMPLOYEES[[#This Row],[EMPLOYEE NUMBER]]="","",MATCH(T_EMPLOYEES[[#This Row],[JOB LEVEL]],L_JOBLEVEL,0))</f>
        <v>1</v>
      </c>
      <c r="AM569">
        <f ca="1">IF(T_EMPLOYEES[[#This Row],[EMPLOYEE NUMBER]]="","",MATCH(T_EMPLOYEES[[#This Row],[JOB TITLE]],L_JOBTITLE,0))</f>
        <v>30</v>
      </c>
      <c r="AN569">
        <f ca="1">IF(T_EMPLOYEES[[#This Row],[EMPLOYEE NUMBER]]="","",MATCH(T_EMPLOYEES[[#This Row],[MANAGER]],L_EMPLABELS,0))</f>
        <v>56</v>
      </c>
      <c r="AO569">
        <f ca="1">IF(T_EMPLOYEES[[#This Row],[EMPLOYEE NUMBER]]="","",IF(T_EMPLOYEES[[#This Row],[ERROR]]="",0,1))</f>
        <v>0</v>
      </c>
      <c r="AP56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0" spans="1:42">
      <c r="A570" t="s">
        <v>1772</v>
      </c>
      <c r="B570" t="s">
        <v>1773</v>
      </c>
      <c r="C570">
        <v>1033272</v>
      </c>
      <c r="D570" t="s">
        <v>1774</v>
      </c>
      <c r="E570" s="26">
        <v>37268</v>
      </c>
      <c r="F570" s="26">
        <v>45155</v>
      </c>
      <c r="H570" t="s">
        <v>40</v>
      </c>
      <c r="I570" t="s">
        <v>54</v>
      </c>
      <c r="J570" t="s">
        <v>64</v>
      </c>
      <c r="K570" t="s">
        <v>43</v>
      </c>
      <c r="L570" s="27" t="s">
        <v>45</v>
      </c>
      <c r="M570" t="s">
        <v>46</v>
      </c>
      <c r="N570" t="s">
        <v>151</v>
      </c>
      <c r="O570" t="s">
        <v>36</v>
      </c>
      <c r="P570" t="s">
        <v>151</v>
      </c>
      <c r="Q570" t="s">
        <v>1522</v>
      </c>
      <c r="R570" s="27">
        <v>0</v>
      </c>
      <c r="S570" s="1">
        <v>1200000</v>
      </c>
      <c r="T570" s="1">
        <f ca="1">ROUND(T_EMPLOYEES[[#This Row],[EMP_CTC1]]/12, 0)</f>
        <v>100000</v>
      </c>
      <c r="U570" s="1">
        <v>1000000</v>
      </c>
      <c r="V570" s="1" t="s">
        <v>207</v>
      </c>
      <c r="W570" s="1" t="s">
        <v>207</v>
      </c>
      <c r="X57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Mekala Archutha (1033272)</v>
      </c>
      <c r="Y570">
        <v>120000</v>
      </c>
      <c r="Z570" s="29">
        <f t="shared" ca="1" si="9"/>
        <v>16.666666666666664</v>
      </c>
      <c r="AA570">
        <f ca="1">IF(T_EMPLOYEES[[#This Row],[EMPLOYEE NUMBER]]="","",ROW(T_EMPLOYEES[[#This Row],[EMPLOYEE LABEL]])-ROW(T_EMPLOYEES[[#Headers],[EMPLOYEE LABEL]]))</f>
        <v>567</v>
      </c>
      <c r="AB570">
        <f ca="1">IF(T_EMPLOYEES[[#This Row],[EMPLOYEE NUMBER]]="","",IF(COUNTIF(T_EMPLOYEES[EMPLOYEE NUMBER],T_EMPLOYEES[[#This Row],[EMPLOYEE NUMBER]])&gt;1,1,0))</f>
        <v>0</v>
      </c>
      <c r="AC570">
        <f ca="1">IF(T_EMPLOYEES[[#This Row],[EMPLOYEE NUMBER]]="","",IF(AND(T_EMPLOYEES[[#This Row],[DATE OF BIRTH]]&gt;0,T_EMPLOYEES[[#This Row],[DATE OF BIRTH]]&lt;TODAY()),0,1))</f>
        <v>0</v>
      </c>
      <c r="AD570">
        <f ca="1">IF(T_EMPLOYEES[[#This Row],[EMPLOYEE NUMBER]]="","",IF(AND(T_EMPLOYEES[[#This Row],[START DATE]]&gt;0,T_EMPLOYEES[[#This Row],[START DATE]]&lt;TODAY()+60),0,1))</f>
        <v>0</v>
      </c>
      <c r="AE570">
        <f ca="1">IF(T_EMPLOYEES[[#This Row],[EMPLOYEE NUMBER]]="","",MATCH(T_EMPLOYEES[[#This Row],[GENDER]],L_GENDER,0))</f>
        <v>2</v>
      </c>
      <c r="AF570">
        <f ca="1">IF(T_EMPLOYEES[[#This Row],[EMPLOYEE NUMBER]]="","",MATCH(T_EMPLOYEES[[#This Row],[HIRE SOURCE]],L_HIRESOURCE,0))</f>
        <v>4</v>
      </c>
      <c r="AG570">
        <f ca="1">IF(T_EMPLOYEES[[#This Row],[EMPLOYEE NUMBER]]="","",MATCH(T_EMPLOYEES[[#This Row],[ETHNICITY]],L_ETHNICITY,0))</f>
        <v>3</v>
      </c>
      <c r="AH570">
        <f ca="1">IF(T_EMPLOYEES[[#This Row],[EMPLOYEE NUMBER]]="","",MATCH(T_EMPLOYEES[[#This Row],[LOCATION]],L_LOCATION,0))</f>
        <v>2</v>
      </c>
      <c r="AI570">
        <f ca="1">IF(T_EMPLOYEES[[#This Row],[EMPLOYEE NUMBER]]="","",MATCH(T_EMPLOYEES[[#This Row],[DEPARTMENT]],L_DEPARTMENT,0))</f>
        <v>2</v>
      </c>
      <c r="AJ570">
        <f ca="1">IF(T_EMPLOYEES[[#This Row],[EMPLOYEE NUMBER]]="","",MATCH(T_EMPLOYEES[[#This Row],[JOB TYPE]],L_JOBTYPE,0))</f>
        <v>2</v>
      </c>
      <c r="AK570">
        <f ca="1">IF(T_EMPLOYEES[[#This Row],[EMPLOYEE NUMBER]]="","",MATCH(T_EMPLOYEES[[#This Row],[JOB CATEGORY]],L_JOBCATEGORY,0))</f>
        <v>30</v>
      </c>
      <c r="AL570">
        <f ca="1">IF(T_EMPLOYEES[[#This Row],[EMPLOYEE NUMBER]]="","",MATCH(T_EMPLOYEES[[#This Row],[JOB LEVEL]],L_JOBLEVEL,0))</f>
        <v>1</v>
      </c>
      <c r="AM570">
        <f ca="1">IF(T_EMPLOYEES[[#This Row],[EMPLOYEE NUMBER]]="","",MATCH(T_EMPLOYEES[[#This Row],[JOB TITLE]],L_JOBTITLE,0))</f>
        <v>30</v>
      </c>
      <c r="AN570">
        <f ca="1">IF(T_EMPLOYEES[[#This Row],[EMPLOYEE NUMBER]]="","",MATCH(T_EMPLOYEES[[#This Row],[MANAGER]],L_EMPLABELS,0))</f>
        <v>38</v>
      </c>
      <c r="AO570">
        <f ca="1">IF(T_EMPLOYEES[[#This Row],[EMPLOYEE NUMBER]]="","",IF(T_EMPLOYEES[[#This Row],[ERROR]]="",0,1))</f>
        <v>0</v>
      </c>
      <c r="AP57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1" spans="1:42">
      <c r="A571" t="s">
        <v>550</v>
      </c>
      <c r="B571" t="s">
        <v>293</v>
      </c>
      <c r="C571">
        <v>1033229</v>
      </c>
      <c r="D571" t="s">
        <v>1775</v>
      </c>
      <c r="E571" s="26">
        <v>37293</v>
      </c>
      <c r="F571" s="26">
        <v>45155</v>
      </c>
      <c r="H571" t="s">
        <v>27</v>
      </c>
      <c r="I571" t="s">
        <v>54</v>
      </c>
      <c r="J571" t="s">
        <v>64</v>
      </c>
      <c r="K571" t="s">
        <v>30</v>
      </c>
      <c r="L571" s="27" t="s">
        <v>114</v>
      </c>
      <c r="M571" t="s">
        <v>46</v>
      </c>
      <c r="N571" t="s">
        <v>151</v>
      </c>
      <c r="O571" t="s">
        <v>36</v>
      </c>
      <c r="P571" t="s">
        <v>151</v>
      </c>
      <c r="Q571" t="s">
        <v>206</v>
      </c>
      <c r="R571">
        <v>0</v>
      </c>
      <c r="S571" s="1">
        <v>1200000</v>
      </c>
      <c r="T571" s="1">
        <f ca="1">ROUND(T_EMPLOYEES[[#This Row],[EMP_CTC1]]/12, 0)</f>
        <v>100000</v>
      </c>
      <c r="U571" s="1">
        <v>1000000</v>
      </c>
      <c r="V571" s="1" t="s">
        <v>207</v>
      </c>
      <c r="W571" s="1" t="s">
        <v>207</v>
      </c>
      <c r="X57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Abhishek Kumar (1033229)</v>
      </c>
      <c r="Y571">
        <v>120000</v>
      </c>
      <c r="Z571" s="29">
        <f t="shared" ca="1" si="9"/>
        <v>16.666666666666664</v>
      </c>
      <c r="AA571">
        <f ca="1">IF(T_EMPLOYEES[[#This Row],[EMPLOYEE NUMBER]]="","",ROW(T_EMPLOYEES[[#This Row],[EMPLOYEE LABEL]])-ROW(T_EMPLOYEES[[#Headers],[EMPLOYEE LABEL]]))</f>
        <v>568</v>
      </c>
      <c r="AB571">
        <f ca="1">IF(T_EMPLOYEES[[#This Row],[EMPLOYEE NUMBER]]="","",IF(COUNTIF(T_EMPLOYEES[EMPLOYEE NUMBER],T_EMPLOYEES[[#This Row],[EMPLOYEE NUMBER]])&gt;1,1,0))</f>
        <v>0</v>
      </c>
      <c r="AC571">
        <f ca="1">IF(T_EMPLOYEES[[#This Row],[EMPLOYEE NUMBER]]="","",IF(AND(T_EMPLOYEES[[#This Row],[DATE OF BIRTH]]&gt;0,T_EMPLOYEES[[#This Row],[DATE OF BIRTH]]&lt;TODAY()),0,1))</f>
        <v>0</v>
      </c>
      <c r="AD571">
        <f ca="1">IF(T_EMPLOYEES[[#This Row],[EMPLOYEE NUMBER]]="","",IF(AND(T_EMPLOYEES[[#This Row],[START DATE]]&gt;0,T_EMPLOYEES[[#This Row],[START DATE]]&lt;TODAY()+60),0,1))</f>
        <v>0</v>
      </c>
      <c r="AE571">
        <f ca="1">IF(T_EMPLOYEES[[#This Row],[EMPLOYEE NUMBER]]="","",MATCH(T_EMPLOYEES[[#This Row],[GENDER]],L_GENDER,0))</f>
        <v>1</v>
      </c>
      <c r="AF571">
        <f ca="1">IF(T_EMPLOYEES[[#This Row],[EMPLOYEE NUMBER]]="","",MATCH(T_EMPLOYEES[[#This Row],[HIRE SOURCE]],L_HIRESOURCE,0))</f>
        <v>4</v>
      </c>
      <c r="AG571">
        <f ca="1">IF(T_EMPLOYEES[[#This Row],[EMPLOYEE NUMBER]]="","",MATCH(T_EMPLOYEES[[#This Row],[ETHNICITY]],L_ETHNICITY,0))</f>
        <v>3</v>
      </c>
      <c r="AH571">
        <f ca="1">IF(T_EMPLOYEES[[#This Row],[EMPLOYEE NUMBER]]="","",MATCH(T_EMPLOYEES[[#This Row],[LOCATION]],L_LOCATION,0))</f>
        <v>1</v>
      </c>
      <c r="AI571">
        <f ca="1">IF(T_EMPLOYEES[[#This Row],[EMPLOYEE NUMBER]]="","",MATCH(T_EMPLOYEES[[#This Row],[DEPARTMENT]],L_DEPARTMENT,0))</f>
        <v>11</v>
      </c>
      <c r="AJ571">
        <f ca="1">IF(T_EMPLOYEES[[#This Row],[EMPLOYEE NUMBER]]="","",MATCH(T_EMPLOYEES[[#This Row],[JOB TYPE]],L_JOBTYPE,0))</f>
        <v>2</v>
      </c>
      <c r="AK571">
        <f ca="1">IF(T_EMPLOYEES[[#This Row],[EMPLOYEE NUMBER]]="","",MATCH(T_EMPLOYEES[[#This Row],[JOB CATEGORY]],L_JOBCATEGORY,0))</f>
        <v>30</v>
      </c>
      <c r="AL571">
        <f ca="1">IF(T_EMPLOYEES[[#This Row],[EMPLOYEE NUMBER]]="","",MATCH(T_EMPLOYEES[[#This Row],[JOB LEVEL]],L_JOBLEVEL,0))</f>
        <v>1</v>
      </c>
      <c r="AM571">
        <f ca="1">IF(T_EMPLOYEES[[#This Row],[EMPLOYEE NUMBER]]="","",MATCH(T_EMPLOYEES[[#This Row],[JOB TITLE]],L_JOBTITLE,0))</f>
        <v>30</v>
      </c>
      <c r="AN571">
        <f ca="1">IF(T_EMPLOYEES[[#This Row],[EMPLOYEE NUMBER]]="","",MATCH(T_EMPLOYEES[[#This Row],[MANAGER]],L_EMPLABELS,0))</f>
        <v>6</v>
      </c>
      <c r="AO571">
        <f ca="1">IF(T_EMPLOYEES[[#This Row],[EMPLOYEE NUMBER]]="","",IF(T_EMPLOYEES[[#This Row],[ERROR]]="",0,1))</f>
        <v>0</v>
      </c>
      <c r="AP57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2" spans="1:42">
      <c r="A572" t="s">
        <v>1776</v>
      </c>
      <c r="B572" t="s">
        <v>1062</v>
      </c>
      <c r="C572">
        <v>1033267</v>
      </c>
      <c r="D572" t="s">
        <v>1777</v>
      </c>
      <c r="E572" s="26">
        <v>37294</v>
      </c>
      <c r="F572" s="26">
        <v>45155</v>
      </c>
      <c r="H572" t="s">
        <v>27</v>
      </c>
      <c r="I572" t="s">
        <v>54</v>
      </c>
      <c r="J572" t="s">
        <v>64</v>
      </c>
      <c r="K572" t="s">
        <v>30</v>
      </c>
      <c r="L572" s="27" t="s">
        <v>114</v>
      </c>
      <c r="M572" t="s">
        <v>46</v>
      </c>
      <c r="N572" t="s">
        <v>151</v>
      </c>
      <c r="O572" t="s">
        <v>36</v>
      </c>
      <c r="P572" t="s">
        <v>151</v>
      </c>
      <c r="Q572" t="s">
        <v>468</v>
      </c>
      <c r="R572" s="27">
        <v>0</v>
      </c>
      <c r="S572" s="1">
        <v>1200000</v>
      </c>
      <c r="T572" s="1">
        <f ca="1">ROUND(T_EMPLOYEES[[#This Row],[EMP_CTC1]]/12, 0)</f>
        <v>100000</v>
      </c>
      <c r="U572" s="1">
        <v>1000000</v>
      </c>
      <c r="V572" s="1" t="s">
        <v>207</v>
      </c>
      <c r="W572" s="1" t="s">
        <v>207</v>
      </c>
      <c r="X57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Murupoju Rajesh (1033267)</v>
      </c>
      <c r="Y572">
        <v>120000</v>
      </c>
      <c r="Z572" s="29">
        <f t="shared" ca="1" si="9"/>
        <v>16.666666666666664</v>
      </c>
      <c r="AA572">
        <f ca="1">IF(T_EMPLOYEES[[#This Row],[EMPLOYEE NUMBER]]="","",ROW(T_EMPLOYEES[[#This Row],[EMPLOYEE LABEL]])-ROW(T_EMPLOYEES[[#Headers],[EMPLOYEE LABEL]]))</f>
        <v>569</v>
      </c>
      <c r="AB572">
        <f ca="1">IF(T_EMPLOYEES[[#This Row],[EMPLOYEE NUMBER]]="","",IF(COUNTIF(T_EMPLOYEES[EMPLOYEE NUMBER],T_EMPLOYEES[[#This Row],[EMPLOYEE NUMBER]])&gt;1,1,0))</f>
        <v>0</v>
      </c>
      <c r="AC572">
        <f ca="1">IF(T_EMPLOYEES[[#This Row],[EMPLOYEE NUMBER]]="","",IF(AND(T_EMPLOYEES[[#This Row],[DATE OF BIRTH]]&gt;0,T_EMPLOYEES[[#This Row],[DATE OF BIRTH]]&lt;TODAY()),0,1))</f>
        <v>0</v>
      </c>
      <c r="AD572">
        <f ca="1">IF(T_EMPLOYEES[[#This Row],[EMPLOYEE NUMBER]]="","",IF(AND(T_EMPLOYEES[[#This Row],[START DATE]]&gt;0,T_EMPLOYEES[[#This Row],[START DATE]]&lt;TODAY()+60),0,1))</f>
        <v>0</v>
      </c>
      <c r="AE572">
        <f ca="1">IF(T_EMPLOYEES[[#This Row],[EMPLOYEE NUMBER]]="","",MATCH(T_EMPLOYEES[[#This Row],[GENDER]],L_GENDER,0))</f>
        <v>1</v>
      </c>
      <c r="AF572">
        <f ca="1">IF(T_EMPLOYEES[[#This Row],[EMPLOYEE NUMBER]]="","",MATCH(T_EMPLOYEES[[#This Row],[HIRE SOURCE]],L_HIRESOURCE,0))</f>
        <v>4</v>
      </c>
      <c r="AG572">
        <f ca="1">IF(T_EMPLOYEES[[#This Row],[EMPLOYEE NUMBER]]="","",MATCH(T_EMPLOYEES[[#This Row],[ETHNICITY]],L_ETHNICITY,0))</f>
        <v>3</v>
      </c>
      <c r="AH572">
        <f ca="1">IF(T_EMPLOYEES[[#This Row],[EMPLOYEE NUMBER]]="","",MATCH(T_EMPLOYEES[[#This Row],[LOCATION]],L_LOCATION,0))</f>
        <v>1</v>
      </c>
      <c r="AI572">
        <f ca="1">IF(T_EMPLOYEES[[#This Row],[EMPLOYEE NUMBER]]="","",MATCH(T_EMPLOYEES[[#This Row],[DEPARTMENT]],L_DEPARTMENT,0))</f>
        <v>11</v>
      </c>
      <c r="AJ572">
        <f ca="1">IF(T_EMPLOYEES[[#This Row],[EMPLOYEE NUMBER]]="","",MATCH(T_EMPLOYEES[[#This Row],[JOB TYPE]],L_JOBTYPE,0))</f>
        <v>2</v>
      </c>
      <c r="AK572">
        <f ca="1">IF(T_EMPLOYEES[[#This Row],[EMPLOYEE NUMBER]]="","",MATCH(T_EMPLOYEES[[#This Row],[JOB CATEGORY]],L_JOBCATEGORY,0))</f>
        <v>30</v>
      </c>
      <c r="AL572">
        <f ca="1">IF(T_EMPLOYEES[[#This Row],[EMPLOYEE NUMBER]]="","",MATCH(T_EMPLOYEES[[#This Row],[JOB LEVEL]],L_JOBLEVEL,0))</f>
        <v>1</v>
      </c>
      <c r="AM572">
        <f ca="1">IF(T_EMPLOYEES[[#This Row],[EMPLOYEE NUMBER]]="","",MATCH(T_EMPLOYEES[[#This Row],[JOB TITLE]],L_JOBTITLE,0))</f>
        <v>30</v>
      </c>
      <c r="AN572">
        <f ca="1">IF(T_EMPLOYEES[[#This Row],[EMPLOYEE NUMBER]]="","",MATCH(T_EMPLOYEES[[#This Row],[MANAGER]],L_EMPLABELS,0))</f>
        <v>56</v>
      </c>
      <c r="AO572">
        <f ca="1">IF(T_EMPLOYEES[[#This Row],[EMPLOYEE NUMBER]]="","",IF(T_EMPLOYEES[[#This Row],[ERROR]]="",0,1))</f>
        <v>0</v>
      </c>
      <c r="AP57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3" spans="1:42">
      <c r="A573" t="s">
        <v>676</v>
      </c>
      <c r="B573" t="s">
        <v>1778</v>
      </c>
      <c r="C573">
        <v>1033220</v>
      </c>
      <c r="D573" t="s">
        <v>1779</v>
      </c>
      <c r="E573" s="26">
        <v>37296</v>
      </c>
      <c r="F573" s="26">
        <v>45155</v>
      </c>
      <c r="H573" t="s">
        <v>27</v>
      </c>
      <c r="I573" t="s">
        <v>54</v>
      </c>
      <c r="J573" t="s">
        <v>64</v>
      </c>
      <c r="K573" t="s">
        <v>55</v>
      </c>
      <c r="L573" s="27" t="s">
        <v>114</v>
      </c>
      <c r="M573" t="s">
        <v>46</v>
      </c>
      <c r="N573" t="s">
        <v>151</v>
      </c>
      <c r="O573" t="s">
        <v>36</v>
      </c>
      <c r="P573" t="s">
        <v>151</v>
      </c>
      <c r="Q573" t="s">
        <v>468</v>
      </c>
      <c r="R573">
        <v>0</v>
      </c>
      <c r="S573" s="1">
        <v>1200000</v>
      </c>
      <c r="T573" s="1">
        <f ca="1">ROUND(T_EMPLOYEES[[#This Row],[EMP_CTC1]]/12, 0)</f>
        <v>100000</v>
      </c>
      <c r="U573" s="1">
        <v>1000000</v>
      </c>
      <c r="V573" s="1" t="s">
        <v>207</v>
      </c>
      <c r="W573" s="1" t="s">
        <v>207</v>
      </c>
      <c r="X57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Rahul Raman Dash (1033220)</v>
      </c>
      <c r="Y573">
        <v>120000</v>
      </c>
      <c r="Z573" s="29">
        <f t="shared" ca="1" si="9"/>
        <v>16.666666666666664</v>
      </c>
      <c r="AA573">
        <f ca="1">IF(T_EMPLOYEES[[#This Row],[EMPLOYEE NUMBER]]="","",ROW(T_EMPLOYEES[[#This Row],[EMPLOYEE LABEL]])-ROW(T_EMPLOYEES[[#Headers],[EMPLOYEE LABEL]]))</f>
        <v>570</v>
      </c>
      <c r="AB573">
        <f ca="1">IF(T_EMPLOYEES[[#This Row],[EMPLOYEE NUMBER]]="","",IF(COUNTIF(T_EMPLOYEES[EMPLOYEE NUMBER],T_EMPLOYEES[[#This Row],[EMPLOYEE NUMBER]])&gt;1,1,0))</f>
        <v>0</v>
      </c>
      <c r="AC573">
        <f ca="1">IF(T_EMPLOYEES[[#This Row],[EMPLOYEE NUMBER]]="","",IF(AND(T_EMPLOYEES[[#This Row],[DATE OF BIRTH]]&gt;0,T_EMPLOYEES[[#This Row],[DATE OF BIRTH]]&lt;TODAY()),0,1))</f>
        <v>0</v>
      </c>
      <c r="AD573">
        <f ca="1">IF(T_EMPLOYEES[[#This Row],[EMPLOYEE NUMBER]]="","",IF(AND(T_EMPLOYEES[[#This Row],[START DATE]]&gt;0,T_EMPLOYEES[[#This Row],[START DATE]]&lt;TODAY()+60),0,1))</f>
        <v>0</v>
      </c>
      <c r="AE573">
        <f ca="1">IF(T_EMPLOYEES[[#This Row],[EMPLOYEE NUMBER]]="","",MATCH(T_EMPLOYEES[[#This Row],[GENDER]],L_GENDER,0))</f>
        <v>1</v>
      </c>
      <c r="AF573">
        <f ca="1">IF(T_EMPLOYEES[[#This Row],[EMPLOYEE NUMBER]]="","",MATCH(T_EMPLOYEES[[#This Row],[HIRE SOURCE]],L_HIRESOURCE,0))</f>
        <v>4</v>
      </c>
      <c r="AG573">
        <f ca="1">IF(T_EMPLOYEES[[#This Row],[EMPLOYEE NUMBER]]="","",MATCH(T_EMPLOYEES[[#This Row],[ETHNICITY]],L_ETHNICITY,0))</f>
        <v>3</v>
      </c>
      <c r="AH573">
        <f ca="1">IF(T_EMPLOYEES[[#This Row],[EMPLOYEE NUMBER]]="","",MATCH(T_EMPLOYEES[[#This Row],[LOCATION]],L_LOCATION,0))</f>
        <v>3</v>
      </c>
      <c r="AI573">
        <f ca="1">IF(T_EMPLOYEES[[#This Row],[EMPLOYEE NUMBER]]="","",MATCH(T_EMPLOYEES[[#This Row],[DEPARTMENT]],L_DEPARTMENT,0))</f>
        <v>11</v>
      </c>
      <c r="AJ573">
        <f ca="1">IF(T_EMPLOYEES[[#This Row],[EMPLOYEE NUMBER]]="","",MATCH(T_EMPLOYEES[[#This Row],[JOB TYPE]],L_JOBTYPE,0))</f>
        <v>2</v>
      </c>
      <c r="AK573">
        <f ca="1">IF(T_EMPLOYEES[[#This Row],[EMPLOYEE NUMBER]]="","",MATCH(T_EMPLOYEES[[#This Row],[JOB CATEGORY]],L_JOBCATEGORY,0))</f>
        <v>30</v>
      </c>
      <c r="AL573">
        <f ca="1">IF(T_EMPLOYEES[[#This Row],[EMPLOYEE NUMBER]]="","",MATCH(T_EMPLOYEES[[#This Row],[JOB LEVEL]],L_JOBLEVEL,0))</f>
        <v>1</v>
      </c>
      <c r="AM573">
        <f ca="1">IF(T_EMPLOYEES[[#This Row],[EMPLOYEE NUMBER]]="","",MATCH(T_EMPLOYEES[[#This Row],[JOB TITLE]],L_JOBTITLE,0))</f>
        <v>30</v>
      </c>
      <c r="AN573">
        <f ca="1">IF(T_EMPLOYEES[[#This Row],[EMPLOYEE NUMBER]]="","",MATCH(T_EMPLOYEES[[#This Row],[MANAGER]],L_EMPLABELS,0))</f>
        <v>56</v>
      </c>
      <c r="AO573">
        <f ca="1">IF(T_EMPLOYEES[[#This Row],[EMPLOYEE NUMBER]]="","",IF(T_EMPLOYEES[[#This Row],[ERROR]]="",0,1))</f>
        <v>0</v>
      </c>
      <c r="AP57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4" spans="1:42">
      <c r="A574" t="s">
        <v>1780</v>
      </c>
      <c r="B574" t="s">
        <v>1781</v>
      </c>
      <c r="C574">
        <v>1033224</v>
      </c>
      <c r="D574" t="s">
        <v>1782</v>
      </c>
      <c r="E574" s="26">
        <v>37302</v>
      </c>
      <c r="F574" s="26">
        <v>45155</v>
      </c>
      <c r="H574" t="s">
        <v>27</v>
      </c>
      <c r="I574" t="s">
        <v>54</v>
      </c>
      <c r="J574" t="s">
        <v>64</v>
      </c>
      <c r="K574" t="s">
        <v>30</v>
      </c>
      <c r="L574" s="27" t="s">
        <v>114</v>
      </c>
      <c r="M574" t="s">
        <v>46</v>
      </c>
      <c r="N574" t="s">
        <v>151</v>
      </c>
      <c r="O574" t="s">
        <v>36</v>
      </c>
      <c r="P574" t="s">
        <v>151</v>
      </c>
      <c r="Q574" t="s">
        <v>206</v>
      </c>
      <c r="R574" s="27">
        <v>0</v>
      </c>
      <c r="S574" s="1">
        <v>1200000</v>
      </c>
      <c r="T574" s="1">
        <f ca="1">ROUND(T_EMPLOYEES[[#This Row],[EMP_CTC1]]/12, 0)</f>
        <v>100000</v>
      </c>
      <c r="U574" s="1">
        <v>1000000</v>
      </c>
      <c r="V574" s="1" t="s">
        <v>207</v>
      </c>
      <c r="W574" s="1" t="s">
        <v>207</v>
      </c>
      <c r="X57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Nitish Kumar Nayak (1033224)</v>
      </c>
      <c r="Y574">
        <v>120000</v>
      </c>
      <c r="Z574" s="29">
        <f t="shared" ca="1" si="9"/>
        <v>16.666666666666664</v>
      </c>
      <c r="AA574">
        <f ca="1">IF(T_EMPLOYEES[[#This Row],[EMPLOYEE NUMBER]]="","",ROW(T_EMPLOYEES[[#This Row],[EMPLOYEE LABEL]])-ROW(T_EMPLOYEES[[#Headers],[EMPLOYEE LABEL]]))</f>
        <v>571</v>
      </c>
      <c r="AB574">
        <f ca="1">IF(T_EMPLOYEES[[#This Row],[EMPLOYEE NUMBER]]="","",IF(COUNTIF(T_EMPLOYEES[EMPLOYEE NUMBER],T_EMPLOYEES[[#This Row],[EMPLOYEE NUMBER]])&gt;1,1,0))</f>
        <v>0</v>
      </c>
      <c r="AC574">
        <f ca="1">IF(T_EMPLOYEES[[#This Row],[EMPLOYEE NUMBER]]="","",IF(AND(T_EMPLOYEES[[#This Row],[DATE OF BIRTH]]&gt;0,T_EMPLOYEES[[#This Row],[DATE OF BIRTH]]&lt;TODAY()),0,1))</f>
        <v>0</v>
      </c>
      <c r="AD574">
        <f ca="1">IF(T_EMPLOYEES[[#This Row],[EMPLOYEE NUMBER]]="","",IF(AND(T_EMPLOYEES[[#This Row],[START DATE]]&gt;0,T_EMPLOYEES[[#This Row],[START DATE]]&lt;TODAY()+60),0,1))</f>
        <v>0</v>
      </c>
      <c r="AE574">
        <f ca="1">IF(T_EMPLOYEES[[#This Row],[EMPLOYEE NUMBER]]="","",MATCH(T_EMPLOYEES[[#This Row],[GENDER]],L_GENDER,0))</f>
        <v>1</v>
      </c>
      <c r="AF574">
        <f ca="1">IF(T_EMPLOYEES[[#This Row],[EMPLOYEE NUMBER]]="","",MATCH(T_EMPLOYEES[[#This Row],[HIRE SOURCE]],L_HIRESOURCE,0))</f>
        <v>4</v>
      </c>
      <c r="AG574">
        <f ca="1">IF(T_EMPLOYEES[[#This Row],[EMPLOYEE NUMBER]]="","",MATCH(T_EMPLOYEES[[#This Row],[ETHNICITY]],L_ETHNICITY,0))</f>
        <v>3</v>
      </c>
      <c r="AH574">
        <f ca="1">IF(T_EMPLOYEES[[#This Row],[EMPLOYEE NUMBER]]="","",MATCH(T_EMPLOYEES[[#This Row],[LOCATION]],L_LOCATION,0))</f>
        <v>1</v>
      </c>
      <c r="AI574">
        <f ca="1">IF(T_EMPLOYEES[[#This Row],[EMPLOYEE NUMBER]]="","",MATCH(T_EMPLOYEES[[#This Row],[DEPARTMENT]],L_DEPARTMENT,0))</f>
        <v>11</v>
      </c>
      <c r="AJ574">
        <f ca="1">IF(T_EMPLOYEES[[#This Row],[EMPLOYEE NUMBER]]="","",MATCH(T_EMPLOYEES[[#This Row],[JOB TYPE]],L_JOBTYPE,0))</f>
        <v>2</v>
      </c>
      <c r="AK574">
        <f ca="1">IF(T_EMPLOYEES[[#This Row],[EMPLOYEE NUMBER]]="","",MATCH(T_EMPLOYEES[[#This Row],[JOB CATEGORY]],L_JOBCATEGORY,0))</f>
        <v>30</v>
      </c>
      <c r="AL574">
        <f ca="1">IF(T_EMPLOYEES[[#This Row],[EMPLOYEE NUMBER]]="","",MATCH(T_EMPLOYEES[[#This Row],[JOB LEVEL]],L_JOBLEVEL,0))</f>
        <v>1</v>
      </c>
      <c r="AM574">
        <f ca="1">IF(T_EMPLOYEES[[#This Row],[EMPLOYEE NUMBER]]="","",MATCH(T_EMPLOYEES[[#This Row],[JOB TITLE]],L_JOBTITLE,0))</f>
        <v>30</v>
      </c>
      <c r="AN574">
        <f ca="1">IF(T_EMPLOYEES[[#This Row],[EMPLOYEE NUMBER]]="","",MATCH(T_EMPLOYEES[[#This Row],[MANAGER]],L_EMPLABELS,0))</f>
        <v>6</v>
      </c>
      <c r="AO574">
        <f ca="1">IF(T_EMPLOYEES[[#This Row],[EMPLOYEE NUMBER]]="","",IF(T_EMPLOYEES[[#This Row],[ERROR]]="",0,1))</f>
        <v>0</v>
      </c>
      <c r="AP57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5" spans="1:42">
      <c r="A575" t="s">
        <v>1783</v>
      </c>
      <c r="B575" t="s">
        <v>1784</v>
      </c>
      <c r="C575">
        <v>1033271</v>
      </c>
      <c r="D575" t="s">
        <v>1785</v>
      </c>
      <c r="E575" s="26">
        <v>37324</v>
      </c>
      <c r="F575" s="26">
        <v>45155</v>
      </c>
      <c r="H575" t="s">
        <v>40</v>
      </c>
      <c r="I575" t="s">
        <v>54</v>
      </c>
      <c r="J575" t="s">
        <v>64</v>
      </c>
      <c r="K575" t="s">
        <v>55</v>
      </c>
      <c r="L575" s="27" t="s">
        <v>118</v>
      </c>
      <c r="M575" t="s">
        <v>46</v>
      </c>
      <c r="N575" t="s">
        <v>151</v>
      </c>
      <c r="O575" t="s">
        <v>36</v>
      </c>
      <c r="P575" t="s">
        <v>151</v>
      </c>
      <c r="Q575" t="s">
        <v>353</v>
      </c>
      <c r="R575">
        <v>0</v>
      </c>
      <c r="S575" s="1">
        <v>1200000</v>
      </c>
      <c r="T575" s="1">
        <f ca="1">ROUND(T_EMPLOYEES[[#This Row],[EMP_CTC1]]/12, 0)</f>
        <v>100000</v>
      </c>
      <c r="U575" s="1">
        <v>1000000</v>
      </c>
      <c r="V575" s="1" t="s">
        <v>207</v>
      </c>
      <c r="W575" s="1" t="s">
        <v>207</v>
      </c>
      <c r="X57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Kotha Manosree (1033271)</v>
      </c>
      <c r="Y575">
        <v>120000</v>
      </c>
      <c r="Z575" s="29">
        <f t="shared" ca="1" si="9"/>
        <v>16.666666666666664</v>
      </c>
      <c r="AA575">
        <f ca="1">IF(T_EMPLOYEES[[#This Row],[EMPLOYEE NUMBER]]="","",ROW(T_EMPLOYEES[[#This Row],[EMPLOYEE LABEL]])-ROW(T_EMPLOYEES[[#Headers],[EMPLOYEE LABEL]]))</f>
        <v>572</v>
      </c>
      <c r="AB575">
        <f ca="1">IF(T_EMPLOYEES[[#This Row],[EMPLOYEE NUMBER]]="","",IF(COUNTIF(T_EMPLOYEES[EMPLOYEE NUMBER],T_EMPLOYEES[[#This Row],[EMPLOYEE NUMBER]])&gt;1,1,0))</f>
        <v>0</v>
      </c>
      <c r="AC575">
        <f ca="1">IF(T_EMPLOYEES[[#This Row],[EMPLOYEE NUMBER]]="","",IF(AND(T_EMPLOYEES[[#This Row],[DATE OF BIRTH]]&gt;0,T_EMPLOYEES[[#This Row],[DATE OF BIRTH]]&lt;TODAY()),0,1))</f>
        <v>0</v>
      </c>
      <c r="AD575">
        <f ca="1">IF(T_EMPLOYEES[[#This Row],[EMPLOYEE NUMBER]]="","",IF(AND(T_EMPLOYEES[[#This Row],[START DATE]]&gt;0,T_EMPLOYEES[[#This Row],[START DATE]]&lt;TODAY()+60),0,1))</f>
        <v>0</v>
      </c>
      <c r="AE575">
        <f ca="1">IF(T_EMPLOYEES[[#This Row],[EMPLOYEE NUMBER]]="","",MATCH(T_EMPLOYEES[[#This Row],[GENDER]],L_GENDER,0))</f>
        <v>2</v>
      </c>
      <c r="AF575">
        <f ca="1">IF(T_EMPLOYEES[[#This Row],[EMPLOYEE NUMBER]]="","",MATCH(T_EMPLOYEES[[#This Row],[HIRE SOURCE]],L_HIRESOURCE,0))</f>
        <v>4</v>
      </c>
      <c r="AG575">
        <f ca="1">IF(T_EMPLOYEES[[#This Row],[EMPLOYEE NUMBER]]="","",MATCH(T_EMPLOYEES[[#This Row],[ETHNICITY]],L_ETHNICITY,0))</f>
        <v>3</v>
      </c>
      <c r="AH575">
        <f ca="1">IF(T_EMPLOYEES[[#This Row],[EMPLOYEE NUMBER]]="","",MATCH(T_EMPLOYEES[[#This Row],[LOCATION]],L_LOCATION,0))</f>
        <v>3</v>
      </c>
      <c r="AI575">
        <f ca="1">IF(T_EMPLOYEES[[#This Row],[EMPLOYEE NUMBER]]="","",MATCH(T_EMPLOYEES[[#This Row],[DEPARTMENT]],L_DEPARTMENT,0))</f>
        <v>12</v>
      </c>
      <c r="AJ575">
        <f ca="1">IF(T_EMPLOYEES[[#This Row],[EMPLOYEE NUMBER]]="","",MATCH(T_EMPLOYEES[[#This Row],[JOB TYPE]],L_JOBTYPE,0))</f>
        <v>2</v>
      </c>
      <c r="AK575">
        <f ca="1">IF(T_EMPLOYEES[[#This Row],[EMPLOYEE NUMBER]]="","",MATCH(T_EMPLOYEES[[#This Row],[JOB CATEGORY]],L_JOBCATEGORY,0))</f>
        <v>30</v>
      </c>
      <c r="AL575">
        <f ca="1">IF(T_EMPLOYEES[[#This Row],[EMPLOYEE NUMBER]]="","",MATCH(T_EMPLOYEES[[#This Row],[JOB LEVEL]],L_JOBLEVEL,0))</f>
        <v>1</v>
      </c>
      <c r="AM575">
        <f ca="1">IF(T_EMPLOYEES[[#This Row],[EMPLOYEE NUMBER]]="","",MATCH(T_EMPLOYEES[[#This Row],[JOB TITLE]],L_JOBTITLE,0))</f>
        <v>30</v>
      </c>
      <c r="AN575">
        <f ca="1">IF(T_EMPLOYEES[[#This Row],[EMPLOYEE NUMBER]]="","",MATCH(T_EMPLOYEES[[#This Row],[MANAGER]],L_EMPLABELS,0))</f>
        <v>137</v>
      </c>
      <c r="AO575">
        <f ca="1">IF(T_EMPLOYEES[[#This Row],[EMPLOYEE NUMBER]]="","",IF(T_EMPLOYEES[[#This Row],[ERROR]]="",0,1))</f>
        <v>0</v>
      </c>
      <c r="AP57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6" spans="1:42">
      <c r="A576" t="s">
        <v>1786</v>
      </c>
      <c r="B576" t="s">
        <v>1787</v>
      </c>
      <c r="C576">
        <v>1033230</v>
      </c>
      <c r="D576" t="s">
        <v>1788</v>
      </c>
      <c r="E576" s="26">
        <v>37331</v>
      </c>
      <c r="F576" s="26">
        <v>45155</v>
      </c>
      <c r="H576" t="s">
        <v>27</v>
      </c>
      <c r="I576" t="s">
        <v>54</v>
      </c>
      <c r="J576" t="s">
        <v>64</v>
      </c>
      <c r="K576" t="s">
        <v>30</v>
      </c>
      <c r="L576" s="27" t="s">
        <v>114</v>
      </c>
      <c r="M576" t="s">
        <v>46</v>
      </c>
      <c r="N576" t="s">
        <v>151</v>
      </c>
      <c r="O576" t="s">
        <v>36</v>
      </c>
      <c r="P576" t="s">
        <v>151</v>
      </c>
      <c r="Q576" t="s">
        <v>468</v>
      </c>
      <c r="R576" s="27">
        <v>0</v>
      </c>
      <c r="S576" s="1">
        <v>1200000</v>
      </c>
      <c r="T576" s="1">
        <f ca="1">ROUND(T_EMPLOYEES[[#This Row],[EMP_CTC1]]/12, 0)</f>
        <v>100000</v>
      </c>
      <c r="U576" s="1">
        <v>1000000</v>
      </c>
      <c r="V576" s="1" t="s">
        <v>207</v>
      </c>
      <c r="W576" s="1" t="s">
        <v>207</v>
      </c>
      <c r="X57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Anirudh Mehta (1033230)</v>
      </c>
      <c r="Y576">
        <v>120000</v>
      </c>
      <c r="Z576" s="29">
        <f t="shared" ca="1" si="9"/>
        <v>16.666666666666664</v>
      </c>
      <c r="AA576">
        <f ca="1">IF(T_EMPLOYEES[[#This Row],[EMPLOYEE NUMBER]]="","",ROW(T_EMPLOYEES[[#This Row],[EMPLOYEE LABEL]])-ROW(T_EMPLOYEES[[#Headers],[EMPLOYEE LABEL]]))</f>
        <v>573</v>
      </c>
      <c r="AB576">
        <f ca="1">IF(T_EMPLOYEES[[#This Row],[EMPLOYEE NUMBER]]="","",IF(COUNTIF(T_EMPLOYEES[EMPLOYEE NUMBER],T_EMPLOYEES[[#This Row],[EMPLOYEE NUMBER]])&gt;1,1,0))</f>
        <v>0</v>
      </c>
      <c r="AC576">
        <f ca="1">IF(T_EMPLOYEES[[#This Row],[EMPLOYEE NUMBER]]="","",IF(AND(T_EMPLOYEES[[#This Row],[DATE OF BIRTH]]&gt;0,T_EMPLOYEES[[#This Row],[DATE OF BIRTH]]&lt;TODAY()),0,1))</f>
        <v>0</v>
      </c>
      <c r="AD576">
        <f ca="1">IF(T_EMPLOYEES[[#This Row],[EMPLOYEE NUMBER]]="","",IF(AND(T_EMPLOYEES[[#This Row],[START DATE]]&gt;0,T_EMPLOYEES[[#This Row],[START DATE]]&lt;TODAY()+60),0,1))</f>
        <v>0</v>
      </c>
      <c r="AE576">
        <f ca="1">IF(T_EMPLOYEES[[#This Row],[EMPLOYEE NUMBER]]="","",MATCH(T_EMPLOYEES[[#This Row],[GENDER]],L_GENDER,0))</f>
        <v>1</v>
      </c>
      <c r="AF576">
        <f ca="1">IF(T_EMPLOYEES[[#This Row],[EMPLOYEE NUMBER]]="","",MATCH(T_EMPLOYEES[[#This Row],[HIRE SOURCE]],L_HIRESOURCE,0))</f>
        <v>4</v>
      </c>
      <c r="AG576">
        <f ca="1">IF(T_EMPLOYEES[[#This Row],[EMPLOYEE NUMBER]]="","",MATCH(T_EMPLOYEES[[#This Row],[ETHNICITY]],L_ETHNICITY,0))</f>
        <v>3</v>
      </c>
      <c r="AH576">
        <f ca="1">IF(T_EMPLOYEES[[#This Row],[EMPLOYEE NUMBER]]="","",MATCH(T_EMPLOYEES[[#This Row],[LOCATION]],L_LOCATION,0))</f>
        <v>1</v>
      </c>
      <c r="AI576">
        <f ca="1">IF(T_EMPLOYEES[[#This Row],[EMPLOYEE NUMBER]]="","",MATCH(T_EMPLOYEES[[#This Row],[DEPARTMENT]],L_DEPARTMENT,0))</f>
        <v>11</v>
      </c>
      <c r="AJ576">
        <f ca="1">IF(T_EMPLOYEES[[#This Row],[EMPLOYEE NUMBER]]="","",MATCH(T_EMPLOYEES[[#This Row],[JOB TYPE]],L_JOBTYPE,0))</f>
        <v>2</v>
      </c>
      <c r="AK576">
        <f ca="1">IF(T_EMPLOYEES[[#This Row],[EMPLOYEE NUMBER]]="","",MATCH(T_EMPLOYEES[[#This Row],[JOB CATEGORY]],L_JOBCATEGORY,0))</f>
        <v>30</v>
      </c>
      <c r="AL576">
        <f ca="1">IF(T_EMPLOYEES[[#This Row],[EMPLOYEE NUMBER]]="","",MATCH(T_EMPLOYEES[[#This Row],[JOB LEVEL]],L_JOBLEVEL,0))</f>
        <v>1</v>
      </c>
      <c r="AM576">
        <f ca="1">IF(T_EMPLOYEES[[#This Row],[EMPLOYEE NUMBER]]="","",MATCH(T_EMPLOYEES[[#This Row],[JOB TITLE]],L_JOBTITLE,0))</f>
        <v>30</v>
      </c>
      <c r="AN576">
        <f ca="1">IF(T_EMPLOYEES[[#This Row],[EMPLOYEE NUMBER]]="","",MATCH(T_EMPLOYEES[[#This Row],[MANAGER]],L_EMPLABELS,0))</f>
        <v>56</v>
      </c>
      <c r="AO576">
        <f ca="1">IF(T_EMPLOYEES[[#This Row],[EMPLOYEE NUMBER]]="","",IF(T_EMPLOYEES[[#This Row],[ERROR]]="",0,1))</f>
        <v>0</v>
      </c>
      <c r="AP57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7" spans="1:42">
      <c r="A577" t="s">
        <v>1789</v>
      </c>
      <c r="B577" t="s">
        <v>1790</v>
      </c>
      <c r="C577">
        <v>1033234</v>
      </c>
      <c r="D577" t="s">
        <v>1791</v>
      </c>
      <c r="E577" s="26">
        <v>37346</v>
      </c>
      <c r="F577" s="26">
        <v>45155</v>
      </c>
      <c r="H577" t="s">
        <v>27</v>
      </c>
      <c r="I577" t="s">
        <v>54</v>
      </c>
      <c r="J577" t="s">
        <v>64</v>
      </c>
      <c r="K577" t="s">
        <v>43</v>
      </c>
      <c r="L577" s="27" t="s">
        <v>114</v>
      </c>
      <c r="M577" t="s">
        <v>46</v>
      </c>
      <c r="N577" t="s">
        <v>151</v>
      </c>
      <c r="O577" t="s">
        <v>36</v>
      </c>
      <c r="P577" t="s">
        <v>151</v>
      </c>
      <c r="Q577" t="s">
        <v>505</v>
      </c>
      <c r="R577">
        <v>0</v>
      </c>
      <c r="S577" s="1">
        <v>1200000</v>
      </c>
      <c r="T577" s="1">
        <f ca="1">ROUND(T_EMPLOYEES[[#This Row],[EMP_CTC1]]/12, 0)</f>
        <v>100000</v>
      </c>
      <c r="U577" s="1">
        <v>1000000</v>
      </c>
      <c r="V577" s="1" t="s">
        <v>207</v>
      </c>
      <c r="W577" s="1" t="s">
        <v>207</v>
      </c>
      <c r="X57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Subhraprakash Subudhi (1033234)</v>
      </c>
      <c r="Y577">
        <v>120000</v>
      </c>
      <c r="Z577" s="29">
        <f t="shared" ca="1" si="9"/>
        <v>16.666666666666664</v>
      </c>
      <c r="AA577">
        <f ca="1">IF(T_EMPLOYEES[[#This Row],[EMPLOYEE NUMBER]]="","",ROW(T_EMPLOYEES[[#This Row],[EMPLOYEE LABEL]])-ROW(T_EMPLOYEES[[#Headers],[EMPLOYEE LABEL]]))</f>
        <v>574</v>
      </c>
      <c r="AB577">
        <f ca="1">IF(T_EMPLOYEES[[#This Row],[EMPLOYEE NUMBER]]="","",IF(COUNTIF(T_EMPLOYEES[EMPLOYEE NUMBER],T_EMPLOYEES[[#This Row],[EMPLOYEE NUMBER]])&gt;1,1,0))</f>
        <v>0</v>
      </c>
      <c r="AC577">
        <f ca="1">IF(T_EMPLOYEES[[#This Row],[EMPLOYEE NUMBER]]="","",IF(AND(T_EMPLOYEES[[#This Row],[DATE OF BIRTH]]&gt;0,T_EMPLOYEES[[#This Row],[DATE OF BIRTH]]&lt;TODAY()),0,1))</f>
        <v>0</v>
      </c>
      <c r="AD577">
        <f ca="1">IF(T_EMPLOYEES[[#This Row],[EMPLOYEE NUMBER]]="","",IF(AND(T_EMPLOYEES[[#This Row],[START DATE]]&gt;0,T_EMPLOYEES[[#This Row],[START DATE]]&lt;TODAY()+60),0,1))</f>
        <v>0</v>
      </c>
      <c r="AE577">
        <f ca="1">IF(T_EMPLOYEES[[#This Row],[EMPLOYEE NUMBER]]="","",MATCH(T_EMPLOYEES[[#This Row],[GENDER]],L_GENDER,0))</f>
        <v>1</v>
      </c>
      <c r="AF577">
        <f ca="1">IF(T_EMPLOYEES[[#This Row],[EMPLOYEE NUMBER]]="","",MATCH(T_EMPLOYEES[[#This Row],[HIRE SOURCE]],L_HIRESOURCE,0))</f>
        <v>4</v>
      </c>
      <c r="AG577">
        <f ca="1">IF(T_EMPLOYEES[[#This Row],[EMPLOYEE NUMBER]]="","",MATCH(T_EMPLOYEES[[#This Row],[ETHNICITY]],L_ETHNICITY,0))</f>
        <v>3</v>
      </c>
      <c r="AH577">
        <f ca="1">IF(T_EMPLOYEES[[#This Row],[EMPLOYEE NUMBER]]="","",MATCH(T_EMPLOYEES[[#This Row],[LOCATION]],L_LOCATION,0))</f>
        <v>2</v>
      </c>
      <c r="AI577">
        <f ca="1">IF(T_EMPLOYEES[[#This Row],[EMPLOYEE NUMBER]]="","",MATCH(T_EMPLOYEES[[#This Row],[DEPARTMENT]],L_DEPARTMENT,0))</f>
        <v>11</v>
      </c>
      <c r="AJ577">
        <f ca="1">IF(T_EMPLOYEES[[#This Row],[EMPLOYEE NUMBER]]="","",MATCH(T_EMPLOYEES[[#This Row],[JOB TYPE]],L_JOBTYPE,0))</f>
        <v>2</v>
      </c>
      <c r="AK577">
        <f ca="1">IF(T_EMPLOYEES[[#This Row],[EMPLOYEE NUMBER]]="","",MATCH(T_EMPLOYEES[[#This Row],[JOB CATEGORY]],L_JOBCATEGORY,0))</f>
        <v>30</v>
      </c>
      <c r="AL577">
        <f ca="1">IF(T_EMPLOYEES[[#This Row],[EMPLOYEE NUMBER]]="","",MATCH(T_EMPLOYEES[[#This Row],[JOB LEVEL]],L_JOBLEVEL,0))</f>
        <v>1</v>
      </c>
      <c r="AM577">
        <f ca="1">IF(T_EMPLOYEES[[#This Row],[EMPLOYEE NUMBER]]="","",MATCH(T_EMPLOYEES[[#This Row],[JOB TITLE]],L_JOBTITLE,0))</f>
        <v>30</v>
      </c>
      <c r="AN577">
        <f ca="1">IF(T_EMPLOYEES[[#This Row],[EMPLOYEE NUMBER]]="","",MATCH(T_EMPLOYEES[[#This Row],[MANAGER]],L_EMPLABELS,0))</f>
        <v>57</v>
      </c>
      <c r="AO577">
        <f ca="1">IF(T_EMPLOYEES[[#This Row],[EMPLOYEE NUMBER]]="","",IF(T_EMPLOYEES[[#This Row],[ERROR]]="",0,1))</f>
        <v>0</v>
      </c>
      <c r="AP57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8" spans="1:42">
      <c r="A578" t="s">
        <v>1792</v>
      </c>
      <c r="B578" t="s">
        <v>1793</v>
      </c>
      <c r="C578">
        <v>1033254</v>
      </c>
      <c r="D578" t="s">
        <v>1794</v>
      </c>
      <c r="E578" s="26">
        <v>37350</v>
      </c>
      <c r="F578" s="26">
        <v>45155</v>
      </c>
      <c r="H578" t="s">
        <v>40</v>
      </c>
      <c r="I578" t="s">
        <v>54</v>
      </c>
      <c r="J578" t="s">
        <v>64</v>
      </c>
      <c r="K578" t="s">
        <v>30</v>
      </c>
      <c r="L578" s="27" t="s">
        <v>45</v>
      </c>
      <c r="M578" t="s">
        <v>46</v>
      </c>
      <c r="N578" t="s">
        <v>151</v>
      </c>
      <c r="O578" t="s">
        <v>36</v>
      </c>
      <c r="P578" t="s">
        <v>151</v>
      </c>
      <c r="Q578" t="s">
        <v>1522</v>
      </c>
      <c r="R578" s="27">
        <v>0</v>
      </c>
      <c r="S578" s="1">
        <v>1200000</v>
      </c>
      <c r="T578" s="1">
        <f ca="1">ROUND(T_EMPLOYEES[[#This Row],[EMP_CTC1]]/12, 0)</f>
        <v>100000</v>
      </c>
      <c r="U578" s="1">
        <v>1000000</v>
      </c>
      <c r="V578" s="1" t="s">
        <v>207</v>
      </c>
      <c r="W578" s="1" t="s">
        <v>207</v>
      </c>
      <c r="X57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Morla Brundavani (1033254)</v>
      </c>
      <c r="Y578">
        <v>120000</v>
      </c>
      <c r="Z578" s="29">
        <f t="shared" ca="1" si="9"/>
        <v>16.666666666666664</v>
      </c>
      <c r="AA578">
        <f ca="1">IF(T_EMPLOYEES[[#This Row],[EMPLOYEE NUMBER]]="","",ROW(T_EMPLOYEES[[#This Row],[EMPLOYEE LABEL]])-ROW(T_EMPLOYEES[[#Headers],[EMPLOYEE LABEL]]))</f>
        <v>575</v>
      </c>
      <c r="AB578">
        <f ca="1">IF(T_EMPLOYEES[[#This Row],[EMPLOYEE NUMBER]]="","",IF(COUNTIF(T_EMPLOYEES[EMPLOYEE NUMBER],T_EMPLOYEES[[#This Row],[EMPLOYEE NUMBER]])&gt;1,1,0))</f>
        <v>0</v>
      </c>
      <c r="AC578">
        <f ca="1">IF(T_EMPLOYEES[[#This Row],[EMPLOYEE NUMBER]]="","",IF(AND(T_EMPLOYEES[[#This Row],[DATE OF BIRTH]]&gt;0,T_EMPLOYEES[[#This Row],[DATE OF BIRTH]]&lt;TODAY()),0,1))</f>
        <v>0</v>
      </c>
      <c r="AD578">
        <f ca="1">IF(T_EMPLOYEES[[#This Row],[EMPLOYEE NUMBER]]="","",IF(AND(T_EMPLOYEES[[#This Row],[START DATE]]&gt;0,T_EMPLOYEES[[#This Row],[START DATE]]&lt;TODAY()+60),0,1))</f>
        <v>0</v>
      </c>
      <c r="AE578">
        <f ca="1">IF(T_EMPLOYEES[[#This Row],[EMPLOYEE NUMBER]]="","",MATCH(T_EMPLOYEES[[#This Row],[GENDER]],L_GENDER,0))</f>
        <v>2</v>
      </c>
      <c r="AF578">
        <f ca="1">IF(T_EMPLOYEES[[#This Row],[EMPLOYEE NUMBER]]="","",MATCH(T_EMPLOYEES[[#This Row],[HIRE SOURCE]],L_HIRESOURCE,0))</f>
        <v>4</v>
      </c>
      <c r="AG578">
        <f ca="1">IF(T_EMPLOYEES[[#This Row],[EMPLOYEE NUMBER]]="","",MATCH(T_EMPLOYEES[[#This Row],[ETHNICITY]],L_ETHNICITY,0))</f>
        <v>3</v>
      </c>
      <c r="AH578">
        <f ca="1">IF(T_EMPLOYEES[[#This Row],[EMPLOYEE NUMBER]]="","",MATCH(T_EMPLOYEES[[#This Row],[LOCATION]],L_LOCATION,0))</f>
        <v>1</v>
      </c>
      <c r="AI578">
        <f ca="1">IF(T_EMPLOYEES[[#This Row],[EMPLOYEE NUMBER]]="","",MATCH(T_EMPLOYEES[[#This Row],[DEPARTMENT]],L_DEPARTMENT,0))</f>
        <v>2</v>
      </c>
      <c r="AJ578">
        <f ca="1">IF(T_EMPLOYEES[[#This Row],[EMPLOYEE NUMBER]]="","",MATCH(T_EMPLOYEES[[#This Row],[JOB TYPE]],L_JOBTYPE,0))</f>
        <v>2</v>
      </c>
      <c r="AK578">
        <f ca="1">IF(T_EMPLOYEES[[#This Row],[EMPLOYEE NUMBER]]="","",MATCH(T_EMPLOYEES[[#This Row],[JOB CATEGORY]],L_JOBCATEGORY,0))</f>
        <v>30</v>
      </c>
      <c r="AL578">
        <f ca="1">IF(T_EMPLOYEES[[#This Row],[EMPLOYEE NUMBER]]="","",MATCH(T_EMPLOYEES[[#This Row],[JOB LEVEL]],L_JOBLEVEL,0))</f>
        <v>1</v>
      </c>
      <c r="AM578">
        <f ca="1">IF(T_EMPLOYEES[[#This Row],[EMPLOYEE NUMBER]]="","",MATCH(T_EMPLOYEES[[#This Row],[JOB TITLE]],L_JOBTITLE,0))</f>
        <v>30</v>
      </c>
      <c r="AN578">
        <f ca="1">IF(T_EMPLOYEES[[#This Row],[EMPLOYEE NUMBER]]="","",MATCH(T_EMPLOYEES[[#This Row],[MANAGER]],L_EMPLABELS,0))</f>
        <v>38</v>
      </c>
      <c r="AO578">
        <f ca="1">IF(T_EMPLOYEES[[#This Row],[EMPLOYEE NUMBER]]="","",IF(T_EMPLOYEES[[#This Row],[ERROR]]="",0,1))</f>
        <v>0</v>
      </c>
      <c r="AP57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9" spans="1:42">
      <c r="A579" t="s">
        <v>1795</v>
      </c>
      <c r="B579" t="s">
        <v>1796</v>
      </c>
      <c r="C579">
        <v>1033235</v>
      </c>
      <c r="D579" t="s">
        <v>1797</v>
      </c>
      <c r="E579" s="26">
        <v>37360</v>
      </c>
      <c r="F579" s="26">
        <v>45155</v>
      </c>
      <c r="H579" t="s">
        <v>27</v>
      </c>
      <c r="I579" t="s">
        <v>54</v>
      </c>
      <c r="J579" t="s">
        <v>64</v>
      </c>
      <c r="K579" t="s">
        <v>30</v>
      </c>
      <c r="L579" s="27" t="s">
        <v>114</v>
      </c>
      <c r="M579" t="s">
        <v>46</v>
      </c>
      <c r="N579" t="s">
        <v>151</v>
      </c>
      <c r="O579" t="s">
        <v>36</v>
      </c>
      <c r="P579" t="s">
        <v>151</v>
      </c>
      <c r="Q579" t="s">
        <v>206</v>
      </c>
      <c r="R579">
        <v>0</v>
      </c>
      <c r="S579" s="1">
        <v>1200000</v>
      </c>
      <c r="T579" s="1">
        <f ca="1">ROUND(T_EMPLOYEES[[#This Row],[EMP_CTC1]]/12, 0)</f>
        <v>100000</v>
      </c>
      <c r="U579" s="1">
        <v>1000000</v>
      </c>
      <c r="V579" s="1" t="s">
        <v>207</v>
      </c>
      <c r="W579" s="1" t="s">
        <v>207</v>
      </c>
      <c r="X57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Satya Prakash sharma (1033235)</v>
      </c>
      <c r="Y579">
        <v>120000</v>
      </c>
      <c r="Z579" s="29">
        <f t="shared" ca="1" si="9"/>
        <v>16.666666666666664</v>
      </c>
      <c r="AA579">
        <f ca="1">IF(T_EMPLOYEES[[#This Row],[EMPLOYEE NUMBER]]="","",ROW(T_EMPLOYEES[[#This Row],[EMPLOYEE LABEL]])-ROW(T_EMPLOYEES[[#Headers],[EMPLOYEE LABEL]]))</f>
        <v>576</v>
      </c>
      <c r="AB579">
        <f ca="1">IF(T_EMPLOYEES[[#This Row],[EMPLOYEE NUMBER]]="","",IF(COUNTIF(T_EMPLOYEES[EMPLOYEE NUMBER],T_EMPLOYEES[[#This Row],[EMPLOYEE NUMBER]])&gt;1,1,0))</f>
        <v>0</v>
      </c>
      <c r="AC579">
        <f ca="1">IF(T_EMPLOYEES[[#This Row],[EMPLOYEE NUMBER]]="","",IF(AND(T_EMPLOYEES[[#This Row],[DATE OF BIRTH]]&gt;0,T_EMPLOYEES[[#This Row],[DATE OF BIRTH]]&lt;TODAY()),0,1))</f>
        <v>0</v>
      </c>
      <c r="AD579">
        <f ca="1">IF(T_EMPLOYEES[[#This Row],[EMPLOYEE NUMBER]]="","",IF(AND(T_EMPLOYEES[[#This Row],[START DATE]]&gt;0,T_EMPLOYEES[[#This Row],[START DATE]]&lt;TODAY()+60),0,1))</f>
        <v>0</v>
      </c>
      <c r="AE579">
        <f ca="1">IF(T_EMPLOYEES[[#This Row],[EMPLOYEE NUMBER]]="","",MATCH(T_EMPLOYEES[[#This Row],[GENDER]],L_GENDER,0))</f>
        <v>1</v>
      </c>
      <c r="AF579">
        <f ca="1">IF(T_EMPLOYEES[[#This Row],[EMPLOYEE NUMBER]]="","",MATCH(T_EMPLOYEES[[#This Row],[HIRE SOURCE]],L_HIRESOURCE,0))</f>
        <v>4</v>
      </c>
      <c r="AG579">
        <f ca="1">IF(T_EMPLOYEES[[#This Row],[EMPLOYEE NUMBER]]="","",MATCH(T_EMPLOYEES[[#This Row],[ETHNICITY]],L_ETHNICITY,0))</f>
        <v>3</v>
      </c>
      <c r="AH579">
        <f ca="1">IF(T_EMPLOYEES[[#This Row],[EMPLOYEE NUMBER]]="","",MATCH(T_EMPLOYEES[[#This Row],[LOCATION]],L_LOCATION,0))</f>
        <v>1</v>
      </c>
      <c r="AI579">
        <f ca="1">IF(T_EMPLOYEES[[#This Row],[EMPLOYEE NUMBER]]="","",MATCH(T_EMPLOYEES[[#This Row],[DEPARTMENT]],L_DEPARTMENT,0))</f>
        <v>11</v>
      </c>
      <c r="AJ579">
        <f ca="1">IF(T_EMPLOYEES[[#This Row],[EMPLOYEE NUMBER]]="","",MATCH(T_EMPLOYEES[[#This Row],[JOB TYPE]],L_JOBTYPE,0))</f>
        <v>2</v>
      </c>
      <c r="AK579">
        <f ca="1">IF(T_EMPLOYEES[[#This Row],[EMPLOYEE NUMBER]]="","",MATCH(T_EMPLOYEES[[#This Row],[JOB CATEGORY]],L_JOBCATEGORY,0))</f>
        <v>30</v>
      </c>
      <c r="AL579">
        <f ca="1">IF(T_EMPLOYEES[[#This Row],[EMPLOYEE NUMBER]]="","",MATCH(T_EMPLOYEES[[#This Row],[JOB LEVEL]],L_JOBLEVEL,0))</f>
        <v>1</v>
      </c>
      <c r="AM579">
        <f ca="1">IF(T_EMPLOYEES[[#This Row],[EMPLOYEE NUMBER]]="","",MATCH(T_EMPLOYEES[[#This Row],[JOB TITLE]],L_JOBTITLE,0))</f>
        <v>30</v>
      </c>
      <c r="AN579">
        <f ca="1">IF(T_EMPLOYEES[[#This Row],[EMPLOYEE NUMBER]]="","",MATCH(T_EMPLOYEES[[#This Row],[MANAGER]],L_EMPLABELS,0))</f>
        <v>6</v>
      </c>
      <c r="AO579">
        <f ca="1">IF(T_EMPLOYEES[[#This Row],[EMPLOYEE NUMBER]]="","",IF(T_EMPLOYEES[[#This Row],[ERROR]]="",0,1))</f>
        <v>0</v>
      </c>
      <c r="AP57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0" spans="1:42">
      <c r="A580" t="s">
        <v>715</v>
      </c>
      <c r="B580" t="s">
        <v>1798</v>
      </c>
      <c r="C580">
        <v>1033259</v>
      </c>
      <c r="D580" t="s">
        <v>1799</v>
      </c>
      <c r="E580" s="26">
        <v>37362</v>
      </c>
      <c r="F580" s="26">
        <v>45155</v>
      </c>
      <c r="H580" t="s">
        <v>40</v>
      </c>
      <c r="I580" t="s">
        <v>54</v>
      </c>
      <c r="J580" t="s">
        <v>64</v>
      </c>
      <c r="K580" t="s">
        <v>30</v>
      </c>
      <c r="L580" s="27" t="s">
        <v>45</v>
      </c>
      <c r="M580" t="s">
        <v>46</v>
      </c>
      <c r="N580" t="s">
        <v>151</v>
      </c>
      <c r="O580" t="s">
        <v>36</v>
      </c>
      <c r="P580" t="s">
        <v>151</v>
      </c>
      <c r="Q580" t="s">
        <v>1522</v>
      </c>
      <c r="R580" s="27">
        <v>0</v>
      </c>
      <c r="S580" s="1">
        <v>1200000</v>
      </c>
      <c r="T580" s="1">
        <f ca="1">ROUND(T_EMPLOYEES[[#This Row],[EMP_CTC1]]/12, 0)</f>
        <v>100000</v>
      </c>
      <c r="U580" s="1">
        <v>1000000</v>
      </c>
      <c r="V580" s="1" t="s">
        <v>207</v>
      </c>
      <c r="W580" s="1" t="s">
        <v>207</v>
      </c>
      <c r="X58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A Bhavani (1033259)</v>
      </c>
      <c r="Y580">
        <v>120000</v>
      </c>
      <c r="Z580" s="29">
        <f t="shared" ca="1" si="9"/>
        <v>16.666666666666664</v>
      </c>
      <c r="AA580">
        <f ca="1">IF(T_EMPLOYEES[[#This Row],[EMPLOYEE NUMBER]]="","",ROW(T_EMPLOYEES[[#This Row],[EMPLOYEE LABEL]])-ROW(T_EMPLOYEES[[#Headers],[EMPLOYEE LABEL]]))</f>
        <v>577</v>
      </c>
      <c r="AB580">
        <f ca="1">IF(T_EMPLOYEES[[#This Row],[EMPLOYEE NUMBER]]="","",IF(COUNTIF(T_EMPLOYEES[EMPLOYEE NUMBER],T_EMPLOYEES[[#This Row],[EMPLOYEE NUMBER]])&gt;1,1,0))</f>
        <v>0</v>
      </c>
      <c r="AC580">
        <f ca="1">IF(T_EMPLOYEES[[#This Row],[EMPLOYEE NUMBER]]="","",IF(AND(T_EMPLOYEES[[#This Row],[DATE OF BIRTH]]&gt;0,T_EMPLOYEES[[#This Row],[DATE OF BIRTH]]&lt;TODAY()),0,1))</f>
        <v>0</v>
      </c>
      <c r="AD580">
        <f ca="1">IF(T_EMPLOYEES[[#This Row],[EMPLOYEE NUMBER]]="","",IF(AND(T_EMPLOYEES[[#This Row],[START DATE]]&gt;0,T_EMPLOYEES[[#This Row],[START DATE]]&lt;TODAY()+60),0,1))</f>
        <v>0</v>
      </c>
      <c r="AE580">
        <f ca="1">IF(T_EMPLOYEES[[#This Row],[EMPLOYEE NUMBER]]="","",MATCH(T_EMPLOYEES[[#This Row],[GENDER]],L_GENDER,0))</f>
        <v>2</v>
      </c>
      <c r="AF580">
        <f ca="1">IF(T_EMPLOYEES[[#This Row],[EMPLOYEE NUMBER]]="","",MATCH(T_EMPLOYEES[[#This Row],[HIRE SOURCE]],L_HIRESOURCE,0))</f>
        <v>4</v>
      </c>
      <c r="AG580">
        <f ca="1">IF(T_EMPLOYEES[[#This Row],[EMPLOYEE NUMBER]]="","",MATCH(T_EMPLOYEES[[#This Row],[ETHNICITY]],L_ETHNICITY,0))</f>
        <v>3</v>
      </c>
      <c r="AH580">
        <f ca="1">IF(T_EMPLOYEES[[#This Row],[EMPLOYEE NUMBER]]="","",MATCH(T_EMPLOYEES[[#This Row],[LOCATION]],L_LOCATION,0))</f>
        <v>1</v>
      </c>
      <c r="AI580">
        <f ca="1">IF(T_EMPLOYEES[[#This Row],[EMPLOYEE NUMBER]]="","",MATCH(T_EMPLOYEES[[#This Row],[DEPARTMENT]],L_DEPARTMENT,0))</f>
        <v>2</v>
      </c>
      <c r="AJ580">
        <f ca="1">IF(T_EMPLOYEES[[#This Row],[EMPLOYEE NUMBER]]="","",MATCH(T_EMPLOYEES[[#This Row],[JOB TYPE]],L_JOBTYPE,0))</f>
        <v>2</v>
      </c>
      <c r="AK580">
        <f ca="1">IF(T_EMPLOYEES[[#This Row],[EMPLOYEE NUMBER]]="","",MATCH(T_EMPLOYEES[[#This Row],[JOB CATEGORY]],L_JOBCATEGORY,0))</f>
        <v>30</v>
      </c>
      <c r="AL580">
        <f ca="1">IF(T_EMPLOYEES[[#This Row],[EMPLOYEE NUMBER]]="","",MATCH(T_EMPLOYEES[[#This Row],[JOB LEVEL]],L_JOBLEVEL,0))</f>
        <v>1</v>
      </c>
      <c r="AM580">
        <f ca="1">IF(T_EMPLOYEES[[#This Row],[EMPLOYEE NUMBER]]="","",MATCH(T_EMPLOYEES[[#This Row],[JOB TITLE]],L_JOBTITLE,0))</f>
        <v>30</v>
      </c>
      <c r="AN580">
        <f ca="1">IF(T_EMPLOYEES[[#This Row],[EMPLOYEE NUMBER]]="","",MATCH(T_EMPLOYEES[[#This Row],[MANAGER]],L_EMPLABELS,0))</f>
        <v>38</v>
      </c>
      <c r="AO580">
        <f ca="1">IF(T_EMPLOYEES[[#This Row],[EMPLOYEE NUMBER]]="","",IF(T_EMPLOYEES[[#This Row],[ERROR]]="",0,1))</f>
        <v>0</v>
      </c>
      <c r="AP58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1" spans="1:42">
      <c r="A581" t="s">
        <v>1800</v>
      </c>
      <c r="B581" t="s">
        <v>1801</v>
      </c>
      <c r="C581">
        <v>1033242</v>
      </c>
      <c r="D581" t="s">
        <v>1802</v>
      </c>
      <c r="E581" s="26">
        <v>37364</v>
      </c>
      <c r="F581" s="26">
        <v>45155</v>
      </c>
      <c r="H581" t="s">
        <v>40</v>
      </c>
      <c r="I581" t="s">
        <v>54</v>
      </c>
      <c r="J581" t="s">
        <v>64</v>
      </c>
      <c r="K581" t="s">
        <v>43</v>
      </c>
      <c r="L581" s="27" t="s">
        <v>45</v>
      </c>
      <c r="M581" t="s">
        <v>46</v>
      </c>
      <c r="N581" t="s">
        <v>151</v>
      </c>
      <c r="O581" t="s">
        <v>36</v>
      </c>
      <c r="P581" t="s">
        <v>151</v>
      </c>
      <c r="Q581" t="s">
        <v>1312</v>
      </c>
      <c r="R581">
        <v>0</v>
      </c>
      <c r="S581" s="1">
        <v>1200000</v>
      </c>
      <c r="T581" s="1">
        <f ca="1">ROUND(T_EMPLOYEES[[#This Row],[EMP_CTC1]]/12, 0)</f>
        <v>100000</v>
      </c>
      <c r="U581" s="1">
        <v>1000000</v>
      </c>
      <c r="V581" s="1" t="s">
        <v>207</v>
      </c>
      <c r="W581" s="1" t="s">
        <v>207</v>
      </c>
      <c r="X58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Konda Sai Keerthi (1033242)</v>
      </c>
      <c r="Y581">
        <v>120000</v>
      </c>
      <c r="Z581" s="29">
        <f t="shared" ca="1" si="9"/>
        <v>16.666666666666664</v>
      </c>
      <c r="AA581">
        <f ca="1">IF(T_EMPLOYEES[[#This Row],[EMPLOYEE NUMBER]]="","",ROW(T_EMPLOYEES[[#This Row],[EMPLOYEE LABEL]])-ROW(T_EMPLOYEES[[#Headers],[EMPLOYEE LABEL]]))</f>
        <v>578</v>
      </c>
      <c r="AB581">
        <f ca="1">IF(T_EMPLOYEES[[#This Row],[EMPLOYEE NUMBER]]="","",IF(COUNTIF(T_EMPLOYEES[EMPLOYEE NUMBER],T_EMPLOYEES[[#This Row],[EMPLOYEE NUMBER]])&gt;1,1,0))</f>
        <v>0</v>
      </c>
      <c r="AC581">
        <f ca="1">IF(T_EMPLOYEES[[#This Row],[EMPLOYEE NUMBER]]="","",IF(AND(T_EMPLOYEES[[#This Row],[DATE OF BIRTH]]&gt;0,T_EMPLOYEES[[#This Row],[DATE OF BIRTH]]&lt;TODAY()),0,1))</f>
        <v>0</v>
      </c>
      <c r="AD581">
        <f ca="1">IF(T_EMPLOYEES[[#This Row],[EMPLOYEE NUMBER]]="","",IF(AND(T_EMPLOYEES[[#This Row],[START DATE]]&gt;0,T_EMPLOYEES[[#This Row],[START DATE]]&lt;TODAY()+60),0,1))</f>
        <v>0</v>
      </c>
      <c r="AE581">
        <f ca="1">IF(T_EMPLOYEES[[#This Row],[EMPLOYEE NUMBER]]="","",MATCH(T_EMPLOYEES[[#This Row],[GENDER]],L_GENDER,0))</f>
        <v>2</v>
      </c>
      <c r="AF581">
        <f ca="1">IF(T_EMPLOYEES[[#This Row],[EMPLOYEE NUMBER]]="","",MATCH(T_EMPLOYEES[[#This Row],[HIRE SOURCE]],L_HIRESOURCE,0))</f>
        <v>4</v>
      </c>
      <c r="AG581">
        <f ca="1">IF(T_EMPLOYEES[[#This Row],[EMPLOYEE NUMBER]]="","",MATCH(T_EMPLOYEES[[#This Row],[ETHNICITY]],L_ETHNICITY,0))</f>
        <v>3</v>
      </c>
      <c r="AH581">
        <f ca="1">IF(T_EMPLOYEES[[#This Row],[EMPLOYEE NUMBER]]="","",MATCH(T_EMPLOYEES[[#This Row],[LOCATION]],L_LOCATION,0))</f>
        <v>2</v>
      </c>
      <c r="AI581">
        <f ca="1">IF(T_EMPLOYEES[[#This Row],[EMPLOYEE NUMBER]]="","",MATCH(T_EMPLOYEES[[#This Row],[DEPARTMENT]],L_DEPARTMENT,0))</f>
        <v>2</v>
      </c>
      <c r="AJ581">
        <f ca="1">IF(T_EMPLOYEES[[#This Row],[EMPLOYEE NUMBER]]="","",MATCH(T_EMPLOYEES[[#This Row],[JOB TYPE]],L_JOBTYPE,0))</f>
        <v>2</v>
      </c>
      <c r="AK581">
        <f ca="1">IF(T_EMPLOYEES[[#This Row],[EMPLOYEE NUMBER]]="","",MATCH(T_EMPLOYEES[[#This Row],[JOB CATEGORY]],L_JOBCATEGORY,0))</f>
        <v>30</v>
      </c>
      <c r="AL581">
        <f ca="1">IF(T_EMPLOYEES[[#This Row],[EMPLOYEE NUMBER]]="","",MATCH(T_EMPLOYEES[[#This Row],[JOB LEVEL]],L_JOBLEVEL,0))</f>
        <v>1</v>
      </c>
      <c r="AM581">
        <f ca="1">IF(T_EMPLOYEES[[#This Row],[EMPLOYEE NUMBER]]="","",MATCH(T_EMPLOYEES[[#This Row],[JOB TITLE]],L_JOBTITLE,0))</f>
        <v>30</v>
      </c>
      <c r="AN581">
        <f ca="1">IF(T_EMPLOYEES[[#This Row],[EMPLOYEE NUMBER]]="","",MATCH(T_EMPLOYEES[[#This Row],[MANAGER]],L_EMPLABELS,0))</f>
        <v>144</v>
      </c>
      <c r="AO581">
        <f ca="1">IF(T_EMPLOYEES[[#This Row],[EMPLOYEE NUMBER]]="","",IF(T_EMPLOYEES[[#This Row],[ERROR]]="",0,1))</f>
        <v>0</v>
      </c>
      <c r="AP58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2" spans="1:42">
      <c r="A582" t="s">
        <v>1803</v>
      </c>
      <c r="B582" t="s">
        <v>1804</v>
      </c>
      <c r="C582">
        <v>1033253</v>
      </c>
      <c r="D582" t="s">
        <v>1805</v>
      </c>
      <c r="E582" s="26">
        <v>37376</v>
      </c>
      <c r="F582" s="26">
        <v>45155</v>
      </c>
      <c r="H582" t="s">
        <v>40</v>
      </c>
      <c r="I582" t="s">
        <v>54</v>
      </c>
      <c r="J582" t="s">
        <v>64</v>
      </c>
      <c r="K582" t="s">
        <v>30</v>
      </c>
      <c r="L582" s="27" t="s">
        <v>45</v>
      </c>
      <c r="M582" t="s">
        <v>46</v>
      </c>
      <c r="N582" t="s">
        <v>151</v>
      </c>
      <c r="O582" t="s">
        <v>36</v>
      </c>
      <c r="P582" t="s">
        <v>151</v>
      </c>
      <c r="Q582" t="s">
        <v>1522</v>
      </c>
      <c r="R582" s="27">
        <v>0</v>
      </c>
      <c r="S582" s="1">
        <v>1200000</v>
      </c>
      <c r="T582" s="1">
        <f ca="1">ROUND(T_EMPLOYEES[[#This Row],[EMP_CTC1]]/12, 0)</f>
        <v>100000</v>
      </c>
      <c r="U582" s="1">
        <v>1000000</v>
      </c>
      <c r="V582" s="1" t="s">
        <v>207</v>
      </c>
      <c r="W582" s="1" t="s">
        <v>207</v>
      </c>
      <c r="X58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Yennam Sowmya (1033253)</v>
      </c>
      <c r="Y582">
        <v>120000</v>
      </c>
      <c r="Z582" s="29">
        <f t="shared" ref="Z582:Z593" ca="1" si="10">(S582 - U582)/S582 * 100</f>
        <v>16.666666666666664</v>
      </c>
      <c r="AA582">
        <f ca="1">IF(T_EMPLOYEES[[#This Row],[EMPLOYEE NUMBER]]="","",ROW(T_EMPLOYEES[[#This Row],[EMPLOYEE LABEL]])-ROW(T_EMPLOYEES[[#Headers],[EMPLOYEE LABEL]]))</f>
        <v>579</v>
      </c>
      <c r="AB582">
        <f ca="1">IF(T_EMPLOYEES[[#This Row],[EMPLOYEE NUMBER]]="","",IF(COUNTIF(T_EMPLOYEES[EMPLOYEE NUMBER],T_EMPLOYEES[[#This Row],[EMPLOYEE NUMBER]])&gt;1,1,0))</f>
        <v>0</v>
      </c>
      <c r="AC582">
        <f ca="1">IF(T_EMPLOYEES[[#This Row],[EMPLOYEE NUMBER]]="","",IF(AND(T_EMPLOYEES[[#This Row],[DATE OF BIRTH]]&gt;0,T_EMPLOYEES[[#This Row],[DATE OF BIRTH]]&lt;TODAY()),0,1))</f>
        <v>0</v>
      </c>
      <c r="AD582">
        <f ca="1">IF(T_EMPLOYEES[[#This Row],[EMPLOYEE NUMBER]]="","",IF(AND(T_EMPLOYEES[[#This Row],[START DATE]]&gt;0,T_EMPLOYEES[[#This Row],[START DATE]]&lt;TODAY()+60),0,1))</f>
        <v>0</v>
      </c>
      <c r="AE582">
        <f ca="1">IF(T_EMPLOYEES[[#This Row],[EMPLOYEE NUMBER]]="","",MATCH(T_EMPLOYEES[[#This Row],[GENDER]],L_GENDER,0))</f>
        <v>2</v>
      </c>
      <c r="AF582">
        <f ca="1">IF(T_EMPLOYEES[[#This Row],[EMPLOYEE NUMBER]]="","",MATCH(T_EMPLOYEES[[#This Row],[HIRE SOURCE]],L_HIRESOURCE,0))</f>
        <v>4</v>
      </c>
      <c r="AG582">
        <f ca="1">IF(T_EMPLOYEES[[#This Row],[EMPLOYEE NUMBER]]="","",MATCH(T_EMPLOYEES[[#This Row],[ETHNICITY]],L_ETHNICITY,0))</f>
        <v>3</v>
      </c>
      <c r="AH582">
        <f ca="1">IF(T_EMPLOYEES[[#This Row],[EMPLOYEE NUMBER]]="","",MATCH(T_EMPLOYEES[[#This Row],[LOCATION]],L_LOCATION,0))</f>
        <v>1</v>
      </c>
      <c r="AI582">
        <f ca="1">IF(T_EMPLOYEES[[#This Row],[EMPLOYEE NUMBER]]="","",MATCH(T_EMPLOYEES[[#This Row],[DEPARTMENT]],L_DEPARTMENT,0))</f>
        <v>2</v>
      </c>
      <c r="AJ582">
        <f ca="1">IF(T_EMPLOYEES[[#This Row],[EMPLOYEE NUMBER]]="","",MATCH(T_EMPLOYEES[[#This Row],[JOB TYPE]],L_JOBTYPE,0))</f>
        <v>2</v>
      </c>
      <c r="AK582">
        <f ca="1">IF(T_EMPLOYEES[[#This Row],[EMPLOYEE NUMBER]]="","",MATCH(T_EMPLOYEES[[#This Row],[JOB CATEGORY]],L_JOBCATEGORY,0))</f>
        <v>30</v>
      </c>
      <c r="AL582">
        <f ca="1">IF(T_EMPLOYEES[[#This Row],[EMPLOYEE NUMBER]]="","",MATCH(T_EMPLOYEES[[#This Row],[JOB LEVEL]],L_JOBLEVEL,0))</f>
        <v>1</v>
      </c>
      <c r="AM582">
        <f ca="1">IF(T_EMPLOYEES[[#This Row],[EMPLOYEE NUMBER]]="","",MATCH(T_EMPLOYEES[[#This Row],[JOB TITLE]],L_JOBTITLE,0))</f>
        <v>30</v>
      </c>
      <c r="AN582">
        <f ca="1">IF(T_EMPLOYEES[[#This Row],[EMPLOYEE NUMBER]]="","",MATCH(T_EMPLOYEES[[#This Row],[MANAGER]],L_EMPLABELS,0))</f>
        <v>38</v>
      </c>
      <c r="AO582">
        <f ca="1">IF(T_EMPLOYEES[[#This Row],[EMPLOYEE NUMBER]]="","",IF(T_EMPLOYEES[[#This Row],[ERROR]]="",0,1))</f>
        <v>0</v>
      </c>
      <c r="AP58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3" spans="1:42">
      <c r="A583" t="s">
        <v>1806</v>
      </c>
      <c r="B583" t="s">
        <v>1807</v>
      </c>
      <c r="C583">
        <v>1033265</v>
      </c>
      <c r="D583" t="s">
        <v>1808</v>
      </c>
      <c r="E583" s="26">
        <v>37388</v>
      </c>
      <c r="F583" s="26">
        <v>45155</v>
      </c>
      <c r="H583" t="s">
        <v>27</v>
      </c>
      <c r="I583" t="s">
        <v>54</v>
      </c>
      <c r="J583" t="s">
        <v>64</v>
      </c>
      <c r="K583" t="s">
        <v>30</v>
      </c>
      <c r="L583" s="27" t="s">
        <v>45</v>
      </c>
      <c r="M583" t="s">
        <v>46</v>
      </c>
      <c r="N583" t="s">
        <v>151</v>
      </c>
      <c r="O583" t="s">
        <v>36</v>
      </c>
      <c r="P583" t="s">
        <v>151</v>
      </c>
      <c r="Q583" t="s">
        <v>1522</v>
      </c>
      <c r="R583">
        <v>0</v>
      </c>
      <c r="S583" s="1">
        <v>1200000</v>
      </c>
      <c r="T583" s="1">
        <f ca="1">ROUND(T_EMPLOYEES[[#This Row],[EMP_CTC1]]/12, 0)</f>
        <v>100000</v>
      </c>
      <c r="U583" s="1">
        <v>1000000</v>
      </c>
      <c r="V583" s="1" t="s">
        <v>207</v>
      </c>
      <c r="W583" s="1" t="s">
        <v>207</v>
      </c>
      <c r="X58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Ramasani Dheeraj Reddy (1033265)</v>
      </c>
      <c r="Y583">
        <v>120000</v>
      </c>
      <c r="Z583" s="29">
        <f t="shared" ca="1" si="10"/>
        <v>16.666666666666664</v>
      </c>
      <c r="AA583">
        <f ca="1">IF(T_EMPLOYEES[[#This Row],[EMPLOYEE NUMBER]]="","",ROW(T_EMPLOYEES[[#This Row],[EMPLOYEE LABEL]])-ROW(T_EMPLOYEES[[#Headers],[EMPLOYEE LABEL]]))</f>
        <v>580</v>
      </c>
      <c r="AB583">
        <f ca="1">IF(T_EMPLOYEES[[#This Row],[EMPLOYEE NUMBER]]="","",IF(COUNTIF(T_EMPLOYEES[EMPLOYEE NUMBER],T_EMPLOYEES[[#This Row],[EMPLOYEE NUMBER]])&gt;1,1,0))</f>
        <v>0</v>
      </c>
      <c r="AC583">
        <f ca="1">IF(T_EMPLOYEES[[#This Row],[EMPLOYEE NUMBER]]="","",IF(AND(T_EMPLOYEES[[#This Row],[DATE OF BIRTH]]&gt;0,T_EMPLOYEES[[#This Row],[DATE OF BIRTH]]&lt;TODAY()),0,1))</f>
        <v>0</v>
      </c>
      <c r="AD583">
        <f ca="1">IF(T_EMPLOYEES[[#This Row],[EMPLOYEE NUMBER]]="","",IF(AND(T_EMPLOYEES[[#This Row],[START DATE]]&gt;0,T_EMPLOYEES[[#This Row],[START DATE]]&lt;TODAY()+60),0,1))</f>
        <v>0</v>
      </c>
      <c r="AE583">
        <f ca="1">IF(T_EMPLOYEES[[#This Row],[EMPLOYEE NUMBER]]="","",MATCH(T_EMPLOYEES[[#This Row],[GENDER]],L_GENDER,0))</f>
        <v>1</v>
      </c>
      <c r="AF583">
        <f ca="1">IF(T_EMPLOYEES[[#This Row],[EMPLOYEE NUMBER]]="","",MATCH(T_EMPLOYEES[[#This Row],[HIRE SOURCE]],L_HIRESOURCE,0))</f>
        <v>4</v>
      </c>
      <c r="AG583">
        <f ca="1">IF(T_EMPLOYEES[[#This Row],[EMPLOYEE NUMBER]]="","",MATCH(T_EMPLOYEES[[#This Row],[ETHNICITY]],L_ETHNICITY,0))</f>
        <v>3</v>
      </c>
      <c r="AH583">
        <f ca="1">IF(T_EMPLOYEES[[#This Row],[EMPLOYEE NUMBER]]="","",MATCH(T_EMPLOYEES[[#This Row],[LOCATION]],L_LOCATION,0))</f>
        <v>1</v>
      </c>
      <c r="AI583">
        <f ca="1">IF(T_EMPLOYEES[[#This Row],[EMPLOYEE NUMBER]]="","",MATCH(T_EMPLOYEES[[#This Row],[DEPARTMENT]],L_DEPARTMENT,0))</f>
        <v>2</v>
      </c>
      <c r="AJ583">
        <f ca="1">IF(T_EMPLOYEES[[#This Row],[EMPLOYEE NUMBER]]="","",MATCH(T_EMPLOYEES[[#This Row],[JOB TYPE]],L_JOBTYPE,0))</f>
        <v>2</v>
      </c>
      <c r="AK583">
        <f ca="1">IF(T_EMPLOYEES[[#This Row],[EMPLOYEE NUMBER]]="","",MATCH(T_EMPLOYEES[[#This Row],[JOB CATEGORY]],L_JOBCATEGORY,0))</f>
        <v>30</v>
      </c>
      <c r="AL583">
        <f ca="1">IF(T_EMPLOYEES[[#This Row],[EMPLOYEE NUMBER]]="","",MATCH(T_EMPLOYEES[[#This Row],[JOB LEVEL]],L_JOBLEVEL,0))</f>
        <v>1</v>
      </c>
      <c r="AM583">
        <f ca="1">IF(T_EMPLOYEES[[#This Row],[EMPLOYEE NUMBER]]="","",MATCH(T_EMPLOYEES[[#This Row],[JOB TITLE]],L_JOBTITLE,0))</f>
        <v>30</v>
      </c>
      <c r="AN583">
        <f ca="1">IF(T_EMPLOYEES[[#This Row],[EMPLOYEE NUMBER]]="","",MATCH(T_EMPLOYEES[[#This Row],[MANAGER]],L_EMPLABELS,0))</f>
        <v>38</v>
      </c>
      <c r="AO583">
        <f ca="1">IF(T_EMPLOYEES[[#This Row],[EMPLOYEE NUMBER]]="","",IF(T_EMPLOYEES[[#This Row],[ERROR]]="",0,1))</f>
        <v>0</v>
      </c>
      <c r="AP58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4" spans="1:42">
      <c r="A584" t="s">
        <v>1809</v>
      </c>
      <c r="B584" t="s">
        <v>1810</v>
      </c>
      <c r="C584">
        <v>1033262</v>
      </c>
      <c r="D584" t="s">
        <v>1811</v>
      </c>
      <c r="E584" s="26">
        <v>37389</v>
      </c>
      <c r="F584" s="26">
        <v>45155</v>
      </c>
      <c r="H584" t="s">
        <v>40</v>
      </c>
      <c r="I584" t="s">
        <v>54</v>
      </c>
      <c r="J584" t="s">
        <v>64</v>
      </c>
      <c r="K584" t="s">
        <v>43</v>
      </c>
      <c r="L584" s="27" t="s">
        <v>45</v>
      </c>
      <c r="M584" t="s">
        <v>46</v>
      </c>
      <c r="N584" t="s">
        <v>151</v>
      </c>
      <c r="O584" t="s">
        <v>36</v>
      </c>
      <c r="P584" t="s">
        <v>151</v>
      </c>
      <c r="Q584" t="s">
        <v>726</v>
      </c>
      <c r="R584" s="27">
        <v>0</v>
      </c>
      <c r="S584" s="1">
        <v>1200000</v>
      </c>
      <c r="T584" s="1">
        <f ca="1">ROUND(T_EMPLOYEES[[#This Row],[EMP_CTC1]]/12, 0)</f>
        <v>100000</v>
      </c>
      <c r="U584" s="1">
        <v>1000000</v>
      </c>
      <c r="V584" s="1" t="s">
        <v>207</v>
      </c>
      <c r="W584" s="1" t="s">
        <v>207</v>
      </c>
      <c r="X584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Thammi Soumya (1033262)</v>
      </c>
      <c r="Y584">
        <v>120000</v>
      </c>
      <c r="Z584" s="29">
        <f t="shared" ca="1" si="10"/>
        <v>16.666666666666664</v>
      </c>
      <c r="AA584">
        <f ca="1">IF(T_EMPLOYEES[[#This Row],[EMPLOYEE NUMBER]]="","",ROW(T_EMPLOYEES[[#This Row],[EMPLOYEE LABEL]])-ROW(T_EMPLOYEES[[#Headers],[EMPLOYEE LABEL]]))</f>
        <v>581</v>
      </c>
      <c r="AB584">
        <f ca="1">IF(T_EMPLOYEES[[#This Row],[EMPLOYEE NUMBER]]="","",IF(COUNTIF(T_EMPLOYEES[EMPLOYEE NUMBER],T_EMPLOYEES[[#This Row],[EMPLOYEE NUMBER]])&gt;1,1,0))</f>
        <v>0</v>
      </c>
      <c r="AC584">
        <f ca="1">IF(T_EMPLOYEES[[#This Row],[EMPLOYEE NUMBER]]="","",IF(AND(T_EMPLOYEES[[#This Row],[DATE OF BIRTH]]&gt;0,T_EMPLOYEES[[#This Row],[DATE OF BIRTH]]&lt;TODAY()),0,1))</f>
        <v>0</v>
      </c>
      <c r="AD584">
        <f ca="1">IF(T_EMPLOYEES[[#This Row],[EMPLOYEE NUMBER]]="","",IF(AND(T_EMPLOYEES[[#This Row],[START DATE]]&gt;0,T_EMPLOYEES[[#This Row],[START DATE]]&lt;TODAY()+60),0,1))</f>
        <v>0</v>
      </c>
      <c r="AE584">
        <f ca="1">IF(T_EMPLOYEES[[#This Row],[EMPLOYEE NUMBER]]="","",MATCH(T_EMPLOYEES[[#This Row],[GENDER]],L_GENDER,0))</f>
        <v>2</v>
      </c>
      <c r="AF584">
        <f ca="1">IF(T_EMPLOYEES[[#This Row],[EMPLOYEE NUMBER]]="","",MATCH(T_EMPLOYEES[[#This Row],[HIRE SOURCE]],L_HIRESOURCE,0))</f>
        <v>4</v>
      </c>
      <c r="AG584">
        <f ca="1">IF(T_EMPLOYEES[[#This Row],[EMPLOYEE NUMBER]]="","",MATCH(T_EMPLOYEES[[#This Row],[ETHNICITY]],L_ETHNICITY,0))</f>
        <v>3</v>
      </c>
      <c r="AH584">
        <f ca="1">IF(T_EMPLOYEES[[#This Row],[EMPLOYEE NUMBER]]="","",MATCH(T_EMPLOYEES[[#This Row],[LOCATION]],L_LOCATION,0))</f>
        <v>2</v>
      </c>
      <c r="AI584">
        <f ca="1">IF(T_EMPLOYEES[[#This Row],[EMPLOYEE NUMBER]]="","",MATCH(T_EMPLOYEES[[#This Row],[DEPARTMENT]],L_DEPARTMENT,0))</f>
        <v>2</v>
      </c>
      <c r="AJ584">
        <f ca="1">IF(T_EMPLOYEES[[#This Row],[EMPLOYEE NUMBER]]="","",MATCH(T_EMPLOYEES[[#This Row],[JOB TYPE]],L_JOBTYPE,0))</f>
        <v>2</v>
      </c>
      <c r="AK584">
        <f ca="1">IF(T_EMPLOYEES[[#This Row],[EMPLOYEE NUMBER]]="","",MATCH(T_EMPLOYEES[[#This Row],[JOB CATEGORY]],L_JOBCATEGORY,0))</f>
        <v>30</v>
      </c>
      <c r="AL584">
        <f ca="1">IF(T_EMPLOYEES[[#This Row],[EMPLOYEE NUMBER]]="","",MATCH(T_EMPLOYEES[[#This Row],[JOB LEVEL]],L_JOBLEVEL,0))</f>
        <v>1</v>
      </c>
      <c r="AM584">
        <f ca="1">IF(T_EMPLOYEES[[#This Row],[EMPLOYEE NUMBER]]="","",MATCH(T_EMPLOYEES[[#This Row],[JOB TITLE]],L_JOBTITLE,0))</f>
        <v>30</v>
      </c>
      <c r="AN584">
        <f ca="1">IF(T_EMPLOYEES[[#This Row],[EMPLOYEE NUMBER]]="","",MATCH(T_EMPLOYEES[[#This Row],[MANAGER]],L_EMPLABELS,0))</f>
        <v>59</v>
      </c>
      <c r="AO584">
        <f ca="1">IF(T_EMPLOYEES[[#This Row],[EMPLOYEE NUMBER]]="","",IF(T_EMPLOYEES[[#This Row],[ERROR]]="",0,1))</f>
        <v>0</v>
      </c>
      <c r="AP584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5" spans="1:42">
      <c r="A585" t="s">
        <v>1812</v>
      </c>
      <c r="B585" t="s">
        <v>1813</v>
      </c>
      <c r="C585">
        <v>1033227</v>
      </c>
      <c r="D585" t="s">
        <v>1814</v>
      </c>
      <c r="E585" s="26">
        <v>37392</v>
      </c>
      <c r="F585" s="26">
        <v>45155</v>
      </c>
      <c r="H585" t="s">
        <v>27</v>
      </c>
      <c r="I585" t="s">
        <v>54</v>
      </c>
      <c r="J585" t="s">
        <v>64</v>
      </c>
      <c r="K585" t="s">
        <v>30</v>
      </c>
      <c r="L585" s="27" t="s">
        <v>118</v>
      </c>
      <c r="M585" t="s">
        <v>46</v>
      </c>
      <c r="N585" t="s">
        <v>151</v>
      </c>
      <c r="O585" t="s">
        <v>36</v>
      </c>
      <c r="P585" t="s">
        <v>151</v>
      </c>
      <c r="Q585" t="s">
        <v>353</v>
      </c>
      <c r="R585">
        <v>0</v>
      </c>
      <c r="S585" s="1">
        <v>1200000</v>
      </c>
      <c r="T585" s="1">
        <f ca="1">ROUND(T_EMPLOYEES[[#This Row],[EMP_CTC1]]/12, 0)</f>
        <v>100000</v>
      </c>
      <c r="U585" s="1">
        <v>1000000</v>
      </c>
      <c r="V585" s="1" t="s">
        <v>207</v>
      </c>
      <c r="W585" s="1" t="s">
        <v>207</v>
      </c>
      <c r="X585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Sriram Krishnakumar (1033227)</v>
      </c>
      <c r="Y585">
        <v>120000</v>
      </c>
      <c r="Z585" s="29">
        <f t="shared" ca="1" si="10"/>
        <v>16.666666666666664</v>
      </c>
      <c r="AA585">
        <f ca="1">IF(T_EMPLOYEES[[#This Row],[EMPLOYEE NUMBER]]="","",ROW(T_EMPLOYEES[[#This Row],[EMPLOYEE LABEL]])-ROW(T_EMPLOYEES[[#Headers],[EMPLOYEE LABEL]]))</f>
        <v>582</v>
      </c>
      <c r="AB585">
        <f ca="1">IF(T_EMPLOYEES[[#This Row],[EMPLOYEE NUMBER]]="","",IF(COUNTIF(T_EMPLOYEES[EMPLOYEE NUMBER],T_EMPLOYEES[[#This Row],[EMPLOYEE NUMBER]])&gt;1,1,0))</f>
        <v>0</v>
      </c>
      <c r="AC585">
        <f ca="1">IF(T_EMPLOYEES[[#This Row],[EMPLOYEE NUMBER]]="","",IF(AND(T_EMPLOYEES[[#This Row],[DATE OF BIRTH]]&gt;0,T_EMPLOYEES[[#This Row],[DATE OF BIRTH]]&lt;TODAY()),0,1))</f>
        <v>0</v>
      </c>
      <c r="AD585">
        <f ca="1">IF(T_EMPLOYEES[[#This Row],[EMPLOYEE NUMBER]]="","",IF(AND(T_EMPLOYEES[[#This Row],[START DATE]]&gt;0,T_EMPLOYEES[[#This Row],[START DATE]]&lt;TODAY()+60),0,1))</f>
        <v>0</v>
      </c>
      <c r="AE585">
        <f ca="1">IF(T_EMPLOYEES[[#This Row],[EMPLOYEE NUMBER]]="","",MATCH(T_EMPLOYEES[[#This Row],[GENDER]],L_GENDER,0))</f>
        <v>1</v>
      </c>
      <c r="AF585">
        <f ca="1">IF(T_EMPLOYEES[[#This Row],[EMPLOYEE NUMBER]]="","",MATCH(T_EMPLOYEES[[#This Row],[HIRE SOURCE]],L_HIRESOURCE,0))</f>
        <v>4</v>
      </c>
      <c r="AG585">
        <f ca="1">IF(T_EMPLOYEES[[#This Row],[EMPLOYEE NUMBER]]="","",MATCH(T_EMPLOYEES[[#This Row],[ETHNICITY]],L_ETHNICITY,0))</f>
        <v>3</v>
      </c>
      <c r="AH585">
        <f ca="1">IF(T_EMPLOYEES[[#This Row],[EMPLOYEE NUMBER]]="","",MATCH(T_EMPLOYEES[[#This Row],[LOCATION]],L_LOCATION,0))</f>
        <v>1</v>
      </c>
      <c r="AI585">
        <f ca="1">IF(T_EMPLOYEES[[#This Row],[EMPLOYEE NUMBER]]="","",MATCH(T_EMPLOYEES[[#This Row],[DEPARTMENT]],L_DEPARTMENT,0))</f>
        <v>12</v>
      </c>
      <c r="AJ585">
        <f ca="1">IF(T_EMPLOYEES[[#This Row],[EMPLOYEE NUMBER]]="","",MATCH(T_EMPLOYEES[[#This Row],[JOB TYPE]],L_JOBTYPE,0))</f>
        <v>2</v>
      </c>
      <c r="AK585">
        <f ca="1">IF(T_EMPLOYEES[[#This Row],[EMPLOYEE NUMBER]]="","",MATCH(T_EMPLOYEES[[#This Row],[JOB CATEGORY]],L_JOBCATEGORY,0))</f>
        <v>30</v>
      </c>
      <c r="AL585">
        <f ca="1">IF(T_EMPLOYEES[[#This Row],[EMPLOYEE NUMBER]]="","",MATCH(T_EMPLOYEES[[#This Row],[JOB LEVEL]],L_JOBLEVEL,0))</f>
        <v>1</v>
      </c>
      <c r="AM585">
        <f ca="1">IF(T_EMPLOYEES[[#This Row],[EMPLOYEE NUMBER]]="","",MATCH(T_EMPLOYEES[[#This Row],[JOB TITLE]],L_JOBTITLE,0))</f>
        <v>30</v>
      </c>
      <c r="AN585">
        <f ca="1">IF(T_EMPLOYEES[[#This Row],[EMPLOYEE NUMBER]]="","",MATCH(T_EMPLOYEES[[#This Row],[MANAGER]],L_EMPLABELS,0))</f>
        <v>137</v>
      </c>
      <c r="AO585">
        <f ca="1">IF(T_EMPLOYEES[[#This Row],[EMPLOYEE NUMBER]]="","",IF(T_EMPLOYEES[[#This Row],[ERROR]]="",0,1))</f>
        <v>0</v>
      </c>
      <c r="AP585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6" spans="1:42">
      <c r="A586" t="s">
        <v>1815</v>
      </c>
      <c r="B586" t="s">
        <v>1816</v>
      </c>
      <c r="C586">
        <v>1033241</v>
      </c>
      <c r="D586" t="s">
        <v>1817</v>
      </c>
      <c r="E586" s="26">
        <v>37416</v>
      </c>
      <c r="F586" s="26">
        <v>45155</v>
      </c>
      <c r="H586" t="s">
        <v>27</v>
      </c>
      <c r="I586" t="s">
        <v>54</v>
      </c>
      <c r="J586" t="s">
        <v>64</v>
      </c>
      <c r="K586" t="s">
        <v>43</v>
      </c>
      <c r="L586" s="27" t="s">
        <v>45</v>
      </c>
      <c r="M586" t="s">
        <v>46</v>
      </c>
      <c r="N586" t="s">
        <v>151</v>
      </c>
      <c r="O586" t="s">
        <v>36</v>
      </c>
      <c r="P586" t="s">
        <v>151</v>
      </c>
      <c r="Q586" t="s">
        <v>1522</v>
      </c>
      <c r="R586" s="27">
        <v>0</v>
      </c>
      <c r="S586" s="1">
        <v>1200000</v>
      </c>
      <c r="T586" s="1">
        <f ca="1">ROUND(T_EMPLOYEES[[#This Row],[EMP_CTC1]]/12, 0)</f>
        <v>100000</v>
      </c>
      <c r="U586" s="1">
        <v>1000000</v>
      </c>
      <c r="V586" s="1" t="s">
        <v>207</v>
      </c>
      <c r="W586" s="1" t="s">
        <v>207</v>
      </c>
      <c r="X586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Chittaboina Uday Sai Yadav (1033241)</v>
      </c>
      <c r="Y586">
        <v>120000</v>
      </c>
      <c r="Z586" s="29">
        <f t="shared" ca="1" si="10"/>
        <v>16.666666666666664</v>
      </c>
      <c r="AA586">
        <f ca="1">IF(T_EMPLOYEES[[#This Row],[EMPLOYEE NUMBER]]="","",ROW(T_EMPLOYEES[[#This Row],[EMPLOYEE LABEL]])-ROW(T_EMPLOYEES[[#Headers],[EMPLOYEE LABEL]]))</f>
        <v>583</v>
      </c>
      <c r="AB586">
        <f ca="1">IF(T_EMPLOYEES[[#This Row],[EMPLOYEE NUMBER]]="","",IF(COUNTIF(T_EMPLOYEES[EMPLOYEE NUMBER],T_EMPLOYEES[[#This Row],[EMPLOYEE NUMBER]])&gt;1,1,0))</f>
        <v>0</v>
      </c>
      <c r="AC586">
        <f ca="1">IF(T_EMPLOYEES[[#This Row],[EMPLOYEE NUMBER]]="","",IF(AND(T_EMPLOYEES[[#This Row],[DATE OF BIRTH]]&gt;0,T_EMPLOYEES[[#This Row],[DATE OF BIRTH]]&lt;TODAY()),0,1))</f>
        <v>0</v>
      </c>
      <c r="AD586">
        <f ca="1">IF(T_EMPLOYEES[[#This Row],[EMPLOYEE NUMBER]]="","",IF(AND(T_EMPLOYEES[[#This Row],[START DATE]]&gt;0,T_EMPLOYEES[[#This Row],[START DATE]]&lt;TODAY()+60),0,1))</f>
        <v>0</v>
      </c>
      <c r="AE586">
        <f ca="1">IF(T_EMPLOYEES[[#This Row],[EMPLOYEE NUMBER]]="","",MATCH(T_EMPLOYEES[[#This Row],[GENDER]],L_GENDER,0))</f>
        <v>1</v>
      </c>
      <c r="AF586">
        <f ca="1">IF(T_EMPLOYEES[[#This Row],[EMPLOYEE NUMBER]]="","",MATCH(T_EMPLOYEES[[#This Row],[HIRE SOURCE]],L_HIRESOURCE,0))</f>
        <v>4</v>
      </c>
      <c r="AG586">
        <f ca="1">IF(T_EMPLOYEES[[#This Row],[EMPLOYEE NUMBER]]="","",MATCH(T_EMPLOYEES[[#This Row],[ETHNICITY]],L_ETHNICITY,0))</f>
        <v>3</v>
      </c>
      <c r="AH586">
        <f ca="1">IF(T_EMPLOYEES[[#This Row],[EMPLOYEE NUMBER]]="","",MATCH(T_EMPLOYEES[[#This Row],[LOCATION]],L_LOCATION,0))</f>
        <v>2</v>
      </c>
      <c r="AI586">
        <f ca="1">IF(T_EMPLOYEES[[#This Row],[EMPLOYEE NUMBER]]="","",MATCH(T_EMPLOYEES[[#This Row],[DEPARTMENT]],L_DEPARTMENT,0))</f>
        <v>2</v>
      </c>
      <c r="AJ586">
        <f ca="1">IF(T_EMPLOYEES[[#This Row],[EMPLOYEE NUMBER]]="","",MATCH(T_EMPLOYEES[[#This Row],[JOB TYPE]],L_JOBTYPE,0))</f>
        <v>2</v>
      </c>
      <c r="AK586">
        <f ca="1">IF(T_EMPLOYEES[[#This Row],[EMPLOYEE NUMBER]]="","",MATCH(T_EMPLOYEES[[#This Row],[JOB CATEGORY]],L_JOBCATEGORY,0))</f>
        <v>30</v>
      </c>
      <c r="AL586">
        <f ca="1">IF(T_EMPLOYEES[[#This Row],[EMPLOYEE NUMBER]]="","",MATCH(T_EMPLOYEES[[#This Row],[JOB LEVEL]],L_JOBLEVEL,0))</f>
        <v>1</v>
      </c>
      <c r="AM586">
        <f ca="1">IF(T_EMPLOYEES[[#This Row],[EMPLOYEE NUMBER]]="","",MATCH(T_EMPLOYEES[[#This Row],[JOB TITLE]],L_JOBTITLE,0))</f>
        <v>30</v>
      </c>
      <c r="AN586">
        <f ca="1">IF(T_EMPLOYEES[[#This Row],[EMPLOYEE NUMBER]]="","",MATCH(T_EMPLOYEES[[#This Row],[MANAGER]],L_EMPLABELS,0))</f>
        <v>38</v>
      </c>
      <c r="AO586">
        <f ca="1">IF(T_EMPLOYEES[[#This Row],[EMPLOYEE NUMBER]]="","",IF(T_EMPLOYEES[[#This Row],[ERROR]]="",0,1))</f>
        <v>0</v>
      </c>
      <c r="AP586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7" spans="1:42">
      <c r="A587" t="s">
        <v>1818</v>
      </c>
      <c r="B587" t="s">
        <v>1819</v>
      </c>
      <c r="C587">
        <v>1033246</v>
      </c>
      <c r="D587" t="s">
        <v>1820</v>
      </c>
      <c r="E587" s="26">
        <v>37438</v>
      </c>
      <c r="F587" s="26">
        <v>45155</v>
      </c>
      <c r="H587" t="s">
        <v>27</v>
      </c>
      <c r="I587" t="s">
        <v>54</v>
      </c>
      <c r="J587" t="s">
        <v>64</v>
      </c>
      <c r="K587" t="s">
        <v>30</v>
      </c>
      <c r="L587" s="27" t="s">
        <v>45</v>
      </c>
      <c r="M587" t="s">
        <v>46</v>
      </c>
      <c r="N587" t="s">
        <v>151</v>
      </c>
      <c r="O587" t="s">
        <v>36</v>
      </c>
      <c r="P587" t="s">
        <v>151</v>
      </c>
      <c r="Q587" t="s">
        <v>1522</v>
      </c>
      <c r="R587">
        <v>0</v>
      </c>
      <c r="S587" s="1">
        <v>1200000</v>
      </c>
      <c r="T587" s="1">
        <f ca="1">ROUND(T_EMPLOYEES[[#This Row],[EMP_CTC1]]/12, 0)</f>
        <v>100000</v>
      </c>
      <c r="U587" s="1">
        <v>1000000</v>
      </c>
      <c r="V587" s="1" t="s">
        <v>207</v>
      </c>
      <c r="W587" s="1" t="s">
        <v>207</v>
      </c>
      <c r="X587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Bhosle Rohith (1033246)</v>
      </c>
      <c r="Y587">
        <v>120000</v>
      </c>
      <c r="Z587" s="29">
        <f t="shared" ca="1" si="10"/>
        <v>16.666666666666664</v>
      </c>
      <c r="AA587">
        <f ca="1">IF(T_EMPLOYEES[[#This Row],[EMPLOYEE NUMBER]]="","",ROW(T_EMPLOYEES[[#This Row],[EMPLOYEE LABEL]])-ROW(T_EMPLOYEES[[#Headers],[EMPLOYEE LABEL]]))</f>
        <v>584</v>
      </c>
      <c r="AB587">
        <f ca="1">IF(T_EMPLOYEES[[#This Row],[EMPLOYEE NUMBER]]="","",IF(COUNTIF(T_EMPLOYEES[EMPLOYEE NUMBER],T_EMPLOYEES[[#This Row],[EMPLOYEE NUMBER]])&gt;1,1,0))</f>
        <v>0</v>
      </c>
      <c r="AC587">
        <f ca="1">IF(T_EMPLOYEES[[#This Row],[EMPLOYEE NUMBER]]="","",IF(AND(T_EMPLOYEES[[#This Row],[DATE OF BIRTH]]&gt;0,T_EMPLOYEES[[#This Row],[DATE OF BIRTH]]&lt;TODAY()),0,1))</f>
        <v>0</v>
      </c>
      <c r="AD587">
        <f ca="1">IF(T_EMPLOYEES[[#This Row],[EMPLOYEE NUMBER]]="","",IF(AND(T_EMPLOYEES[[#This Row],[START DATE]]&gt;0,T_EMPLOYEES[[#This Row],[START DATE]]&lt;TODAY()+60),0,1))</f>
        <v>0</v>
      </c>
      <c r="AE587">
        <f ca="1">IF(T_EMPLOYEES[[#This Row],[EMPLOYEE NUMBER]]="","",MATCH(T_EMPLOYEES[[#This Row],[GENDER]],L_GENDER,0))</f>
        <v>1</v>
      </c>
      <c r="AF587">
        <f ca="1">IF(T_EMPLOYEES[[#This Row],[EMPLOYEE NUMBER]]="","",MATCH(T_EMPLOYEES[[#This Row],[HIRE SOURCE]],L_HIRESOURCE,0))</f>
        <v>4</v>
      </c>
      <c r="AG587">
        <f ca="1">IF(T_EMPLOYEES[[#This Row],[EMPLOYEE NUMBER]]="","",MATCH(T_EMPLOYEES[[#This Row],[ETHNICITY]],L_ETHNICITY,0))</f>
        <v>3</v>
      </c>
      <c r="AH587">
        <f ca="1">IF(T_EMPLOYEES[[#This Row],[EMPLOYEE NUMBER]]="","",MATCH(T_EMPLOYEES[[#This Row],[LOCATION]],L_LOCATION,0))</f>
        <v>1</v>
      </c>
      <c r="AI587">
        <f ca="1">IF(T_EMPLOYEES[[#This Row],[EMPLOYEE NUMBER]]="","",MATCH(T_EMPLOYEES[[#This Row],[DEPARTMENT]],L_DEPARTMENT,0))</f>
        <v>2</v>
      </c>
      <c r="AJ587">
        <f ca="1">IF(T_EMPLOYEES[[#This Row],[EMPLOYEE NUMBER]]="","",MATCH(T_EMPLOYEES[[#This Row],[JOB TYPE]],L_JOBTYPE,0))</f>
        <v>2</v>
      </c>
      <c r="AK587">
        <f ca="1">IF(T_EMPLOYEES[[#This Row],[EMPLOYEE NUMBER]]="","",MATCH(T_EMPLOYEES[[#This Row],[JOB CATEGORY]],L_JOBCATEGORY,0))</f>
        <v>30</v>
      </c>
      <c r="AL587">
        <f ca="1">IF(T_EMPLOYEES[[#This Row],[EMPLOYEE NUMBER]]="","",MATCH(T_EMPLOYEES[[#This Row],[JOB LEVEL]],L_JOBLEVEL,0))</f>
        <v>1</v>
      </c>
      <c r="AM587">
        <f ca="1">IF(T_EMPLOYEES[[#This Row],[EMPLOYEE NUMBER]]="","",MATCH(T_EMPLOYEES[[#This Row],[JOB TITLE]],L_JOBTITLE,0))</f>
        <v>30</v>
      </c>
      <c r="AN587">
        <f ca="1">IF(T_EMPLOYEES[[#This Row],[EMPLOYEE NUMBER]]="","",MATCH(T_EMPLOYEES[[#This Row],[MANAGER]],L_EMPLABELS,0))</f>
        <v>38</v>
      </c>
      <c r="AO587">
        <f ca="1">IF(T_EMPLOYEES[[#This Row],[EMPLOYEE NUMBER]]="","",IF(T_EMPLOYEES[[#This Row],[ERROR]]="",0,1))</f>
        <v>0</v>
      </c>
      <c r="AP587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8" spans="1:42">
      <c r="A588" t="s">
        <v>296</v>
      </c>
      <c r="B588" t="s">
        <v>1821</v>
      </c>
      <c r="C588">
        <v>1033244</v>
      </c>
      <c r="D588" t="s">
        <v>1822</v>
      </c>
      <c r="E588" s="26">
        <v>37472</v>
      </c>
      <c r="F588" s="26">
        <v>45155</v>
      </c>
      <c r="H588" t="s">
        <v>27</v>
      </c>
      <c r="I588" t="s">
        <v>54</v>
      </c>
      <c r="J588" t="s">
        <v>64</v>
      </c>
      <c r="K588" t="s">
        <v>43</v>
      </c>
      <c r="L588" s="27" t="s">
        <v>118</v>
      </c>
      <c r="M588" t="s">
        <v>46</v>
      </c>
      <c r="N588" t="s">
        <v>151</v>
      </c>
      <c r="O588" t="s">
        <v>36</v>
      </c>
      <c r="P588" t="s">
        <v>151</v>
      </c>
      <c r="Q588" t="s">
        <v>353</v>
      </c>
      <c r="R588">
        <v>0</v>
      </c>
      <c r="S588" s="1">
        <v>1200000</v>
      </c>
      <c r="T588" s="1">
        <f ca="1">ROUND(T_EMPLOYEES[[#This Row],[EMP_CTC1]]/12, 0)</f>
        <v>100000</v>
      </c>
      <c r="U588" s="1">
        <v>1000000</v>
      </c>
      <c r="V588" s="1" t="s">
        <v>207</v>
      </c>
      <c r="W588" s="1" t="s">
        <v>207</v>
      </c>
      <c r="X588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Chiluka Abhilash (1033244)</v>
      </c>
      <c r="Y588">
        <v>120000</v>
      </c>
      <c r="Z588" s="29">
        <f t="shared" ca="1" si="10"/>
        <v>16.666666666666664</v>
      </c>
      <c r="AA588">
        <f ca="1">IF(T_EMPLOYEES[[#This Row],[EMPLOYEE NUMBER]]="","",ROW(T_EMPLOYEES[[#This Row],[EMPLOYEE LABEL]])-ROW(T_EMPLOYEES[[#Headers],[EMPLOYEE LABEL]]))</f>
        <v>585</v>
      </c>
      <c r="AB588">
        <f ca="1">IF(T_EMPLOYEES[[#This Row],[EMPLOYEE NUMBER]]="","",IF(COUNTIF(T_EMPLOYEES[EMPLOYEE NUMBER],T_EMPLOYEES[[#This Row],[EMPLOYEE NUMBER]])&gt;1,1,0))</f>
        <v>0</v>
      </c>
      <c r="AC588">
        <f ca="1">IF(T_EMPLOYEES[[#This Row],[EMPLOYEE NUMBER]]="","",IF(AND(T_EMPLOYEES[[#This Row],[DATE OF BIRTH]]&gt;0,T_EMPLOYEES[[#This Row],[DATE OF BIRTH]]&lt;TODAY()),0,1))</f>
        <v>0</v>
      </c>
      <c r="AD588">
        <f ca="1">IF(T_EMPLOYEES[[#This Row],[EMPLOYEE NUMBER]]="","",IF(AND(T_EMPLOYEES[[#This Row],[START DATE]]&gt;0,T_EMPLOYEES[[#This Row],[START DATE]]&lt;TODAY()+60),0,1))</f>
        <v>0</v>
      </c>
      <c r="AE588">
        <f ca="1">IF(T_EMPLOYEES[[#This Row],[EMPLOYEE NUMBER]]="","",MATCH(T_EMPLOYEES[[#This Row],[GENDER]],L_GENDER,0))</f>
        <v>1</v>
      </c>
      <c r="AF588">
        <f ca="1">IF(T_EMPLOYEES[[#This Row],[EMPLOYEE NUMBER]]="","",MATCH(T_EMPLOYEES[[#This Row],[HIRE SOURCE]],L_HIRESOURCE,0))</f>
        <v>4</v>
      </c>
      <c r="AG588">
        <f ca="1">IF(T_EMPLOYEES[[#This Row],[EMPLOYEE NUMBER]]="","",MATCH(T_EMPLOYEES[[#This Row],[ETHNICITY]],L_ETHNICITY,0))</f>
        <v>3</v>
      </c>
      <c r="AH588">
        <f ca="1">IF(T_EMPLOYEES[[#This Row],[EMPLOYEE NUMBER]]="","",MATCH(T_EMPLOYEES[[#This Row],[LOCATION]],L_LOCATION,0))</f>
        <v>2</v>
      </c>
      <c r="AI588">
        <f ca="1">IF(T_EMPLOYEES[[#This Row],[EMPLOYEE NUMBER]]="","",MATCH(T_EMPLOYEES[[#This Row],[DEPARTMENT]],L_DEPARTMENT,0))</f>
        <v>12</v>
      </c>
      <c r="AJ588">
        <f ca="1">IF(T_EMPLOYEES[[#This Row],[EMPLOYEE NUMBER]]="","",MATCH(T_EMPLOYEES[[#This Row],[JOB TYPE]],L_JOBTYPE,0))</f>
        <v>2</v>
      </c>
      <c r="AK588">
        <f ca="1">IF(T_EMPLOYEES[[#This Row],[EMPLOYEE NUMBER]]="","",MATCH(T_EMPLOYEES[[#This Row],[JOB CATEGORY]],L_JOBCATEGORY,0))</f>
        <v>30</v>
      </c>
      <c r="AL588">
        <f ca="1">IF(T_EMPLOYEES[[#This Row],[EMPLOYEE NUMBER]]="","",MATCH(T_EMPLOYEES[[#This Row],[JOB LEVEL]],L_JOBLEVEL,0))</f>
        <v>1</v>
      </c>
      <c r="AM588">
        <f ca="1">IF(T_EMPLOYEES[[#This Row],[EMPLOYEE NUMBER]]="","",MATCH(T_EMPLOYEES[[#This Row],[JOB TITLE]],L_JOBTITLE,0))</f>
        <v>30</v>
      </c>
      <c r="AN588">
        <f ca="1">IF(T_EMPLOYEES[[#This Row],[EMPLOYEE NUMBER]]="","",MATCH(T_EMPLOYEES[[#This Row],[MANAGER]],L_EMPLABELS,0))</f>
        <v>137</v>
      </c>
      <c r="AO588">
        <f ca="1">IF(T_EMPLOYEES[[#This Row],[EMPLOYEE NUMBER]]="","",IF(T_EMPLOYEES[[#This Row],[ERROR]]="",0,1))</f>
        <v>0</v>
      </c>
      <c r="AP588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9" spans="1:42">
      <c r="A589" t="s">
        <v>670</v>
      </c>
      <c r="B589" t="s">
        <v>1823</v>
      </c>
      <c r="C589">
        <v>1033240</v>
      </c>
      <c r="D589" t="s">
        <v>1824</v>
      </c>
      <c r="E589" s="26">
        <v>37474</v>
      </c>
      <c r="F589" s="26">
        <v>45155</v>
      </c>
      <c r="H589" t="s">
        <v>27</v>
      </c>
      <c r="I589" t="s">
        <v>54</v>
      </c>
      <c r="J589" t="s">
        <v>64</v>
      </c>
      <c r="K589" t="s">
        <v>43</v>
      </c>
      <c r="L589" s="27" t="s">
        <v>45</v>
      </c>
      <c r="M589" t="s">
        <v>46</v>
      </c>
      <c r="N589" t="s">
        <v>151</v>
      </c>
      <c r="O589" t="s">
        <v>36</v>
      </c>
      <c r="P589" t="s">
        <v>151</v>
      </c>
      <c r="Q589" t="s">
        <v>910</v>
      </c>
      <c r="R589">
        <v>0</v>
      </c>
      <c r="S589" s="1">
        <v>1200000</v>
      </c>
      <c r="T589" s="1">
        <f ca="1">ROUND(T_EMPLOYEES[[#This Row],[EMP_CTC1]]/12, 0)</f>
        <v>100000</v>
      </c>
      <c r="U589" s="1">
        <v>1000000</v>
      </c>
      <c r="V589" s="1" t="s">
        <v>207</v>
      </c>
      <c r="W589" s="1" t="s">
        <v>207</v>
      </c>
      <c r="X589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Gunda Varun Sai (1033240)</v>
      </c>
      <c r="Y589">
        <v>120000</v>
      </c>
      <c r="Z589" s="29">
        <f t="shared" ca="1" si="10"/>
        <v>16.666666666666664</v>
      </c>
      <c r="AA589">
        <f ca="1">IF(T_EMPLOYEES[[#This Row],[EMPLOYEE NUMBER]]="","",ROW(T_EMPLOYEES[[#This Row],[EMPLOYEE LABEL]])-ROW(T_EMPLOYEES[[#Headers],[EMPLOYEE LABEL]]))</f>
        <v>586</v>
      </c>
      <c r="AB589">
        <f ca="1">IF(T_EMPLOYEES[[#This Row],[EMPLOYEE NUMBER]]="","",IF(COUNTIF(T_EMPLOYEES[EMPLOYEE NUMBER],T_EMPLOYEES[[#This Row],[EMPLOYEE NUMBER]])&gt;1,1,0))</f>
        <v>0</v>
      </c>
      <c r="AC589">
        <f ca="1">IF(T_EMPLOYEES[[#This Row],[EMPLOYEE NUMBER]]="","",IF(AND(T_EMPLOYEES[[#This Row],[DATE OF BIRTH]]&gt;0,T_EMPLOYEES[[#This Row],[DATE OF BIRTH]]&lt;TODAY()),0,1))</f>
        <v>0</v>
      </c>
      <c r="AD589">
        <f ca="1">IF(T_EMPLOYEES[[#This Row],[EMPLOYEE NUMBER]]="","",IF(AND(T_EMPLOYEES[[#This Row],[START DATE]]&gt;0,T_EMPLOYEES[[#This Row],[START DATE]]&lt;TODAY()+60),0,1))</f>
        <v>0</v>
      </c>
      <c r="AE589">
        <f ca="1">IF(T_EMPLOYEES[[#This Row],[EMPLOYEE NUMBER]]="","",MATCH(T_EMPLOYEES[[#This Row],[GENDER]],L_GENDER,0))</f>
        <v>1</v>
      </c>
      <c r="AF589">
        <f ca="1">IF(T_EMPLOYEES[[#This Row],[EMPLOYEE NUMBER]]="","",MATCH(T_EMPLOYEES[[#This Row],[HIRE SOURCE]],L_HIRESOURCE,0))</f>
        <v>4</v>
      </c>
      <c r="AG589">
        <f ca="1">IF(T_EMPLOYEES[[#This Row],[EMPLOYEE NUMBER]]="","",MATCH(T_EMPLOYEES[[#This Row],[ETHNICITY]],L_ETHNICITY,0))</f>
        <v>3</v>
      </c>
      <c r="AH589">
        <f ca="1">IF(T_EMPLOYEES[[#This Row],[EMPLOYEE NUMBER]]="","",MATCH(T_EMPLOYEES[[#This Row],[LOCATION]],L_LOCATION,0))</f>
        <v>2</v>
      </c>
      <c r="AI589">
        <f ca="1">IF(T_EMPLOYEES[[#This Row],[EMPLOYEE NUMBER]]="","",MATCH(T_EMPLOYEES[[#This Row],[DEPARTMENT]],L_DEPARTMENT,0))</f>
        <v>2</v>
      </c>
      <c r="AJ589">
        <f ca="1">IF(T_EMPLOYEES[[#This Row],[EMPLOYEE NUMBER]]="","",MATCH(T_EMPLOYEES[[#This Row],[JOB TYPE]],L_JOBTYPE,0))</f>
        <v>2</v>
      </c>
      <c r="AK589">
        <f ca="1">IF(T_EMPLOYEES[[#This Row],[EMPLOYEE NUMBER]]="","",MATCH(T_EMPLOYEES[[#This Row],[JOB CATEGORY]],L_JOBCATEGORY,0))</f>
        <v>30</v>
      </c>
      <c r="AL589">
        <f ca="1">IF(T_EMPLOYEES[[#This Row],[EMPLOYEE NUMBER]]="","",MATCH(T_EMPLOYEES[[#This Row],[JOB LEVEL]],L_JOBLEVEL,0))</f>
        <v>1</v>
      </c>
      <c r="AM589">
        <f ca="1">IF(T_EMPLOYEES[[#This Row],[EMPLOYEE NUMBER]]="","",MATCH(T_EMPLOYEES[[#This Row],[JOB TITLE]],L_JOBTITLE,0))</f>
        <v>30</v>
      </c>
      <c r="AN589">
        <f ca="1">IF(T_EMPLOYEES[[#This Row],[EMPLOYEE NUMBER]]="","",MATCH(T_EMPLOYEES[[#This Row],[MANAGER]],L_EMPLABELS,0))</f>
        <v>36</v>
      </c>
      <c r="AO589">
        <f ca="1">IF(T_EMPLOYEES[[#This Row],[EMPLOYEE NUMBER]]="","",IF(T_EMPLOYEES[[#This Row],[ERROR]]="",0,1))</f>
        <v>0</v>
      </c>
      <c r="AP589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90" spans="1:42">
      <c r="A590" t="s">
        <v>1825</v>
      </c>
      <c r="B590" t="s">
        <v>1826</v>
      </c>
      <c r="C590">
        <v>1033217</v>
      </c>
      <c r="D590" t="s">
        <v>1827</v>
      </c>
      <c r="E590" s="26">
        <v>37478</v>
      </c>
      <c r="F590" s="26">
        <v>45155</v>
      </c>
      <c r="H590" t="s">
        <v>40</v>
      </c>
      <c r="I590" t="s">
        <v>54</v>
      </c>
      <c r="J590" t="s">
        <v>64</v>
      </c>
      <c r="K590" t="s">
        <v>30</v>
      </c>
      <c r="L590" s="27" t="s">
        <v>114</v>
      </c>
      <c r="M590" t="s">
        <v>46</v>
      </c>
      <c r="N590" t="s">
        <v>151</v>
      </c>
      <c r="O590" t="s">
        <v>36</v>
      </c>
      <c r="P590" t="s">
        <v>151</v>
      </c>
      <c r="Q590" t="s">
        <v>468</v>
      </c>
      <c r="R590" s="27">
        <v>0</v>
      </c>
      <c r="S590" s="1">
        <v>1200000</v>
      </c>
      <c r="T590" s="1">
        <f ca="1">ROUND(T_EMPLOYEES[[#This Row],[EMP_CTC1]]/12, 0)</f>
        <v>100000</v>
      </c>
      <c r="U590" s="1">
        <v>1000000</v>
      </c>
      <c r="V590" s="1" t="s">
        <v>207</v>
      </c>
      <c r="W590" s="1" t="s">
        <v>207</v>
      </c>
      <c r="X590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Smruti Prangya Rath (1033217)</v>
      </c>
      <c r="Y590">
        <v>120000</v>
      </c>
      <c r="Z590" s="29">
        <f t="shared" ca="1" si="10"/>
        <v>16.666666666666664</v>
      </c>
      <c r="AA590">
        <f ca="1">IF(T_EMPLOYEES[[#This Row],[EMPLOYEE NUMBER]]="","",ROW(T_EMPLOYEES[[#This Row],[EMPLOYEE LABEL]])-ROW(T_EMPLOYEES[[#Headers],[EMPLOYEE LABEL]]))</f>
        <v>587</v>
      </c>
      <c r="AB590">
        <f ca="1">IF(T_EMPLOYEES[[#This Row],[EMPLOYEE NUMBER]]="","",IF(COUNTIF(T_EMPLOYEES[EMPLOYEE NUMBER],T_EMPLOYEES[[#This Row],[EMPLOYEE NUMBER]])&gt;1,1,0))</f>
        <v>0</v>
      </c>
      <c r="AC590">
        <f ca="1">IF(T_EMPLOYEES[[#This Row],[EMPLOYEE NUMBER]]="","",IF(AND(T_EMPLOYEES[[#This Row],[DATE OF BIRTH]]&gt;0,T_EMPLOYEES[[#This Row],[DATE OF BIRTH]]&lt;TODAY()),0,1))</f>
        <v>0</v>
      </c>
      <c r="AD590">
        <f ca="1">IF(T_EMPLOYEES[[#This Row],[EMPLOYEE NUMBER]]="","",IF(AND(T_EMPLOYEES[[#This Row],[START DATE]]&gt;0,T_EMPLOYEES[[#This Row],[START DATE]]&lt;TODAY()+60),0,1))</f>
        <v>0</v>
      </c>
      <c r="AE590">
        <f ca="1">IF(T_EMPLOYEES[[#This Row],[EMPLOYEE NUMBER]]="","",MATCH(T_EMPLOYEES[[#This Row],[GENDER]],L_GENDER,0))</f>
        <v>2</v>
      </c>
      <c r="AF590">
        <f ca="1">IF(T_EMPLOYEES[[#This Row],[EMPLOYEE NUMBER]]="","",MATCH(T_EMPLOYEES[[#This Row],[HIRE SOURCE]],L_HIRESOURCE,0))</f>
        <v>4</v>
      </c>
      <c r="AG590">
        <f ca="1">IF(T_EMPLOYEES[[#This Row],[EMPLOYEE NUMBER]]="","",MATCH(T_EMPLOYEES[[#This Row],[ETHNICITY]],L_ETHNICITY,0))</f>
        <v>3</v>
      </c>
      <c r="AH590">
        <f ca="1">IF(T_EMPLOYEES[[#This Row],[EMPLOYEE NUMBER]]="","",MATCH(T_EMPLOYEES[[#This Row],[LOCATION]],L_LOCATION,0))</f>
        <v>1</v>
      </c>
      <c r="AI590">
        <f ca="1">IF(T_EMPLOYEES[[#This Row],[EMPLOYEE NUMBER]]="","",MATCH(T_EMPLOYEES[[#This Row],[DEPARTMENT]],L_DEPARTMENT,0))</f>
        <v>11</v>
      </c>
      <c r="AJ590">
        <f ca="1">IF(T_EMPLOYEES[[#This Row],[EMPLOYEE NUMBER]]="","",MATCH(T_EMPLOYEES[[#This Row],[JOB TYPE]],L_JOBTYPE,0))</f>
        <v>2</v>
      </c>
      <c r="AK590">
        <f ca="1">IF(T_EMPLOYEES[[#This Row],[EMPLOYEE NUMBER]]="","",MATCH(T_EMPLOYEES[[#This Row],[JOB CATEGORY]],L_JOBCATEGORY,0))</f>
        <v>30</v>
      </c>
      <c r="AL590">
        <f ca="1">IF(T_EMPLOYEES[[#This Row],[EMPLOYEE NUMBER]]="","",MATCH(T_EMPLOYEES[[#This Row],[JOB LEVEL]],L_JOBLEVEL,0))</f>
        <v>1</v>
      </c>
      <c r="AM590">
        <f ca="1">IF(T_EMPLOYEES[[#This Row],[EMPLOYEE NUMBER]]="","",MATCH(T_EMPLOYEES[[#This Row],[JOB TITLE]],L_JOBTITLE,0))</f>
        <v>30</v>
      </c>
      <c r="AN590">
        <f ca="1">IF(T_EMPLOYEES[[#This Row],[EMPLOYEE NUMBER]]="","",MATCH(T_EMPLOYEES[[#This Row],[MANAGER]],L_EMPLABELS,0))</f>
        <v>56</v>
      </c>
      <c r="AO590">
        <f ca="1">IF(T_EMPLOYEES[[#This Row],[EMPLOYEE NUMBER]]="","",IF(T_EMPLOYEES[[#This Row],[ERROR]]="",0,1))</f>
        <v>0</v>
      </c>
      <c r="AP590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91" spans="1:42">
      <c r="A591" t="s">
        <v>1828</v>
      </c>
      <c r="B591" t="s">
        <v>1829</v>
      </c>
      <c r="C591">
        <v>1033250</v>
      </c>
      <c r="D591" t="s">
        <v>1830</v>
      </c>
      <c r="E591" s="26">
        <v>37496</v>
      </c>
      <c r="F591" s="26">
        <v>45155</v>
      </c>
      <c r="H591" t="s">
        <v>27</v>
      </c>
      <c r="I591" t="s">
        <v>54</v>
      </c>
      <c r="J591" t="s">
        <v>64</v>
      </c>
      <c r="K591" t="s">
        <v>30</v>
      </c>
      <c r="L591" s="27" t="s">
        <v>45</v>
      </c>
      <c r="M591" t="s">
        <v>46</v>
      </c>
      <c r="N591" t="s">
        <v>151</v>
      </c>
      <c r="O591" t="s">
        <v>36</v>
      </c>
      <c r="P591" t="s">
        <v>151</v>
      </c>
      <c r="Q591" t="s">
        <v>1522</v>
      </c>
      <c r="R591">
        <v>0</v>
      </c>
      <c r="S591" s="1">
        <v>1200000</v>
      </c>
      <c r="T591" s="1">
        <f ca="1">ROUND(T_EMPLOYEES[[#This Row],[EMP_CTC1]]/12, 0)</f>
        <v>100000</v>
      </c>
      <c r="U591" s="1">
        <v>1000000</v>
      </c>
      <c r="V591" s="1" t="s">
        <v>207</v>
      </c>
      <c r="W591" s="1" t="s">
        <v>207</v>
      </c>
      <c r="X591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Donthula Madhan (1033250)</v>
      </c>
      <c r="Y591">
        <v>120000</v>
      </c>
      <c r="Z591" s="29">
        <f t="shared" ca="1" si="10"/>
        <v>16.666666666666664</v>
      </c>
      <c r="AA591">
        <f ca="1">IF(T_EMPLOYEES[[#This Row],[EMPLOYEE NUMBER]]="","",ROW(T_EMPLOYEES[[#This Row],[EMPLOYEE LABEL]])-ROW(T_EMPLOYEES[[#Headers],[EMPLOYEE LABEL]]))</f>
        <v>588</v>
      </c>
      <c r="AB591">
        <f ca="1">IF(T_EMPLOYEES[[#This Row],[EMPLOYEE NUMBER]]="","",IF(COUNTIF(T_EMPLOYEES[EMPLOYEE NUMBER],T_EMPLOYEES[[#This Row],[EMPLOYEE NUMBER]])&gt;1,1,0))</f>
        <v>0</v>
      </c>
      <c r="AC591">
        <f ca="1">IF(T_EMPLOYEES[[#This Row],[EMPLOYEE NUMBER]]="","",IF(AND(T_EMPLOYEES[[#This Row],[DATE OF BIRTH]]&gt;0,T_EMPLOYEES[[#This Row],[DATE OF BIRTH]]&lt;TODAY()),0,1))</f>
        <v>0</v>
      </c>
      <c r="AD591">
        <f ca="1">IF(T_EMPLOYEES[[#This Row],[EMPLOYEE NUMBER]]="","",IF(AND(T_EMPLOYEES[[#This Row],[START DATE]]&gt;0,T_EMPLOYEES[[#This Row],[START DATE]]&lt;TODAY()+60),0,1))</f>
        <v>0</v>
      </c>
      <c r="AE591">
        <f ca="1">IF(T_EMPLOYEES[[#This Row],[EMPLOYEE NUMBER]]="","",MATCH(T_EMPLOYEES[[#This Row],[GENDER]],L_GENDER,0))</f>
        <v>1</v>
      </c>
      <c r="AF591">
        <f ca="1">IF(T_EMPLOYEES[[#This Row],[EMPLOYEE NUMBER]]="","",MATCH(T_EMPLOYEES[[#This Row],[HIRE SOURCE]],L_HIRESOURCE,0))</f>
        <v>4</v>
      </c>
      <c r="AG591">
        <f ca="1">IF(T_EMPLOYEES[[#This Row],[EMPLOYEE NUMBER]]="","",MATCH(T_EMPLOYEES[[#This Row],[ETHNICITY]],L_ETHNICITY,0))</f>
        <v>3</v>
      </c>
      <c r="AH591">
        <f ca="1">IF(T_EMPLOYEES[[#This Row],[EMPLOYEE NUMBER]]="","",MATCH(T_EMPLOYEES[[#This Row],[LOCATION]],L_LOCATION,0))</f>
        <v>1</v>
      </c>
      <c r="AI591">
        <f ca="1">IF(T_EMPLOYEES[[#This Row],[EMPLOYEE NUMBER]]="","",MATCH(T_EMPLOYEES[[#This Row],[DEPARTMENT]],L_DEPARTMENT,0))</f>
        <v>2</v>
      </c>
      <c r="AJ591">
        <f ca="1">IF(T_EMPLOYEES[[#This Row],[EMPLOYEE NUMBER]]="","",MATCH(T_EMPLOYEES[[#This Row],[JOB TYPE]],L_JOBTYPE,0))</f>
        <v>2</v>
      </c>
      <c r="AK591">
        <f ca="1">IF(T_EMPLOYEES[[#This Row],[EMPLOYEE NUMBER]]="","",MATCH(T_EMPLOYEES[[#This Row],[JOB CATEGORY]],L_JOBCATEGORY,0))</f>
        <v>30</v>
      </c>
      <c r="AL591">
        <f ca="1">IF(T_EMPLOYEES[[#This Row],[EMPLOYEE NUMBER]]="","",MATCH(T_EMPLOYEES[[#This Row],[JOB LEVEL]],L_JOBLEVEL,0))</f>
        <v>1</v>
      </c>
      <c r="AM591">
        <f ca="1">IF(T_EMPLOYEES[[#This Row],[EMPLOYEE NUMBER]]="","",MATCH(T_EMPLOYEES[[#This Row],[JOB TITLE]],L_JOBTITLE,0))</f>
        <v>30</v>
      </c>
      <c r="AN591">
        <f ca="1">IF(T_EMPLOYEES[[#This Row],[EMPLOYEE NUMBER]]="","",MATCH(T_EMPLOYEES[[#This Row],[MANAGER]],L_EMPLABELS,0))</f>
        <v>38</v>
      </c>
      <c r="AO591">
        <f ca="1">IF(T_EMPLOYEES[[#This Row],[EMPLOYEE NUMBER]]="","",IF(T_EMPLOYEES[[#This Row],[ERROR]]="",0,1))</f>
        <v>0</v>
      </c>
      <c r="AP591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92" spans="1:42">
      <c r="A592" t="s">
        <v>1831</v>
      </c>
      <c r="B592" t="s">
        <v>1832</v>
      </c>
      <c r="C592">
        <v>1033251</v>
      </c>
      <c r="D592" t="s">
        <v>1833</v>
      </c>
      <c r="E592" s="26">
        <v>37497</v>
      </c>
      <c r="F592" s="26">
        <v>45155</v>
      </c>
      <c r="H592" t="s">
        <v>27</v>
      </c>
      <c r="I592" t="s">
        <v>54</v>
      </c>
      <c r="J592" t="s">
        <v>64</v>
      </c>
      <c r="K592" t="s">
        <v>30</v>
      </c>
      <c r="L592" s="27" t="s">
        <v>114</v>
      </c>
      <c r="M592" t="s">
        <v>46</v>
      </c>
      <c r="N592" t="s">
        <v>151</v>
      </c>
      <c r="O592" t="s">
        <v>36</v>
      </c>
      <c r="P592" t="s">
        <v>151</v>
      </c>
      <c r="Q592" t="s">
        <v>468</v>
      </c>
      <c r="R592" s="27">
        <v>0</v>
      </c>
      <c r="S592" s="1">
        <v>1200000</v>
      </c>
      <c r="T592" s="1">
        <f ca="1">ROUND(T_EMPLOYEES[[#This Row],[EMP_CTC1]]/12, 0)</f>
        <v>100000</v>
      </c>
      <c r="U592" s="1">
        <v>1000000</v>
      </c>
      <c r="V592" s="1" t="s">
        <v>207</v>
      </c>
      <c r="W592" s="1" t="s">
        <v>207</v>
      </c>
      <c r="X592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Kommunuri Arun Raju (1033251)</v>
      </c>
      <c r="Y592">
        <v>120000</v>
      </c>
      <c r="Z592" s="29">
        <f t="shared" ca="1" si="10"/>
        <v>16.666666666666664</v>
      </c>
      <c r="AA592">
        <f ca="1">IF(T_EMPLOYEES[[#This Row],[EMPLOYEE NUMBER]]="","",ROW(T_EMPLOYEES[[#This Row],[EMPLOYEE LABEL]])-ROW(T_EMPLOYEES[[#Headers],[EMPLOYEE LABEL]]))</f>
        <v>589</v>
      </c>
      <c r="AB592">
        <f ca="1">IF(T_EMPLOYEES[[#This Row],[EMPLOYEE NUMBER]]="","",IF(COUNTIF(T_EMPLOYEES[EMPLOYEE NUMBER],T_EMPLOYEES[[#This Row],[EMPLOYEE NUMBER]])&gt;1,1,0))</f>
        <v>0</v>
      </c>
      <c r="AC592">
        <f ca="1">IF(T_EMPLOYEES[[#This Row],[EMPLOYEE NUMBER]]="","",IF(AND(T_EMPLOYEES[[#This Row],[DATE OF BIRTH]]&gt;0,T_EMPLOYEES[[#This Row],[DATE OF BIRTH]]&lt;TODAY()),0,1))</f>
        <v>0</v>
      </c>
      <c r="AD592">
        <f ca="1">IF(T_EMPLOYEES[[#This Row],[EMPLOYEE NUMBER]]="","",IF(AND(T_EMPLOYEES[[#This Row],[START DATE]]&gt;0,T_EMPLOYEES[[#This Row],[START DATE]]&lt;TODAY()+60),0,1))</f>
        <v>0</v>
      </c>
      <c r="AE592">
        <f ca="1">IF(T_EMPLOYEES[[#This Row],[EMPLOYEE NUMBER]]="","",MATCH(T_EMPLOYEES[[#This Row],[GENDER]],L_GENDER,0))</f>
        <v>1</v>
      </c>
      <c r="AF592">
        <f ca="1">IF(T_EMPLOYEES[[#This Row],[EMPLOYEE NUMBER]]="","",MATCH(T_EMPLOYEES[[#This Row],[HIRE SOURCE]],L_HIRESOURCE,0))</f>
        <v>4</v>
      </c>
      <c r="AG592">
        <f ca="1">IF(T_EMPLOYEES[[#This Row],[EMPLOYEE NUMBER]]="","",MATCH(T_EMPLOYEES[[#This Row],[ETHNICITY]],L_ETHNICITY,0))</f>
        <v>3</v>
      </c>
      <c r="AH592">
        <f ca="1">IF(T_EMPLOYEES[[#This Row],[EMPLOYEE NUMBER]]="","",MATCH(T_EMPLOYEES[[#This Row],[LOCATION]],L_LOCATION,0))</f>
        <v>1</v>
      </c>
      <c r="AI592">
        <f ca="1">IF(T_EMPLOYEES[[#This Row],[EMPLOYEE NUMBER]]="","",MATCH(T_EMPLOYEES[[#This Row],[DEPARTMENT]],L_DEPARTMENT,0))</f>
        <v>11</v>
      </c>
      <c r="AJ592">
        <f ca="1">IF(T_EMPLOYEES[[#This Row],[EMPLOYEE NUMBER]]="","",MATCH(T_EMPLOYEES[[#This Row],[JOB TYPE]],L_JOBTYPE,0))</f>
        <v>2</v>
      </c>
      <c r="AK592">
        <f ca="1">IF(T_EMPLOYEES[[#This Row],[EMPLOYEE NUMBER]]="","",MATCH(T_EMPLOYEES[[#This Row],[JOB CATEGORY]],L_JOBCATEGORY,0))</f>
        <v>30</v>
      </c>
      <c r="AL592">
        <f ca="1">IF(T_EMPLOYEES[[#This Row],[EMPLOYEE NUMBER]]="","",MATCH(T_EMPLOYEES[[#This Row],[JOB LEVEL]],L_JOBLEVEL,0))</f>
        <v>1</v>
      </c>
      <c r="AM592">
        <f ca="1">IF(T_EMPLOYEES[[#This Row],[EMPLOYEE NUMBER]]="","",MATCH(T_EMPLOYEES[[#This Row],[JOB TITLE]],L_JOBTITLE,0))</f>
        <v>30</v>
      </c>
      <c r="AN592">
        <f ca="1">IF(T_EMPLOYEES[[#This Row],[EMPLOYEE NUMBER]]="","",MATCH(T_EMPLOYEES[[#This Row],[MANAGER]],L_EMPLABELS,0))</f>
        <v>56</v>
      </c>
      <c r="AO592">
        <f ca="1">IF(T_EMPLOYEES[[#This Row],[EMPLOYEE NUMBER]]="","",IF(T_EMPLOYEES[[#This Row],[ERROR]]="",0,1))</f>
        <v>0</v>
      </c>
      <c r="AP592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93" spans="1:42">
      <c r="A593" t="s">
        <v>1834</v>
      </c>
      <c r="B593" t="s">
        <v>1447</v>
      </c>
      <c r="C593">
        <v>1033218</v>
      </c>
      <c r="D593" t="s">
        <v>1835</v>
      </c>
      <c r="E593" s="26">
        <v>37526</v>
      </c>
      <c r="F593" s="26">
        <v>45155</v>
      </c>
      <c r="H593" t="s">
        <v>27</v>
      </c>
      <c r="I593" t="s">
        <v>54</v>
      </c>
      <c r="J593" t="s">
        <v>64</v>
      </c>
      <c r="K593" t="s">
        <v>43</v>
      </c>
      <c r="L593" s="27" t="s">
        <v>114</v>
      </c>
      <c r="M593" t="s">
        <v>46</v>
      </c>
      <c r="N593" t="s">
        <v>151</v>
      </c>
      <c r="O593" t="s">
        <v>36</v>
      </c>
      <c r="P593" t="s">
        <v>151</v>
      </c>
      <c r="Q593" t="s">
        <v>468</v>
      </c>
      <c r="R593">
        <v>0</v>
      </c>
      <c r="S593" s="1">
        <v>1200000</v>
      </c>
      <c r="T593" s="1">
        <f ca="1">ROUND(T_EMPLOYEES[[#This Row],[EMP_CTC1]]/12, 0)</f>
        <v>100000</v>
      </c>
      <c r="U593" s="1">
        <v>1000000</v>
      </c>
      <c r="V593" s="1" t="s">
        <v>207</v>
      </c>
      <c r="W593" s="1" t="s">
        <v>207</v>
      </c>
      <c r="X593" t="str">
        <f ca="1">IFERROR(IF(T_EMPLOYEES[[#This Row],[EMPLOYEE FIRST NAME]]="","",T_EMPLOYEES[[#This Row],[EMPLOYEE FIRST NAME]]&amp;" "&amp;T_EMPLOYEES[[#This Row],[EMPLOYEE LAST NAME]]&amp;" ("&amp;T_EMPLOYEES[[#This Row],[EMPLOYEE NUMBER]]&amp;")"),"")</f>
        <v>Piyush Raj (1033218)</v>
      </c>
      <c r="Y593">
        <v>120000</v>
      </c>
      <c r="Z593" s="29">
        <f t="shared" ca="1" si="10"/>
        <v>16.666666666666664</v>
      </c>
      <c r="AA593">
        <f ca="1">IF(T_EMPLOYEES[[#This Row],[EMPLOYEE NUMBER]]="","",ROW(T_EMPLOYEES[[#This Row],[EMPLOYEE LABEL]])-ROW(T_EMPLOYEES[[#Headers],[EMPLOYEE LABEL]]))</f>
        <v>590</v>
      </c>
      <c r="AB593">
        <f ca="1">IF(T_EMPLOYEES[[#This Row],[EMPLOYEE NUMBER]]="","",IF(COUNTIF(T_EMPLOYEES[EMPLOYEE NUMBER],T_EMPLOYEES[[#This Row],[EMPLOYEE NUMBER]])&gt;1,1,0))</f>
        <v>0</v>
      </c>
      <c r="AC593">
        <f ca="1">IF(T_EMPLOYEES[[#This Row],[EMPLOYEE NUMBER]]="","",IF(AND(T_EMPLOYEES[[#This Row],[DATE OF BIRTH]]&gt;0,T_EMPLOYEES[[#This Row],[DATE OF BIRTH]]&lt;TODAY()),0,1))</f>
        <v>0</v>
      </c>
      <c r="AD593">
        <f ca="1">IF(T_EMPLOYEES[[#This Row],[EMPLOYEE NUMBER]]="","",IF(AND(T_EMPLOYEES[[#This Row],[START DATE]]&gt;0,T_EMPLOYEES[[#This Row],[START DATE]]&lt;TODAY()+60),0,1))</f>
        <v>0</v>
      </c>
      <c r="AE593">
        <f ca="1">IF(T_EMPLOYEES[[#This Row],[EMPLOYEE NUMBER]]="","",MATCH(T_EMPLOYEES[[#This Row],[GENDER]],L_GENDER,0))</f>
        <v>1</v>
      </c>
      <c r="AF593">
        <f ca="1">IF(T_EMPLOYEES[[#This Row],[EMPLOYEE NUMBER]]="","",MATCH(T_EMPLOYEES[[#This Row],[HIRE SOURCE]],L_HIRESOURCE,0))</f>
        <v>4</v>
      </c>
      <c r="AG593">
        <f ca="1">IF(T_EMPLOYEES[[#This Row],[EMPLOYEE NUMBER]]="","",MATCH(T_EMPLOYEES[[#This Row],[ETHNICITY]],L_ETHNICITY,0))</f>
        <v>3</v>
      </c>
      <c r="AH593">
        <f ca="1">IF(T_EMPLOYEES[[#This Row],[EMPLOYEE NUMBER]]="","",MATCH(T_EMPLOYEES[[#This Row],[LOCATION]],L_LOCATION,0))</f>
        <v>2</v>
      </c>
      <c r="AI593">
        <f ca="1">IF(T_EMPLOYEES[[#This Row],[EMPLOYEE NUMBER]]="","",MATCH(T_EMPLOYEES[[#This Row],[DEPARTMENT]],L_DEPARTMENT,0))</f>
        <v>11</v>
      </c>
      <c r="AJ593">
        <f ca="1">IF(T_EMPLOYEES[[#This Row],[EMPLOYEE NUMBER]]="","",MATCH(T_EMPLOYEES[[#This Row],[JOB TYPE]],L_JOBTYPE,0))</f>
        <v>2</v>
      </c>
      <c r="AK593">
        <f ca="1">IF(T_EMPLOYEES[[#This Row],[EMPLOYEE NUMBER]]="","",MATCH(T_EMPLOYEES[[#This Row],[JOB CATEGORY]],L_JOBCATEGORY,0))</f>
        <v>30</v>
      </c>
      <c r="AL593">
        <f ca="1">IF(T_EMPLOYEES[[#This Row],[EMPLOYEE NUMBER]]="","",MATCH(T_EMPLOYEES[[#This Row],[JOB LEVEL]],L_JOBLEVEL,0))</f>
        <v>1</v>
      </c>
      <c r="AM593">
        <f ca="1">IF(T_EMPLOYEES[[#This Row],[EMPLOYEE NUMBER]]="","",MATCH(T_EMPLOYEES[[#This Row],[JOB TITLE]],L_JOBTITLE,0))</f>
        <v>30</v>
      </c>
      <c r="AN593">
        <f ca="1">IF(T_EMPLOYEES[[#This Row],[EMPLOYEE NUMBER]]="","",MATCH(T_EMPLOYEES[[#This Row],[MANAGER]],L_EMPLABELS,0))</f>
        <v>56</v>
      </c>
      <c r="AO593">
        <f ca="1">IF(T_EMPLOYEES[[#This Row],[EMPLOYEE NUMBER]]="","",IF(T_EMPLOYEES[[#This Row],[ERROR]]="",0,1))</f>
        <v>0</v>
      </c>
      <c r="AP593" t="str">
        <f ca="1"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</sheetData>
  <sheetProtection formatCells="0" formatColumns="0" formatRows="0" autoFilter="0"/>
  <phoneticPr fontId="1" type="noConversion"/>
  <dataValidations count="1">
    <dataValidation type="list" allowBlank="1" showInputMessage="1" showErrorMessage="1" sqref="Q4:Q9 Q11:Q593" xr:uid="{F818E0D5-D733-450C-A21C-CFC11A65F699}">
      <formula1>L_EMPLABELS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10F5-F093-4348-8AB3-836EE8151529}">
  <dimension ref="A1:H34"/>
  <sheetViews>
    <sheetView workbookViewId="0">
      <pane ySplit="1" topLeftCell="A7" activePane="bottomLeft" state="frozen"/>
      <selection pane="bottomLeft" activeCell="U4" sqref="U4"/>
    </sheetView>
  </sheetViews>
  <sheetFormatPr defaultRowHeight="14.25"/>
  <cols>
    <col min="1" max="1" width="20.125" customWidth="1"/>
    <col min="2" max="2" width="19.375" customWidth="1"/>
    <col min="3" max="3" width="17.125" customWidth="1"/>
    <col min="4" max="4" width="19.125" customWidth="1"/>
    <col min="5" max="5" width="9.75" customWidth="1"/>
    <col min="6" max="6" width="12.25" customWidth="1"/>
    <col min="8" max="8" width="12.25" customWidth="1"/>
    <col min="21" max="21" width="26.375" customWidth="1"/>
    <col min="22" max="22" width="21" customWidth="1"/>
    <col min="25" max="25" width="19.625" customWidth="1"/>
  </cols>
  <sheetData>
    <row r="1" spans="1:8" ht="15">
      <c r="A1" s="31" t="s">
        <v>187</v>
      </c>
      <c r="B1" s="30" t="s">
        <v>172</v>
      </c>
      <c r="C1" s="30" t="s">
        <v>1836</v>
      </c>
      <c r="D1" s="30" t="s">
        <v>1837</v>
      </c>
      <c r="E1" s="30" t="s">
        <v>1838</v>
      </c>
      <c r="F1" s="30" t="s">
        <v>1839</v>
      </c>
      <c r="G1" s="30" t="s">
        <v>1840</v>
      </c>
      <c r="H1" s="30" t="s">
        <v>1841</v>
      </c>
    </row>
    <row r="2" spans="1:8">
      <c r="A2">
        <v>15</v>
      </c>
      <c r="B2">
        <v>1033925</v>
      </c>
      <c r="C2" t="s">
        <v>1842</v>
      </c>
      <c r="D2" t="s">
        <v>1843</v>
      </c>
      <c r="E2" t="s">
        <v>1844</v>
      </c>
      <c r="F2" t="s">
        <v>1845</v>
      </c>
      <c r="G2" t="s">
        <v>1846</v>
      </c>
      <c r="H2" s="26">
        <v>41640</v>
      </c>
    </row>
    <row r="3" spans="1:8">
      <c r="A3">
        <v>15</v>
      </c>
      <c r="B3">
        <v>1033925</v>
      </c>
      <c r="C3" t="s">
        <v>1847</v>
      </c>
      <c r="D3" t="s">
        <v>1848</v>
      </c>
      <c r="E3" t="s">
        <v>1849</v>
      </c>
      <c r="F3" t="s">
        <v>1845</v>
      </c>
      <c r="G3" t="s">
        <v>1846</v>
      </c>
      <c r="H3" s="26">
        <v>41640</v>
      </c>
    </row>
    <row r="4" spans="1:8">
      <c r="A4">
        <v>16</v>
      </c>
      <c r="B4">
        <v>1019823</v>
      </c>
      <c r="C4" t="s">
        <v>118</v>
      </c>
      <c r="D4" t="s">
        <v>1843</v>
      </c>
      <c r="E4" t="s">
        <v>1844</v>
      </c>
      <c r="F4" t="s">
        <v>1845</v>
      </c>
      <c r="G4" t="s">
        <v>1846</v>
      </c>
      <c r="H4" s="26">
        <v>44927</v>
      </c>
    </row>
    <row r="5" spans="1:8">
      <c r="A5">
        <v>16</v>
      </c>
      <c r="B5">
        <v>1019823</v>
      </c>
      <c r="C5" t="s">
        <v>1847</v>
      </c>
      <c r="D5" t="s">
        <v>1848</v>
      </c>
      <c r="E5" t="s">
        <v>1849</v>
      </c>
      <c r="F5" t="s">
        <v>1845</v>
      </c>
      <c r="G5" t="s">
        <v>1846</v>
      </c>
      <c r="H5" s="26">
        <v>44927</v>
      </c>
    </row>
    <row r="6" spans="1:8">
      <c r="A6">
        <v>17</v>
      </c>
      <c r="B6">
        <v>1033626</v>
      </c>
      <c r="C6" t="s">
        <v>118</v>
      </c>
      <c r="D6" t="s">
        <v>1843</v>
      </c>
      <c r="E6" t="s">
        <v>1844</v>
      </c>
      <c r="F6" t="s">
        <v>1845</v>
      </c>
      <c r="G6" t="s">
        <v>1846</v>
      </c>
      <c r="H6" s="26">
        <v>44927</v>
      </c>
    </row>
    <row r="7" spans="1:8">
      <c r="A7">
        <v>17</v>
      </c>
      <c r="B7">
        <v>1033626</v>
      </c>
      <c r="C7" t="s">
        <v>1847</v>
      </c>
      <c r="D7" t="s">
        <v>1848</v>
      </c>
      <c r="E7" t="s">
        <v>1849</v>
      </c>
      <c r="F7" t="s">
        <v>1845</v>
      </c>
      <c r="G7" t="s">
        <v>1846</v>
      </c>
      <c r="H7" s="26">
        <v>44927</v>
      </c>
    </row>
    <row r="8" spans="1:8">
      <c r="A8">
        <v>17</v>
      </c>
      <c r="B8">
        <v>1033626</v>
      </c>
      <c r="C8" t="s">
        <v>1850</v>
      </c>
      <c r="D8" t="s">
        <v>1848</v>
      </c>
      <c r="E8" t="s">
        <v>1849</v>
      </c>
      <c r="F8" t="s">
        <v>1845</v>
      </c>
      <c r="G8" t="s">
        <v>1846</v>
      </c>
      <c r="H8" s="26">
        <v>45272</v>
      </c>
    </row>
    <row r="9" spans="1:8">
      <c r="A9">
        <v>18</v>
      </c>
      <c r="B9">
        <v>1031048</v>
      </c>
      <c r="C9" t="s">
        <v>1842</v>
      </c>
      <c r="D9" t="s">
        <v>1848</v>
      </c>
      <c r="E9" t="s">
        <v>1844</v>
      </c>
      <c r="F9" t="s">
        <v>1845</v>
      </c>
      <c r="G9" t="s">
        <v>1846</v>
      </c>
      <c r="H9" s="26">
        <v>44927</v>
      </c>
    </row>
    <row r="10" spans="1:8">
      <c r="A10">
        <v>18</v>
      </c>
      <c r="B10">
        <v>1031048</v>
      </c>
      <c r="C10" t="s">
        <v>1847</v>
      </c>
      <c r="D10" t="s">
        <v>1843</v>
      </c>
      <c r="E10" t="s">
        <v>1849</v>
      </c>
      <c r="F10" t="s">
        <v>1845</v>
      </c>
      <c r="G10" t="s">
        <v>1846</v>
      </c>
      <c r="H10" s="26">
        <v>44927</v>
      </c>
    </row>
    <row r="11" spans="1:8">
      <c r="A11">
        <v>18</v>
      </c>
      <c r="B11">
        <v>1031048</v>
      </c>
      <c r="C11" t="s">
        <v>118</v>
      </c>
      <c r="D11" t="s">
        <v>1843</v>
      </c>
      <c r="E11" t="s">
        <v>1849</v>
      </c>
      <c r="F11" t="s">
        <v>1845</v>
      </c>
      <c r="G11" t="s">
        <v>1846</v>
      </c>
      <c r="H11" s="26">
        <v>44896</v>
      </c>
    </row>
    <row r="12" spans="1:8">
      <c r="A12">
        <v>18</v>
      </c>
      <c r="B12">
        <v>1031048</v>
      </c>
      <c r="C12" t="s">
        <v>1850</v>
      </c>
      <c r="D12" t="s">
        <v>1848</v>
      </c>
      <c r="E12" t="s">
        <v>1849</v>
      </c>
      <c r="F12" t="s">
        <v>1845</v>
      </c>
      <c r="G12" t="s">
        <v>1846</v>
      </c>
      <c r="H12" s="26">
        <v>44907</v>
      </c>
    </row>
    <row r="13" spans="1:8">
      <c r="A13">
        <v>421</v>
      </c>
      <c r="B13">
        <v>1026244</v>
      </c>
      <c r="C13" t="s">
        <v>1851</v>
      </c>
      <c r="D13" t="s">
        <v>1843</v>
      </c>
      <c r="E13" t="s">
        <v>1844</v>
      </c>
      <c r="F13" t="s">
        <v>1845</v>
      </c>
      <c r="G13" t="s">
        <v>1846</v>
      </c>
      <c r="H13" s="26">
        <v>43831</v>
      </c>
    </row>
    <row r="14" spans="1:8">
      <c r="A14">
        <v>421</v>
      </c>
      <c r="B14">
        <v>1026244</v>
      </c>
      <c r="C14" t="s">
        <v>1852</v>
      </c>
      <c r="D14" t="s">
        <v>1843</v>
      </c>
      <c r="E14" t="s">
        <v>1844</v>
      </c>
      <c r="F14" t="s">
        <v>1845</v>
      </c>
      <c r="G14" t="s">
        <v>1846</v>
      </c>
      <c r="H14" s="26">
        <v>43831</v>
      </c>
    </row>
    <row r="15" spans="1:8">
      <c r="A15">
        <v>421</v>
      </c>
      <c r="B15">
        <v>1026244</v>
      </c>
      <c r="C15" t="s">
        <v>1853</v>
      </c>
      <c r="D15" t="s">
        <v>1843</v>
      </c>
      <c r="E15" t="s">
        <v>1844</v>
      </c>
      <c r="F15" t="s">
        <v>1845</v>
      </c>
      <c r="G15" t="s">
        <v>1846</v>
      </c>
      <c r="H15" s="26">
        <v>43831</v>
      </c>
    </row>
    <row r="16" spans="1:8">
      <c r="A16">
        <v>421</v>
      </c>
      <c r="B16">
        <v>1026244</v>
      </c>
      <c r="C16" t="s">
        <v>1854</v>
      </c>
      <c r="D16" t="s">
        <v>1843</v>
      </c>
      <c r="E16" t="s">
        <v>1849</v>
      </c>
      <c r="F16" t="s">
        <v>1845</v>
      </c>
      <c r="G16" t="s">
        <v>1846</v>
      </c>
      <c r="H16" s="26">
        <v>44927</v>
      </c>
    </row>
    <row r="17" spans="1:8">
      <c r="A17">
        <v>421</v>
      </c>
      <c r="B17">
        <v>1026244</v>
      </c>
      <c r="C17" t="s">
        <v>1855</v>
      </c>
      <c r="D17" t="s">
        <v>1843</v>
      </c>
      <c r="E17" t="s">
        <v>1849</v>
      </c>
      <c r="F17" t="s">
        <v>1845</v>
      </c>
      <c r="G17" t="s">
        <v>1846</v>
      </c>
      <c r="H17" s="26">
        <v>44562</v>
      </c>
    </row>
    <row r="18" spans="1:8">
      <c r="A18">
        <v>421</v>
      </c>
      <c r="B18">
        <v>1026244</v>
      </c>
      <c r="C18" t="s">
        <v>1842</v>
      </c>
      <c r="D18" t="s">
        <v>1848</v>
      </c>
      <c r="E18" t="s">
        <v>1849</v>
      </c>
      <c r="F18" t="s">
        <v>1845</v>
      </c>
      <c r="G18" t="s">
        <v>1846</v>
      </c>
      <c r="H18" s="26">
        <v>43831</v>
      </c>
    </row>
    <row r="19" spans="1:8">
      <c r="A19">
        <v>423</v>
      </c>
      <c r="B19">
        <v>1033275</v>
      </c>
      <c r="C19" t="s">
        <v>1856</v>
      </c>
      <c r="D19" t="s">
        <v>1843</v>
      </c>
      <c r="E19" t="s">
        <v>1849</v>
      </c>
      <c r="F19" t="s">
        <v>1845</v>
      </c>
      <c r="G19" t="s">
        <v>1846</v>
      </c>
      <c r="H19" s="26">
        <v>43831</v>
      </c>
    </row>
    <row r="20" spans="1:8">
      <c r="A20">
        <v>423</v>
      </c>
      <c r="B20">
        <v>1033275</v>
      </c>
      <c r="C20" t="s">
        <v>1857</v>
      </c>
      <c r="D20" t="s">
        <v>1843</v>
      </c>
      <c r="E20" t="s">
        <v>1849</v>
      </c>
      <c r="F20" t="s">
        <v>1845</v>
      </c>
      <c r="G20" t="s">
        <v>1846</v>
      </c>
      <c r="H20" s="26">
        <v>43831</v>
      </c>
    </row>
    <row r="21" spans="1:8">
      <c r="A21">
        <v>423</v>
      </c>
      <c r="B21">
        <v>1033275</v>
      </c>
      <c r="C21" t="s">
        <v>1858</v>
      </c>
      <c r="D21" t="s">
        <v>1848</v>
      </c>
      <c r="E21" t="s">
        <v>1849</v>
      </c>
      <c r="F21" t="s">
        <v>1845</v>
      </c>
      <c r="G21" t="s">
        <v>1846</v>
      </c>
      <c r="H21" s="26">
        <v>43831</v>
      </c>
    </row>
    <row r="22" spans="1:8">
      <c r="A22">
        <v>423</v>
      </c>
      <c r="B22">
        <v>1033275</v>
      </c>
      <c r="C22" t="s">
        <v>1859</v>
      </c>
      <c r="D22" t="s">
        <v>1843</v>
      </c>
      <c r="E22" t="s">
        <v>1849</v>
      </c>
      <c r="F22" t="s">
        <v>1845</v>
      </c>
      <c r="G22" t="s">
        <v>1846</v>
      </c>
      <c r="H22" s="26">
        <v>43831</v>
      </c>
    </row>
    <row r="32" spans="1:8">
      <c r="A32" t="s">
        <v>1860</v>
      </c>
    </row>
    <row r="34" spans="1:1">
      <c r="A34" t="s">
        <v>1861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A476-8249-4BE2-BDAF-B39934B42A21}">
  <dimension ref="A1:K72"/>
  <sheetViews>
    <sheetView tabSelected="1" workbookViewId="0">
      <pane ySplit="1" topLeftCell="A2" activePane="bottomLeft" state="frozen"/>
      <selection pane="bottomLeft" activeCell="G56" sqref="G56"/>
    </sheetView>
  </sheetViews>
  <sheetFormatPr defaultRowHeight="14.25"/>
  <cols>
    <col min="1" max="1" width="20.75" style="35" bestFit="1" customWidth="1"/>
    <col min="2" max="2" width="6.625" bestFit="1" customWidth="1"/>
    <col min="3" max="3" width="12.875" bestFit="1" customWidth="1"/>
    <col min="5" max="5" width="13" bestFit="1" customWidth="1"/>
    <col min="6" max="6" width="13.75" bestFit="1" customWidth="1"/>
    <col min="7" max="7" width="11.625" customWidth="1"/>
    <col min="8" max="8" width="13.375" customWidth="1"/>
    <col min="9" max="9" width="13.75" customWidth="1"/>
    <col min="10" max="10" width="20.375" style="39" customWidth="1"/>
    <col min="11" max="11" width="12.75" bestFit="1" customWidth="1"/>
    <col min="13" max="13" width="10.875" customWidth="1"/>
    <col min="14" max="14" width="8.625" bestFit="1" customWidth="1"/>
  </cols>
  <sheetData>
    <row r="1" spans="1:11" ht="16.5" customHeight="1">
      <c r="A1" s="34" t="s">
        <v>172</v>
      </c>
      <c r="B1" s="33" t="s">
        <v>1862</v>
      </c>
      <c r="C1" s="33" t="s">
        <v>1863</v>
      </c>
      <c r="D1" s="33" t="s">
        <v>1864</v>
      </c>
      <c r="E1" s="33" t="s">
        <v>1865</v>
      </c>
      <c r="F1" s="33" t="s">
        <v>1866</v>
      </c>
      <c r="G1" s="37" t="s">
        <v>1867</v>
      </c>
      <c r="H1" s="37" t="s">
        <v>1868</v>
      </c>
      <c r="I1" s="33" t="s">
        <v>180</v>
      </c>
      <c r="J1" s="38" t="s">
        <v>1869</v>
      </c>
      <c r="K1" s="33" t="s">
        <v>1870</v>
      </c>
    </row>
    <row r="2" spans="1:11" ht="16.5" customHeight="1">
      <c r="A2" s="35">
        <v>1008532</v>
      </c>
      <c r="B2">
        <v>2022</v>
      </c>
      <c r="C2">
        <v>2200000</v>
      </c>
      <c r="D2">
        <v>8988</v>
      </c>
      <c r="E2">
        <v>0</v>
      </c>
      <c r="F2">
        <v>0</v>
      </c>
      <c r="I2" s="32">
        <f ca="1">ROUND(Table1[[#This Row],[Base_Salary]]/12, 0)</f>
        <v>183333</v>
      </c>
      <c r="J2" s="39">
        <f ca="1">SUM(Table1[[#This Row],[Base_Salary]], Table1[[#This Row],[Bonus]], Table1[[#This Row],[Perks]], Table1[[#This Row],[Other_Comp]])</f>
        <v>2208988</v>
      </c>
      <c r="K2" s="3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3" spans="1:11">
      <c r="A3" s="35">
        <v>1008532</v>
      </c>
      <c r="B3">
        <v>2023</v>
      </c>
      <c r="C3">
        <v>2300000</v>
      </c>
      <c r="D3">
        <v>0</v>
      </c>
      <c r="E3">
        <v>0</v>
      </c>
      <c r="F3">
        <v>60000</v>
      </c>
      <c r="I3">
        <f ca="1">ROUND(Table1[[#This Row],[Base_Salary]]/12, 0)</f>
        <v>191667</v>
      </c>
      <c r="J3" s="39">
        <f ca="1">SUM(Table1[[#This Row],[Base_Salary]], Table1[[#This Row],[Bonus]], Table1[[#This Row],[Perks]], Table1[[#This Row],[Other_Comp]])</f>
        <v>2360000</v>
      </c>
      <c r="K3" s="3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6.8362526188462766E-2</v>
      </c>
    </row>
    <row r="4" spans="1:11">
      <c r="A4" s="35">
        <v>1008532</v>
      </c>
      <c r="B4">
        <v>2024</v>
      </c>
      <c r="C4">
        <v>5000000</v>
      </c>
      <c r="D4">
        <v>40000</v>
      </c>
      <c r="E4">
        <v>0</v>
      </c>
      <c r="F4">
        <v>0</v>
      </c>
      <c r="G4" t="s">
        <v>1846</v>
      </c>
      <c r="H4" s="26">
        <v>45292</v>
      </c>
      <c r="I4">
        <f ca="1">ROUND(Table1[[#This Row],[Base_Salary]]/12, 0)</f>
        <v>416667</v>
      </c>
      <c r="J4" s="39">
        <f ca="1">SUM(Table1[[#This Row],[Base_Salary]], Table1[[#This Row],[Bonus]], Table1[[#This Row],[Perks]], Table1[[#This Row],[Other_Comp]])</f>
        <v>5040000</v>
      </c>
      <c r="K4" s="3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1.1355932203389831</v>
      </c>
    </row>
    <row r="5" spans="1:11">
      <c r="A5" s="35">
        <v>1012233</v>
      </c>
      <c r="B5">
        <v>2022</v>
      </c>
      <c r="C5">
        <v>620000</v>
      </c>
      <c r="D5">
        <v>0</v>
      </c>
      <c r="E5">
        <v>0</v>
      </c>
      <c r="F5">
        <v>0</v>
      </c>
      <c r="I5">
        <f ca="1">ROUND(Table1[[#This Row],[Base_Salary]]/12, 0)</f>
        <v>51667</v>
      </c>
      <c r="J5" s="39">
        <f ca="1">SUM(Table1[[#This Row],[Base_Salary]], Table1[[#This Row],[Bonus]], Table1[[#This Row],[Perks]], Table1[[#This Row],[Other_Comp]])</f>
        <v>620000</v>
      </c>
      <c r="K5" s="3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6" spans="1:11">
      <c r="A6" s="35">
        <v>1012233</v>
      </c>
      <c r="B6">
        <v>2023</v>
      </c>
      <c r="C6">
        <v>720000</v>
      </c>
      <c r="D6">
        <v>12122</v>
      </c>
      <c r="E6">
        <v>0</v>
      </c>
      <c r="F6">
        <v>40000</v>
      </c>
      <c r="I6">
        <f ca="1">ROUND(Table1[[#This Row],[Base_Salary]]/12, 0)</f>
        <v>60000</v>
      </c>
      <c r="J6" s="39">
        <f ca="1">SUM(Table1[[#This Row],[Base_Salary]], Table1[[#This Row],[Bonus]], Table1[[#This Row],[Perks]], Table1[[#This Row],[Other_Comp]])</f>
        <v>772122</v>
      </c>
      <c r="K6" s="3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0.24535806451612904</v>
      </c>
    </row>
    <row r="7" spans="1:11">
      <c r="A7" s="35">
        <v>1012233</v>
      </c>
      <c r="B7">
        <v>2024</v>
      </c>
      <c r="C7">
        <v>820000</v>
      </c>
      <c r="D7">
        <v>60000</v>
      </c>
      <c r="E7">
        <v>0</v>
      </c>
      <c r="F7">
        <v>0</v>
      </c>
      <c r="I7">
        <f ca="1">ROUND(Table1[[#This Row],[Base_Salary]]/12, 0)</f>
        <v>68333</v>
      </c>
      <c r="J7" s="40">
        <f ca="1">SUM(Table1[[#This Row],[Base_Salary]], Table1[[#This Row],[Bonus]], Table1[[#This Row],[Perks]], Table1[[#This Row],[Other_Comp]])</f>
        <v>880000</v>
      </c>
      <c r="K7" s="3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0.13971626245593313</v>
      </c>
    </row>
    <row r="8" spans="1:11">
      <c r="A8" s="35">
        <v>1019272</v>
      </c>
      <c r="B8">
        <v>2022</v>
      </c>
      <c r="C8">
        <v>1038000</v>
      </c>
      <c r="D8">
        <v>0</v>
      </c>
      <c r="E8">
        <v>0</v>
      </c>
      <c r="F8">
        <v>0</v>
      </c>
      <c r="I8">
        <f ca="1">ROUND(Table1[[#This Row],[Base_Salary]]/12, 0)</f>
        <v>86500</v>
      </c>
      <c r="J8" s="39">
        <f ca="1">SUM(Table1[[#This Row],[Base_Salary]], Table1[[#This Row],[Bonus]], Table1[[#This Row],[Perks]], Table1[[#This Row],[Other_Comp]])</f>
        <v>1038000</v>
      </c>
      <c r="K8" s="3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9" spans="1:11">
      <c r="A9" s="35">
        <v>1019272</v>
      </c>
      <c r="B9">
        <v>2023</v>
      </c>
      <c r="C9">
        <v>1138000</v>
      </c>
      <c r="D9">
        <v>0</v>
      </c>
      <c r="E9">
        <v>0</v>
      </c>
      <c r="F9">
        <v>0</v>
      </c>
      <c r="G9" t="s">
        <v>1846</v>
      </c>
      <c r="H9" s="26">
        <v>45017</v>
      </c>
      <c r="I9">
        <f ca="1">ROUND(Table1[[#This Row],[Base_Salary]]/12, 0)</f>
        <v>94833</v>
      </c>
      <c r="J9" s="39">
        <f ca="1">SUM(Table1[[#This Row],[Base_Salary]], Table1[[#This Row],[Bonus]], Table1[[#This Row],[Perks]], Table1[[#This Row],[Other_Comp]])</f>
        <v>1138000</v>
      </c>
      <c r="K9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9.6339113680154145E-2</v>
      </c>
    </row>
    <row r="10" spans="1:11">
      <c r="A10" s="35">
        <v>1019272</v>
      </c>
      <c r="B10">
        <v>2024</v>
      </c>
      <c r="C10">
        <v>2000000</v>
      </c>
      <c r="D10">
        <v>40000</v>
      </c>
      <c r="E10">
        <v>0</v>
      </c>
      <c r="F10">
        <v>76765</v>
      </c>
      <c r="I10">
        <f ca="1">ROUND(Table1[[#This Row],[Base_Salary]]/12, 0)</f>
        <v>166667</v>
      </c>
      <c r="J10" s="40">
        <f ca="1">SUM(Table1[[#This Row],[Base_Salary]], Table1[[#This Row],[Bonus]], Table1[[#This Row],[Perks]], Table1[[#This Row],[Other_Comp]])</f>
        <v>2116765</v>
      </c>
      <c r="K10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0.86007469244288226</v>
      </c>
    </row>
    <row r="11" spans="1:11">
      <c r="A11" s="35">
        <v>1020217</v>
      </c>
      <c r="B11">
        <v>2022</v>
      </c>
      <c r="C11">
        <v>450000</v>
      </c>
      <c r="D11">
        <v>0</v>
      </c>
      <c r="E11">
        <v>0</v>
      </c>
      <c r="F11">
        <v>95559</v>
      </c>
      <c r="I11">
        <f ca="1">ROUND(Table1[[#This Row],[Base_Salary]]/12, 0)</f>
        <v>37500</v>
      </c>
      <c r="J11" s="39">
        <f ca="1">SUM(Table1[[#This Row],[Base_Salary]], Table1[[#This Row],[Bonus]], Table1[[#This Row],[Perks]], Table1[[#This Row],[Other_Comp]])</f>
        <v>545559</v>
      </c>
      <c r="K11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12" spans="1:11">
      <c r="A12" s="35">
        <v>1020217</v>
      </c>
      <c r="B12">
        <v>2023</v>
      </c>
      <c r="C12">
        <v>550000</v>
      </c>
      <c r="D12">
        <v>22111</v>
      </c>
      <c r="E12">
        <v>0</v>
      </c>
      <c r="F12">
        <v>50000</v>
      </c>
      <c r="I12">
        <f ca="1">ROUND(Table1[[#This Row],[Base_Salary]]/12, 0)</f>
        <v>45833</v>
      </c>
      <c r="J12" s="39">
        <f ca="1">SUM(Table1[[#This Row],[Base_Salary]], Table1[[#This Row],[Bonus]], Table1[[#This Row],[Perks]], Table1[[#This Row],[Other_Comp]])</f>
        <v>622111</v>
      </c>
      <c r="K1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0.14031846234779374</v>
      </c>
    </row>
    <row r="13" spans="1:11">
      <c r="A13" s="35">
        <v>1020217</v>
      </c>
      <c r="B13">
        <v>2024</v>
      </c>
      <c r="C13">
        <v>750000</v>
      </c>
      <c r="D13">
        <v>92000</v>
      </c>
      <c r="E13">
        <v>0</v>
      </c>
      <c r="F13">
        <v>10000</v>
      </c>
      <c r="I13">
        <f ca="1">ROUND(Table1[[#This Row],[Base_Salary]]/12, 0)</f>
        <v>62500</v>
      </c>
      <c r="J13" s="40">
        <f ca="1">SUM(Table1[[#This Row],[Base_Salary]], Table1[[#This Row],[Bonus]], Table1[[#This Row],[Perks]], Table1[[#This Row],[Other_Comp]])</f>
        <v>852000</v>
      </c>
      <c r="K13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0.36953051786578278</v>
      </c>
    </row>
    <row r="14" spans="1:11">
      <c r="A14" s="36">
        <v>1026244</v>
      </c>
      <c r="B14">
        <v>2022</v>
      </c>
      <c r="C14">
        <v>1000000</v>
      </c>
      <c r="D14">
        <v>5543</v>
      </c>
      <c r="E14">
        <v>30000</v>
      </c>
      <c r="F14">
        <v>13000</v>
      </c>
      <c r="I14">
        <f ca="1">ROUND(Table1[[#This Row],[Base_Salary]]/12, 0)</f>
        <v>83333</v>
      </c>
      <c r="J14" s="39">
        <f ca="1">SUM(Table1[[#This Row],[Base_Salary]], Table1[[#This Row],[Bonus]], Table1[[#This Row],[Perks]], Table1[[#This Row],[Other_Comp]])</f>
        <v>1048543</v>
      </c>
      <c r="K14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15" spans="1:11">
      <c r="A15" s="36">
        <v>1026244</v>
      </c>
      <c r="B15">
        <v>2023</v>
      </c>
      <c r="C15">
        <v>1054000</v>
      </c>
      <c r="D15">
        <v>5329</v>
      </c>
      <c r="E15">
        <v>20000</v>
      </c>
      <c r="F15">
        <v>20100</v>
      </c>
      <c r="G15" t="s">
        <v>1846</v>
      </c>
      <c r="H15" s="26">
        <v>45017</v>
      </c>
      <c r="I15">
        <f ca="1">ROUND(Table1[[#This Row],[Base_Salary]]/12, 0)</f>
        <v>87833</v>
      </c>
      <c r="J15" s="39">
        <f ca="1">SUM(Table1[[#This Row],[Base_Salary]], Table1[[#This Row],[Bonus]], Table1[[#This Row],[Perks]], Table1[[#This Row],[Other_Comp]])</f>
        <v>1099429</v>
      </c>
      <c r="K15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4.8530198570778692E-2</v>
      </c>
    </row>
    <row r="16" spans="1:11">
      <c r="A16" s="36">
        <v>1026244</v>
      </c>
      <c r="B16">
        <v>2024</v>
      </c>
      <c r="C16">
        <v>1250000</v>
      </c>
      <c r="D16">
        <v>120000</v>
      </c>
      <c r="E16">
        <v>14000</v>
      </c>
      <c r="F16">
        <v>10300</v>
      </c>
      <c r="I16">
        <f ca="1">ROUND(Table1[[#This Row],[Base_Salary]]/12, 0)</f>
        <v>104167</v>
      </c>
      <c r="J16" s="40">
        <f ca="1">SUM(Table1[[#This Row],[Base_Salary]], Table1[[#This Row],[Bonus]], Table1[[#This Row],[Perks]], Table1[[#This Row],[Other_Comp]])</f>
        <v>1394300</v>
      </c>
      <c r="K16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0.26820376759208642</v>
      </c>
    </row>
    <row r="17" spans="1:11">
      <c r="A17" s="35">
        <v>1027230</v>
      </c>
      <c r="B17">
        <v>2022</v>
      </c>
      <c r="C17">
        <v>2200000</v>
      </c>
      <c r="D17">
        <v>0</v>
      </c>
      <c r="E17">
        <v>0</v>
      </c>
      <c r="F17">
        <v>0</v>
      </c>
      <c r="I17">
        <f ca="1">ROUND(Table1[[#This Row],[Base_Salary]]/12, 0)</f>
        <v>183333</v>
      </c>
      <c r="J17" s="39">
        <f ca="1">SUM(Table1[[#This Row],[Base_Salary]], Table1[[#This Row],[Bonus]], Table1[[#This Row],[Perks]], Table1[[#This Row],[Other_Comp]])</f>
        <v>2200000</v>
      </c>
      <c r="K17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18" spans="1:11">
      <c r="A18" s="35">
        <v>1027230</v>
      </c>
      <c r="B18">
        <v>2023</v>
      </c>
      <c r="C18">
        <v>2300000</v>
      </c>
      <c r="D18">
        <v>5555</v>
      </c>
      <c r="E18">
        <v>0</v>
      </c>
      <c r="F18">
        <v>0</v>
      </c>
      <c r="I18">
        <f ca="1">ROUND(Table1[[#This Row],[Base_Salary]]/12, 0)</f>
        <v>191667</v>
      </c>
      <c r="J18" s="39">
        <f ca="1">SUM(Table1[[#This Row],[Base_Salary]], Table1[[#This Row],[Bonus]], Table1[[#This Row],[Perks]], Table1[[#This Row],[Other_Comp]])</f>
        <v>2305555</v>
      </c>
      <c r="K18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4.7979545454545455E-2</v>
      </c>
    </row>
    <row r="19" spans="1:11">
      <c r="A19" s="35">
        <v>1027230</v>
      </c>
      <c r="B19">
        <v>2024</v>
      </c>
      <c r="C19">
        <v>3000000</v>
      </c>
      <c r="D19">
        <v>150000</v>
      </c>
      <c r="E19">
        <v>0</v>
      </c>
      <c r="F19">
        <v>0</v>
      </c>
      <c r="I19">
        <f ca="1">ROUND(Table1[[#This Row],[Base_Salary]]/12, 0)</f>
        <v>250000</v>
      </c>
      <c r="J19" s="39">
        <f ca="1">SUM(Table1[[#This Row],[Base_Salary]], Table1[[#This Row],[Bonus]], Table1[[#This Row],[Perks]], Table1[[#This Row],[Other_Comp]])</f>
        <v>3150000</v>
      </c>
      <c r="K19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0.36626538946153964</v>
      </c>
    </row>
    <row r="20" spans="1:11">
      <c r="A20" s="35">
        <v>1028538</v>
      </c>
      <c r="B20">
        <v>2022</v>
      </c>
      <c r="C20">
        <v>2268000</v>
      </c>
      <c r="D20">
        <v>9999</v>
      </c>
      <c r="E20">
        <v>0</v>
      </c>
      <c r="F20">
        <v>8787</v>
      </c>
      <c r="G20" t="s">
        <v>1846</v>
      </c>
      <c r="H20" s="26">
        <v>44652</v>
      </c>
      <c r="I20">
        <f ca="1">ROUND(Table1[[#This Row],[Base_Salary]]/12, 0)</f>
        <v>189000</v>
      </c>
      <c r="J20" s="39">
        <f ca="1">SUM(Table1[[#This Row],[Base_Salary]], Table1[[#This Row],[Bonus]], Table1[[#This Row],[Perks]], Table1[[#This Row],[Other_Comp]])</f>
        <v>2286786</v>
      </c>
      <c r="K20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21" spans="1:11">
      <c r="A21" s="35">
        <v>1028538</v>
      </c>
      <c r="B21">
        <v>2023</v>
      </c>
      <c r="C21">
        <v>2368000</v>
      </c>
      <c r="D21">
        <v>8787</v>
      </c>
      <c r="E21">
        <v>0</v>
      </c>
      <c r="F21">
        <v>40000</v>
      </c>
      <c r="I21">
        <f ca="1">ROUND(Table1[[#This Row],[Base_Salary]]/12, 0)</f>
        <v>197333</v>
      </c>
      <c r="J21" s="39">
        <f ca="1">SUM(Table1[[#This Row],[Base_Salary]], Table1[[#This Row],[Bonus]], Table1[[#This Row],[Perks]], Table1[[#This Row],[Other_Comp]])</f>
        <v>2416787</v>
      </c>
      <c r="K21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5.6848782527092606E-2</v>
      </c>
    </row>
    <row r="22" spans="1:11">
      <c r="A22" s="35">
        <v>1028538</v>
      </c>
      <c r="B22">
        <v>2024</v>
      </c>
      <c r="C22">
        <v>5000000</v>
      </c>
      <c r="D22">
        <v>40000</v>
      </c>
      <c r="E22">
        <v>0</v>
      </c>
      <c r="F22">
        <v>6766</v>
      </c>
      <c r="I22">
        <f ca="1">ROUND(Table1[[#This Row],[Base_Salary]]/12, 0)</f>
        <v>416667</v>
      </c>
      <c r="J22" s="39">
        <f ca="1">SUM(Table1[[#This Row],[Base_Salary]], Table1[[#This Row],[Bonus]], Table1[[#This Row],[Perks]], Table1[[#This Row],[Other_Comp]])</f>
        <v>5046766</v>
      </c>
      <c r="K2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1.0882129869119621</v>
      </c>
    </row>
    <row r="23" spans="1:11">
      <c r="A23" s="35">
        <v>1028704</v>
      </c>
      <c r="B23">
        <v>2022</v>
      </c>
      <c r="C23">
        <v>7500000</v>
      </c>
      <c r="D23">
        <v>6766</v>
      </c>
      <c r="E23">
        <v>0</v>
      </c>
      <c r="F23">
        <v>0</v>
      </c>
      <c r="I23">
        <f ca="1">ROUND(Table1[[#This Row],[Base_Salary]]/12, 0)</f>
        <v>625000</v>
      </c>
      <c r="J23" s="39">
        <f ca="1">SUM(Table1[[#This Row],[Base_Salary]], Table1[[#This Row],[Bonus]], Table1[[#This Row],[Perks]], Table1[[#This Row],[Other_Comp]])</f>
        <v>7506766</v>
      </c>
      <c r="K23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24" spans="1:11">
      <c r="A24" s="35">
        <v>1028704</v>
      </c>
      <c r="B24">
        <v>2023</v>
      </c>
      <c r="C24">
        <v>8000000</v>
      </c>
      <c r="D24">
        <v>0</v>
      </c>
      <c r="E24">
        <v>0</v>
      </c>
      <c r="F24">
        <v>100000</v>
      </c>
      <c r="I24">
        <f ca="1">ROUND(Table1[[#This Row],[Base_Salary]]/12, 0)</f>
        <v>666667</v>
      </c>
      <c r="J24" s="39">
        <f ca="1">SUM(Table1[[#This Row],[Base_Salary]], Table1[[#This Row],[Bonus]], Table1[[#This Row],[Perks]], Table1[[#This Row],[Other_Comp]])</f>
        <v>8100000</v>
      </c>
      <c r="K24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7.9026574159897889E-2</v>
      </c>
    </row>
    <row r="25" spans="1:11">
      <c r="A25" s="35">
        <v>1028704</v>
      </c>
      <c r="B25">
        <v>2024</v>
      </c>
      <c r="C25">
        <v>9300009</v>
      </c>
      <c r="D25">
        <v>100000</v>
      </c>
      <c r="E25">
        <v>0</v>
      </c>
      <c r="F25">
        <v>76765</v>
      </c>
      <c r="G25" t="s">
        <v>1846</v>
      </c>
      <c r="H25" s="26">
        <v>45383</v>
      </c>
      <c r="I25">
        <f ca="1">ROUND(Table1[[#This Row],[Base_Salary]]/12, 0)</f>
        <v>775001</v>
      </c>
      <c r="J25" s="39">
        <f ca="1">SUM(Table1[[#This Row],[Base_Salary]], Table1[[#This Row],[Bonus]], Table1[[#This Row],[Perks]], Table1[[#This Row],[Other_Comp]])</f>
        <v>9476774</v>
      </c>
      <c r="K25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0.16997209876543209</v>
      </c>
    </row>
    <row r="26" spans="1:11">
      <c r="A26" s="35">
        <v>1032824</v>
      </c>
      <c r="B26">
        <v>2022</v>
      </c>
      <c r="C26">
        <v>1450000</v>
      </c>
      <c r="D26">
        <v>76765</v>
      </c>
      <c r="E26">
        <v>0</v>
      </c>
      <c r="F26">
        <v>95559</v>
      </c>
      <c r="I26">
        <f ca="1">ROUND(Table1[[#This Row],[Base_Salary]]/12, 0)</f>
        <v>120833</v>
      </c>
      <c r="J26" s="39">
        <f ca="1">SUM(Table1[[#This Row],[Base_Salary]], Table1[[#This Row],[Bonus]], Table1[[#This Row],[Perks]], Table1[[#This Row],[Other_Comp]])</f>
        <v>1622324</v>
      </c>
      <c r="K26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27" spans="1:11">
      <c r="A27" s="35">
        <v>1032824</v>
      </c>
      <c r="B27">
        <v>2023</v>
      </c>
      <c r="C27">
        <v>1500000</v>
      </c>
      <c r="D27">
        <v>95559</v>
      </c>
      <c r="E27">
        <v>0</v>
      </c>
      <c r="F27">
        <v>50000</v>
      </c>
      <c r="I27">
        <f ca="1">ROUND(Table1[[#This Row],[Base_Salary]]/12, 0)</f>
        <v>125000</v>
      </c>
      <c r="J27" s="39">
        <f ca="1">SUM(Table1[[#This Row],[Base_Salary]], Table1[[#This Row],[Bonus]], Table1[[#This Row],[Perks]], Table1[[#This Row],[Other_Comp]])</f>
        <v>1645559</v>
      </c>
      <c r="K27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1.4322046644196843E-2</v>
      </c>
    </row>
    <row r="28" spans="1:11">
      <c r="A28" s="35">
        <v>1032824</v>
      </c>
      <c r="B28">
        <v>2024</v>
      </c>
      <c r="C28">
        <v>2500000</v>
      </c>
      <c r="D28">
        <v>50000</v>
      </c>
      <c r="E28">
        <v>0</v>
      </c>
      <c r="F28">
        <v>10000</v>
      </c>
      <c r="G28" t="s">
        <v>1846</v>
      </c>
      <c r="H28" s="26">
        <v>45383</v>
      </c>
      <c r="I28">
        <f ca="1">ROUND(Table1[[#This Row],[Base_Salary]]/12, 0)</f>
        <v>208333</v>
      </c>
      <c r="J28" s="40">
        <f ca="1">SUM(Table1[[#This Row],[Base_Salary]], Table1[[#This Row],[Bonus]], Table1[[#This Row],[Perks]], Table1[[#This Row],[Other_Comp]])</f>
        <v>2560000</v>
      </c>
      <c r="K28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0.55570234795592255</v>
      </c>
    </row>
    <row r="29" spans="1:11">
      <c r="A29" s="35">
        <v>1019816</v>
      </c>
      <c r="B29">
        <v>2022</v>
      </c>
      <c r="C29">
        <v>1955000</v>
      </c>
      <c r="D29">
        <v>10000</v>
      </c>
      <c r="E29">
        <v>10000</v>
      </c>
      <c r="F29">
        <v>0</v>
      </c>
      <c r="I29">
        <f ca="1">ROUND(Table1[[#This Row],[Base_Salary]]/12, 0)</f>
        <v>162917</v>
      </c>
      <c r="J29" s="39">
        <f ca="1">SUM(Table1[[#This Row],[Base_Salary]], Table1[[#This Row],[Bonus]], Table1[[#This Row],[Perks]], Table1[[#This Row],[Other_Comp]])</f>
        <v>1975000</v>
      </c>
      <c r="K29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30" spans="1:11">
      <c r="A30" s="35">
        <v>1019816</v>
      </c>
      <c r="B30">
        <v>2023</v>
      </c>
      <c r="C30">
        <v>2000000</v>
      </c>
      <c r="D30">
        <v>40000</v>
      </c>
      <c r="E30">
        <v>2000</v>
      </c>
      <c r="F30">
        <v>0</v>
      </c>
      <c r="I30">
        <f ca="1">ROUND(Table1[[#This Row],[Base_Salary]]/12, 0)</f>
        <v>166667</v>
      </c>
      <c r="J30" s="39">
        <f ca="1">SUM(Table1[[#This Row],[Base_Salary]], Table1[[#This Row],[Bonus]], Table1[[#This Row],[Perks]], Table1[[#This Row],[Other_Comp]])</f>
        <v>2042000</v>
      </c>
      <c r="K30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3.3924050632911394E-2</v>
      </c>
    </row>
    <row r="31" spans="1:11">
      <c r="A31" s="36">
        <v>1019816</v>
      </c>
      <c r="B31">
        <v>2024</v>
      </c>
      <c r="C31">
        <v>2100000</v>
      </c>
      <c r="D31">
        <v>20000</v>
      </c>
      <c r="E31">
        <v>3000</v>
      </c>
      <c r="F31">
        <v>0</v>
      </c>
      <c r="G31" t="s">
        <v>1846</v>
      </c>
      <c r="H31" s="26">
        <v>45383</v>
      </c>
      <c r="I31">
        <f ca="1">ROUND(Table1[[#This Row],[Base_Salary]]/12, 0)</f>
        <v>175000</v>
      </c>
      <c r="J31" s="39">
        <f ca="1">SUM(Table1[[#This Row],[Base_Salary]], Table1[[#This Row],[Bonus]], Table1[[#This Row],[Perks]], Table1[[#This Row],[Other_Comp]])</f>
        <v>2123000</v>
      </c>
      <c r="K31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3.9666993143976495E-2</v>
      </c>
    </row>
    <row r="32" spans="1:11">
      <c r="A32" s="36">
        <v>1017149</v>
      </c>
      <c r="B32">
        <v>2022</v>
      </c>
      <c r="C32">
        <v>1645000</v>
      </c>
      <c r="D32">
        <v>76765</v>
      </c>
      <c r="E32">
        <v>5000</v>
      </c>
      <c r="F32">
        <v>76765</v>
      </c>
      <c r="I32">
        <f ca="1">ROUND(Table1[[#This Row],[Base_Salary]]/12, 0)</f>
        <v>137083</v>
      </c>
      <c r="J32" s="39">
        <f ca="1">SUM(Table1[[#This Row],[Base_Salary]], Table1[[#This Row],[Bonus]], Table1[[#This Row],[Perks]], Table1[[#This Row],[Other_Comp]])</f>
        <v>1803530</v>
      </c>
      <c r="K3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33" spans="1:11">
      <c r="A33" s="36">
        <v>1017149</v>
      </c>
      <c r="B33">
        <v>2023</v>
      </c>
      <c r="C33">
        <v>1754000</v>
      </c>
      <c r="D33">
        <v>95559</v>
      </c>
      <c r="E33">
        <v>14000</v>
      </c>
      <c r="F33">
        <v>95559</v>
      </c>
      <c r="I33">
        <f ca="1">ROUND(Table1[[#This Row],[Base_Salary]]/12, 0)</f>
        <v>146167</v>
      </c>
      <c r="J33" s="39">
        <f ca="1">SUM(Table1[[#This Row],[Base_Salary]], Table1[[#This Row],[Bonus]], Table1[[#This Row],[Perks]], Table1[[#This Row],[Other_Comp]])</f>
        <v>1959118</v>
      </c>
      <c r="K33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8.6268595476648571E-2</v>
      </c>
    </row>
    <row r="34" spans="1:11">
      <c r="A34">
        <v>1017149</v>
      </c>
      <c r="B34">
        <v>2024</v>
      </c>
      <c r="C34">
        <v>1833000</v>
      </c>
      <c r="D34">
        <v>50000</v>
      </c>
      <c r="E34">
        <v>2000</v>
      </c>
      <c r="F34">
        <v>50000</v>
      </c>
      <c r="I34">
        <f ca="1">ROUND(Table1[[#This Row],[Base_Salary]]/12, 0)</f>
        <v>152750</v>
      </c>
      <c r="J34" s="39">
        <f ca="1">SUM(Table1[[#This Row],[Base_Salary]], Table1[[#This Row],[Bonus]], Table1[[#This Row],[Perks]], Table1[[#This Row],[Other_Comp]])</f>
        <v>1935000</v>
      </c>
      <c r="K34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-1.2310641829639665E-2</v>
      </c>
    </row>
    <row r="35" spans="1:11">
      <c r="A35">
        <v>1033925</v>
      </c>
      <c r="B35">
        <v>2022</v>
      </c>
      <c r="C35">
        <v>5000000</v>
      </c>
      <c r="D35">
        <v>120000</v>
      </c>
      <c r="E35">
        <v>76765</v>
      </c>
      <c r="F35">
        <v>10000</v>
      </c>
      <c r="I35">
        <f ca="1">ROUND(Table1[[#This Row],[Base_Salary]]/12, 0)</f>
        <v>416667</v>
      </c>
      <c r="J35" s="39">
        <f ca="1">SUM(Table1[[#This Row],[Base_Salary]], Table1[[#This Row],[Bonus]], Table1[[#This Row],[Perks]], Table1[[#This Row],[Other_Comp]])</f>
        <v>5206765</v>
      </c>
      <c r="K35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36" spans="1:11">
      <c r="A36">
        <v>1033925</v>
      </c>
      <c r="B36">
        <v>2023</v>
      </c>
      <c r="C36">
        <v>620000</v>
      </c>
      <c r="D36">
        <v>0</v>
      </c>
      <c r="E36">
        <v>10000</v>
      </c>
      <c r="F36">
        <v>0</v>
      </c>
      <c r="I36">
        <f ca="1">ROUND(Table1[[#This Row],[Base_Salary]]/12, 0)</f>
        <v>51667</v>
      </c>
      <c r="J36" s="39">
        <f ca="1">SUM(Table1[[#This Row],[Base_Salary]], Table1[[#This Row],[Bonus]], Table1[[#This Row],[Perks]], Table1[[#This Row],[Other_Comp]])</f>
        <v>630000</v>
      </c>
      <c r="K36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-0.87900356555365955</v>
      </c>
    </row>
    <row r="37" spans="1:11">
      <c r="A37">
        <v>1033925</v>
      </c>
      <c r="B37">
        <v>2024</v>
      </c>
      <c r="C37">
        <v>720000</v>
      </c>
      <c r="D37">
        <v>5555</v>
      </c>
      <c r="E37">
        <v>2000</v>
      </c>
      <c r="F37">
        <v>0</v>
      </c>
      <c r="I37">
        <f ca="1">ROUND(Table1[[#This Row],[Base_Salary]]/12, 0)</f>
        <v>60000</v>
      </c>
      <c r="J37" s="39">
        <f ca="1">SUM(Table1[[#This Row],[Base_Salary]], Table1[[#This Row],[Bonus]], Table1[[#This Row],[Perks]], Table1[[#This Row],[Other_Comp]])</f>
        <v>727555</v>
      </c>
      <c r="K37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0.15484920634920635</v>
      </c>
    </row>
    <row r="38" spans="1:11">
      <c r="A38">
        <v>1019823</v>
      </c>
      <c r="B38">
        <v>2022</v>
      </c>
      <c r="C38">
        <v>820000</v>
      </c>
      <c r="D38">
        <v>150000</v>
      </c>
      <c r="E38">
        <v>3000</v>
      </c>
      <c r="F38">
        <v>0</v>
      </c>
      <c r="I38">
        <f ca="1">ROUND(Table1[[#This Row],[Base_Salary]]/12, 0)</f>
        <v>68333</v>
      </c>
      <c r="J38" s="39">
        <f ca="1">SUM(Table1[[#This Row],[Base_Salary]], Table1[[#This Row],[Bonus]], Table1[[#This Row],[Perks]], Table1[[#This Row],[Other_Comp]])</f>
        <v>973000</v>
      </c>
      <c r="K38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39" spans="1:11">
      <c r="A39">
        <v>1019823</v>
      </c>
      <c r="B39">
        <v>2023</v>
      </c>
      <c r="C39">
        <v>1038000</v>
      </c>
      <c r="D39">
        <v>9999</v>
      </c>
      <c r="E39">
        <v>76765</v>
      </c>
      <c r="F39">
        <v>0</v>
      </c>
      <c r="I39">
        <f ca="1">ROUND(Table1[[#This Row],[Base_Salary]]/12, 0)</f>
        <v>86500</v>
      </c>
      <c r="J39" s="39">
        <f ca="1">SUM(Table1[[#This Row],[Base_Salary]], Table1[[#This Row],[Bonus]], Table1[[#This Row],[Perks]], Table1[[#This Row],[Other_Comp]])</f>
        <v>1124764</v>
      </c>
      <c r="K39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0.15597533401849947</v>
      </c>
    </row>
    <row r="40" spans="1:11">
      <c r="A40">
        <v>1019823</v>
      </c>
      <c r="B40">
        <v>2024</v>
      </c>
      <c r="C40">
        <v>1138000</v>
      </c>
      <c r="D40">
        <v>8787</v>
      </c>
      <c r="E40">
        <v>10000</v>
      </c>
      <c r="F40">
        <v>0</v>
      </c>
      <c r="I40">
        <f ca="1">ROUND(Table1[[#This Row],[Base_Salary]]/12, 0)</f>
        <v>94833</v>
      </c>
      <c r="J40" s="39">
        <f ca="1">SUM(Table1[[#This Row],[Base_Salary]], Table1[[#This Row],[Bonus]], Table1[[#This Row],[Perks]], Table1[[#This Row],[Other_Comp]])</f>
        <v>1156787</v>
      </c>
      <c r="K40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2.8470861442933808E-2</v>
      </c>
    </row>
    <row r="41" spans="1:11">
      <c r="A41">
        <v>1033626</v>
      </c>
      <c r="B41">
        <v>2022</v>
      </c>
      <c r="C41">
        <v>2000000</v>
      </c>
      <c r="D41">
        <v>40000</v>
      </c>
      <c r="E41">
        <v>2000</v>
      </c>
      <c r="F41">
        <v>0</v>
      </c>
      <c r="I41">
        <f ca="1">ROUND(Table1[[#This Row],[Base_Salary]]/12, 0)</f>
        <v>166667</v>
      </c>
      <c r="J41" s="39">
        <f ca="1">SUM(Table1[[#This Row],[Base_Salary]], Table1[[#This Row],[Bonus]], Table1[[#This Row],[Perks]], Table1[[#This Row],[Other_Comp]])</f>
        <v>2042000</v>
      </c>
      <c r="K41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42" spans="1:11">
      <c r="A42">
        <v>1033626</v>
      </c>
      <c r="B42">
        <v>2023</v>
      </c>
      <c r="C42">
        <v>2500009</v>
      </c>
      <c r="D42">
        <v>6766</v>
      </c>
      <c r="E42">
        <v>3000</v>
      </c>
      <c r="F42">
        <v>76765</v>
      </c>
      <c r="I42">
        <f ca="1">ROUND(Table1[[#This Row],[Base_Salary]]/12, 0)</f>
        <v>208334</v>
      </c>
      <c r="J42" s="39">
        <f ca="1">SUM(Table1[[#This Row],[Base_Salary]], Table1[[#This Row],[Bonus]], Table1[[#This Row],[Perks]], Table1[[#This Row],[Other_Comp]])</f>
        <v>2586540</v>
      </c>
      <c r="K4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0.26666993143976492</v>
      </c>
    </row>
    <row r="43" spans="1:11">
      <c r="A43">
        <v>1031048</v>
      </c>
      <c r="B43">
        <v>2022</v>
      </c>
      <c r="C43">
        <v>550000</v>
      </c>
      <c r="D43">
        <v>0</v>
      </c>
      <c r="E43">
        <v>5000</v>
      </c>
      <c r="F43">
        <v>95559</v>
      </c>
      <c r="I43">
        <f ca="1">ROUND(Table1[[#This Row],[Base_Salary]]/12, 0)</f>
        <v>45833</v>
      </c>
      <c r="J43" s="39">
        <f ca="1">SUM(Table1[[#This Row],[Base_Salary]], Table1[[#This Row],[Bonus]], Table1[[#This Row],[Perks]], Table1[[#This Row],[Other_Comp]])</f>
        <v>650559</v>
      </c>
      <c r="K43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44" spans="1:11">
      <c r="A44">
        <v>1031048</v>
      </c>
      <c r="B44">
        <v>2023</v>
      </c>
      <c r="C44">
        <v>750000</v>
      </c>
      <c r="D44">
        <v>100000</v>
      </c>
      <c r="E44">
        <v>14000</v>
      </c>
      <c r="F44">
        <v>50000</v>
      </c>
      <c r="I44">
        <f ca="1">ROUND(Table1[[#This Row],[Base_Salary]]/12, 0)</f>
        <v>62500</v>
      </c>
      <c r="J44" s="39">
        <f ca="1">SUM(Table1[[#This Row],[Base_Salary]], Table1[[#This Row],[Bonus]], Table1[[#This Row],[Perks]], Table1[[#This Row],[Other_Comp]])</f>
        <v>914000</v>
      </c>
      <c r="K44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0.40494559294391441</v>
      </c>
    </row>
    <row r="45" spans="1:11">
      <c r="A45">
        <v>1031048</v>
      </c>
      <c r="B45">
        <v>2024</v>
      </c>
      <c r="C45">
        <v>1000000</v>
      </c>
      <c r="D45">
        <v>76765</v>
      </c>
      <c r="E45">
        <v>10000</v>
      </c>
      <c r="F45">
        <v>10000</v>
      </c>
      <c r="I45">
        <f ca="1">ROUND(Table1[[#This Row],[Base_Salary]]/12, 0)</f>
        <v>83333</v>
      </c>
      <c r="J45" s="39">
        <f ca="1">SUM(Table1[[#This Row],[Base_Salary]], Table1[[#This Row],[Bonus]], Table1[[#This Row],[Perks]], Table1[[#This Row],[Other_Comp]])</f>
        <v>1096765</v>
      </c>
      <c r="K45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0.1999617067833698</v>
      </c>
    </row>
    <row r="46" spans="1:11">
      <c r="A46">
        <v>1027420</v>
      </c>
      <c r="B46">
        <v>2022</v>
      </c>
      <c r="C46">
        <v>1054000</v>
      </c>
      <c r="D46">
        <v>10000</v>
      </c>
      <c r="E46">
        <v>2000</v>
      </c>
      <c r="F46">
        <v>0</v>
      </c>
      <c r="I46">
        <f ca="1">ROUND(Table1[[#This Row],[Base_Salary]]/12, 0)</f>
        <v>87833</v>
      </c>
      <c r="J46" s="39">
        <f ca="1">SUM(Table1[[#This Row],[Base_Salary]], Table1[[#This Row],[Bonus]], Table1[[#This Row],[Perks]], Table1[[#This Row],[Other_Comp]])</f>
        <v>1066000</v>
      </c>
      <c r="K46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47" spans="1:11">
      <c r="A47">
        <v>1027420</v>
      </c>
      <c r="B47">
        <v>2023</v>
      </c>
      <c r="C47">
        <v>1250000</v>
      </c>
      <c r="D47">
        <v>2000</v>
      </c>
      <c r="E47">
        <v>3000</v>
      </c>
      <c r="F47">
        <v>76765</v>
      </c>
      <c r="I47">
        <f ca="1">ROUND(Table1[[#This Row],[Base_Salary]]/12, 0)</f>
        <v>104167</v>
      </c>
      <c r="J47" s="39">
        <f ca="1">SUM(Table1[[#This Row],[Base_Salary]], Table1[[#This Row],[Bonus]], Table1[[#This Row],[Perks]], Table1[[#This Row],[Other_Comp]])</f>
        <v>1331765</v>
      </c>
      <c r="K47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0.24931050656660414</v>
      </c>
    </row>
    <row r="48" spans="1:11">
      <c r="A48" s="35">
        <v>1027420</v>
      </c>
      <c r="B48">
        <v>2024</v>
      </c>
      <c r="C48">
        <v>1250335</v>
      </c>
      <c r="D48">
        <v>3000</v>
      </c>
      <c r="E48">
        <v>76765</v>
      </c>
      <c r="F48">
        <v>95559</v>
      </c>
      <c r="I48">
        <f ca="1">ROUND(Table1[[#This Row],[Base_Salary]]/12, 0)</f>
        <v>104195</v>
      </c>
      <c r="J48" s="39">
        <f ca="1">SUM(Table1[[#This Row],[Base_Salary]], Table1[[#This Row],[Bonus]], Table1[[#This Row],[Perks]], Table1[[#This Row],[Other_Comp]])</f>
        <v>1425659</v>
      </c>
      <c r="K48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7.0503429659136557E-2</v>
      </c>
    </row>
    <row r="49" spans="1:11">
      <c r="A49" s="35">
        <v>1033227</v>
      </c>
      <c r="B49">
        <v>2022</v>
      </c>
      <c r="C49">
        <v>900000</v>
      </c>
      <c r="D49">
        <v>5000</v>
      </c>
      <c r="E49">
        <v>10000</v>
      </c>
      <c r="F49">
        <v>50000</v>
      </c>
      <c r="I49">
        <f ca="1">ROUND(Table1[[#This Row],[Base_Salary]]/12, 0)</f>
        <v>75000</v>
      </c>
      <c r="J49" s="39">
        <f ca="1">SUM(Table1[[#This Row],[Base_Salary]], Table1[[#This Row],[Bonus]], Table1[[#This Row],[Perks]], Table1[[#This Row],[Other_Comp]])</f>
        <v>965000</v>
      </c>
      <c r="K49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50" spans="1:11">
      <c r="A50" s="35">
        <v>1033227</v>
      </c>
      <c r="B50">
        <v>2023</v>
      </c>
      <c r="C50">
        <v>950000</v>
      </c>
      <c r="D50">
        <v>14000</v>
      </c>
      <c r="E50">
        <v>2000</v>
      </c>
      <c r="F50">
        <v>10000</v>
      </c>
      <c r="G50" t="s">
        <v>1846</v>
      </c>
      <c r="H50" s="26">
        <v>45017</v>
      </c>
      <c r="I50">
        <f ca="1">ROUND(Table1[[#This Row],[Base_Salary]]/12, 0)</f>
        <v>79167</v>
      </c>
      <c r="J50" s="39">
        <f ca="1">SUM(Table1[[#This Row],[Base_Salary]], Table1[[#This Row],[Bonus]], Table1[[#This Row],[Perks]], Table1[[#This Row],[Other_Comp]])</f>
        <v>976000</v>
      </c>
      <c r="K50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1.1398963730569948E-2</v>
      </c>
    </row>
    <row r="51" spans="1:11">
      <c r="A51">
        <v>1033227</v>
      </c>
      <c r="B51">
        <v>2024</v>
      </c>
      <c r="C51">
        <v>1150000</v>
      </c>
      <c r="D51">
        <v>2000</v>
      </c>
      <c r="E51">
        <v>3000</v>
      </c>
      <c r="F51">
        <v>0</v>
      </c>
      <c r="I51">
        <f ca="1">ROUND(Table1[[#This Row],[Base_Salary]]/12, 0)</f>
        <v>95833</v>
      </c>
      <c r="J51" s="39">
        <f ca="1">SUM(Table1[[#This Row],[Base_Salary]], Table1[[#This Row],[Bonus]], Table1[[#This Row],[Perks]], Table1[[#This Row],[Other_Comp]])</f>
        <v>1155000</v>
      </c>
      <c r="K51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0.18340163934426229</v>
      </c>
    </row>
    <row r="52" spans="1:11">
      <c r="A52">
        <v>1026220</v>
      </c>
      <c r="B52">
        <v>2020</v>
      </c>
      <c r="C52">
        <v>300000</v>
      </c>
      <c r="D52">
        <v>12000</v>
      </c>
      <c r="E52">
        <v>4000</v>
      </c>
      <c r="I52">
        <f ca="1">ROUND(Table1[[#This Row],[Base_Salary]]/12, 0)</f>
        <v>25000</v>
      </c>
      <c r="J52" s="39">
        <f ca="1">SUM(Table1[[#This Row],[Base_Salary]], Table1[[#This Row],[Bonus]], Table1[[#This Row],[Perks]], Table1[[#This Row],[Other_Comp]])</f>
        <v>316000</v>
      </c>
      <c r="K52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</v>
      </c>
    </row>
    <row r="53" spans="1:11">
      <c r="A53">
        <v>1026220</v>
      </c>
      <c r="B53">
        <v>2021</v>
      </c>
      <c r="C53">
        <v>350000</v>
      </c>
      <c r="D53">
        <v>15000</v>
      </c>
      <c r="E53">
        <v>5000</v>
      </c>
      <c r="I53">
        <f ca="1">ROUND(Table1[[#This Row],[Base_Salary]]/12, 0)</f>
        <v>29167</v>
      </c>
      <c r="J53" s="39">
        <f ca="1">SUM(Table1[[#This Row],[Base_Salary]], Table1[[#This Row],[Bonus]], Table1[[#This Row],[Perks]], Table1[[#This Row],[Other_Comp]])</f>
        <v>370000</v>
      </c>
      <c r="K53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0.17088607594936708</v>
      </c>
    </row>
    <row r="54" spans="1:11">
      <c r="A54" s="51">
        <v>1026220</v>
      </c>
      <c r="B54">
        <v>2022</v>
      </c>
      <c r="C54">
        <v>400000</v>
      </c>
      <c r="D54">
        <v>30000</v>
      </c>
      <c r="E54">
        <v>1000</v>
      </c>
      <c r="I54">
        <f ca="1">ROUND(Table1[[#This Row],[Base_Salary]]/12, 0)</f>
        <v>33333</v>
      </c>
      <c r="J54" s="39">
        <f ca="1">SUM(Table1[[#This Row],[Base_Salary]], Table1[[#This Row],[Bonus]], Table1[[#This Row],[Perks]], Table1[[#This Row],[Other_Comp]])</f>
        <v>431000</v>
      </c>
      <c r="K54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0.16486486486486487</v>
      </c>
    </row>
    <row r="55" spans="1:11">
      <c r="A55">
        <v>1026220</v>
      </c>
      <c r="B55">
        <v>2023</v>
      </c>
      <c r="C55">
        <v>500000</v>
      </c>
      <c r="D55">
        <v>34000</v>
      </c>
      <c r="E55">
        <v>3000</v>
      </c>
      <c r="I55">
        <f ca="1">ROUND(Table1[[#This Row],[Base_Salary]]/12, 0)</f>
        <v>41667</v>
      </c>
      <c r="J55" s="39">
        <f ca="1">SUM(Table1[[#This Row],[Base_Salary]], Table1[[#This Row],[Bonus]], Table1[[#This Row],[Perks]], Table1[[#This Row],[Other_Comp]])</f>
        <v>537000</v>
      </c>
      <c r="K55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0.24593967517401391</v>
      </c>
    </row>
    <row r="56" spans="1:11">
      <c r="A56" s="51">
        <v>1026220</v>
      </c>
      <c r="B56">
        <v>2024</v>
      </c>
      <c r="C56">
        <v>700000</v>
      </c>
      <c r="D56">
        <v>29000</v>
      </c>
      <c r="E56">
        <v>6000</v>
      </c>
      <c r="I56">
        <f ca="1">ROUND(Table1[[#This Row],[Base_Salary]]/12, 0)</f>
        <v>58333</v>
      </c>
      <c r="J56" s="39">
        <f ca="1">SUM(Table1[[#This Row],[Base_Salary]], Table1[[#This Row],[Bonus]], Table1[[#This Row],[Perks]], Table1[[#This Row],[Other_Comp]])</f>
        <v>735000</v>
      </c>
      <c r="K56">
        <f ca="1"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>0.36871508379888268</v>
      </c>
    </row>
    <row r="63" spans="1:11">
      <c r="A63">
        <v>1027928</v>
      </c>
    </row>
    <row r="64" spans="1:11">
      <c r="A64" s="27">
        <v>1027181</v>
      </c>
    </row>
    <row r="65" spans="1:1">
      <c r="A65">
        <v>1026264</v>
      </c>
    </row>
    <row r="66" spans="1:1">
      <c r="A66" s="27">
        <v>1024939</v>
      </c>
    </row>
    <row r="67" spans="1:1">
      <c r="A67">
        <v>1026361</v>
      </c>
    </row>
    <row r="68" spans="1:1">
      <c r="A68" s="27">
        <v>1027109</v>
      </c>
    </row>
    <row r="69" spans="1:1">
      <c r="A69">
        <v>1028086</v>
      </c>
    </row>
    <row r="70" spans="1:1">
      <c r="A70" s="27">
        <v>1024570</v>
      </c>
    </row>
    <row r="71" spans="1:1">
      <c r="A71">
        <v>1027026</v>
      </c>
    </row>
    <row r="72" spans="1:1">
      <c r="A72" s="50">
        <v>1030216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FB18-9270-4E61-A504-02D62808E2E5}">
  <dimension ref="A1:N112"/>
  <sheetViews>
    <sheetView topLeftCell="A29" workbookViewId="0">
      <selection activeCell="I30" sqref="I30"/>
    </sheetView>
  </sheetViews>
  <sheetFormatPr defaultRowHeight="14.25"/>
  <cols>
    <col min="1" max="1" width="21.625" customWidth="1"/>
    <col min="2" max="2" width="20.625" customWidth="1"/>
    <col min="3" max="3" width="14.875" customWidth="1"/>
    <col min="4" max="4" width="13.375" customWidth="1"/>
    <col min="5" max="5" width="11.5" customWidth="1"/>
    <col min="6" max="6" width="11.125" customWidth="1"/>
    <col min="7" max="7" width="19.625" customWidth="1"/>
    <col min="8" max="8" width="20.25" customWidth="1"/>
    <col min="9" max="9" width="22.875" customWidth="1"/>
    <col min="10" max="10" width="18.875" customWidth="1"/>
    <col min="11" max="11" width="19.625" customWidth="1"/>
    <col min="12" max="12" width="21.625" customWidth="1"/>
    <col min="13" max="13" width="11.125" bestFit="1" customWidth="1"/>
    <col min="14" max="14" width="7.875" customWidth="1"/>
  </cols>
  <sheetData>
    <row r="1" spans="1:14" ht="15">
      <c r="A1" s="30" t="s">
        <v>1871</v>
      </c>
      <c r="B1" s="30" t="s">
        <v>1872</v>
      </c>
      <c r="C1" s="30" t="s">
        <v>1873</v>
      </c>
      <c r="D1" s="30" t="s">
        <v>1874</v>
      </c>
      <c r="E1" s="30" t="s">
        <v>1875</v>
      </c>
      <c r="F1" s="30" t="s">
        <v>1876</v>
      </c>
      <c r="G1" s="30" t="s">
        <v>1877</v>
      </c>
      <c r="H1" s="30" t="s">
        <v>1878</v>
      </c>
      <c r="I1" s="30" t="s">
        <v>1879</v>
      </c>
      <c r="J1" s="31" t="s">
        <v>187</v>
      </c>
      <c r="K1" s="31" t="s">
        <v>1880</v>
      </c>
      <c r="L1" s="31" t="s">
        <v>1881</v>
      </c>
      <c r="M1" s="31" t="s">
        <v>201</v>
      </c>
      <c r="N1" s="31" t="s">
        <v>202</v>
      </c>
    </row>
    <row r="2" spans="1:14" ht="1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43"/>
      <c r="N2" s="43"/>
    </row>
    <row r="3" spans="1:14" ht="16.5" customHeight="1">
      <c r="A3" s="30" t="s">
        <v>1882</v>
      </c>
      <c r="B3" s="30" t="s">
        <v>1872</v>
      </c>
      <c r="C3" s="30" t="s">
        <v>1873</v>
      </c>
      <c r="D3" s="30" t="s">
        <v>1883</v>
      </c>
      <c r="E3" s="30" t="s">
        <v>1884</v>
      </c>
      <c r="F3" s="30" t="s">
        <v>1876</v>
      </c>
      <c r="G3" s="30" t="s">
        <v>1878</v>
      </c>
      <c r="H3" s="30" t="s">
        <v>1885</v>
      </c>
      <c r="I3" s="30" t="s">
        <v>1881</v>
      </c>
      <c r="J3" s="31" t="s">
        <v>1886</v>
      </c>
      <c r="K3" s="31" t="s">
        <v>202</v>
      </c>
    </row>
    <row r="4" spans="1:14" ht="16.5" customHeight="1">
      <c r="A4" s="49">
        <v>1026244</v>
      </c>
      <c r="B4" s="46">
        <v>2022</v>
      </c>
    </row>
    <row r="5" spans="1:14" ht="15.75" customHeight="1">
      <c r="A5" s="49">
        <v>1026244</v>
      </c>
      <c r="B5" s="48">
        <v>2023</v>
      </c>
    </row>
    <row r="6" spans="1:14" ht="15" customHeight="1">
      <c r="A6" s="49">
        <v>1026244</v>
      </c>
      <c r="B6" s="46">
        <v>2024</v>
      </c>
    </row>
    <row r="7" spans="1:14" ht="19.5" customHeight="1"/>
    <row r="9" spans="1:14" ht="32.25" customHeight="1">
      <c r="A9" s="41" t="s">
        <v>1887</v>
      </c>
      <c r="C9" s="32"/>
      <c r="D9" s="45">
        <v>1019272</v>
      </c>
      <c r="E9" s="46">
        <v>2024</v>
      </c>
    </row>
    <row r="10" spans="1:14" ht="28.5" customHeight="1">
      <c r="A10" s="44" t="s">
        <v>1885</v>
      </c>
      <c r="B10" s="44" t="s">
        <v>1888</v>
      </c>
      <c r="D10" s="47">
        <v>1020217</v>
      </c>
      <c r="E10" s="48">
        <v>2022</v>
      </c>
    </row>
    <row r="11" spans="1:14" ht="50.25">
      <c r="A11" s="44" t="s">
        <v>1881</v>
      </c>
      <c r="B11" s="44" t="s">
        <v>1889</v>
      </c>
      <c r="D11" s="45">
        <v>1020217</v>
      </c>
      <c r="E11" s="46">
        <v>2023</v>
      </c>
    </row>
    <row r="12" spans="1:14" ht="33.75">
      <c r="A12" s="44" t="s">
        <v>1886</v>
      </c>
      <c r="B12" s="44" t="s">
        <v>1890</v>
      </c>
      <c r="D12" s="47">
        <v>1020217</v>
      </c>
      <c r="E12" s="48">
        <v>2024</v>
      </c>
    </row>
    <row r="13" spans="1:14" ht="33.75">
      <c r="A13" s="44" t="s">
        <v>202</v>
      </c>
      <c r="B13" s="44" t="s">
        <v>1891</v>
      </c>
      <c r="D13" s="49">
        <v>1026244</v>
      </c>
      <c r="E13" s="46">
        <v>2022</v>
      </c>
    </row>
    <row r="14" spans="1:14" ht="33" customHeight="1">
      <c r="A14" s="44" t="s">
        <v>1872</v>
      </c>
      <c r="B14" s="44" t="s">
        <v>1892</v>
      </c>
      <c r="D14" s="49">
        <v>1026244</v>
      </c>
      <c r="E14" s="48">
        <v>2023</v>
      </c>
    </row>
    <row r="15" spans="1:14" ht="18" customHeight="1">
      <c r="A15" s="44" t="s">
        <v>1893</v>
      </c>
      <c r="B15" s="44" t="s">
        <v>1894</v>
      </c>
      <c r="D15" s="49">
        <v>1026244</v>
      </c>
      <c r="E15" s="46">
        <v>2024</v>
      </c>
    </row>
    <row r="16" spans="1:14" ht="33.75" customHeight="1">
      <c r="A16" s="44" t="s">
        <v>1874</v>
      </c>
      <c r="B16" s="44" t="s">
        <v>1895</v>
      </c>
    </row>
    <row r="17" spans="1:8" ht="41.25" customHeight="1">
      <c r="A17" s="44" t="s">
        <v>1879</v>
      </c>
      <c r="B17" s="44" t="s">
        <v>1896</v>
      </c>
    </row>
    <row r="26" spans="1:8">
      <c r="C26" s="32"/>
    </row>
    <row r="30" spans="1:8">
      <c r="F30" t="s">
        <v>1897</v>
      </c>
      <c r="G30" t="s">
        <v>1898</v>
      </c>
      <c r="H30" t="s">
        <v>1899</v>
      </c>
    </row>
    <row r="31" spans="1:8">
      <c r="F31" s="27">
        <v>1019272</v>
      </c>
      <c r="G31" s="27" t="s">
        <v>114</v>
      </c>
    </row>
    <row r="32" spans="1:8">
      <c r="F32">
        <v>1032824</v>
      </c>
      <c r="G32" s="27" t="s">
        <v>45</v>
      </c>
    </row>
    <row r="33" spans="6:7">
      <c r="F33" s="27">
        <v>1012233</v>
      </c>
      <c r="G33" s="27" t="s">
        <v>45</v>
      </c>
    </row>
    <row r="34" spans="6:7">
      <c r="F34">
        <v>1020217</v>
      </c>
      <c r="G34" s="27" t="s">
        <v>45</v>
      </c>
    </row>
    <row r="35" spans="6:7">
      <c r="F35" s="27">
        <v>1028704</v>
      </c>
      <c r="G35" s="27" t="s">
        <v>45</v>
      </c>
    </row>
    <row r="36" spans="6:7">
      <c r="F36">
        <v>1027230</v>
      </c>
      <c r="G36" s="27" t="s">
        <v>45</v>
      </c>
    </row>
    <row r="37" spans="6:7">
      <c r="F37" s="27">
        <v>1008532</v>
      </c>
      <c r="G37" s="27" t="s">
        <v>45</v>
      </c>
    </row>
    <row r="38" spans="6:7">
      <c r="F38">
        <v>1028538</v>
      </c>
      <c r="G38" s="27" t="s">
        <v>45</v>
      </c>
    </row>
    <row r="39" spans="6:7">
      <c r="F39" s="27">
        <v>1025919</v>
      </c>
      <c r="G39" s="27" t="s">
        <v>45</v>
      </c>
    </row>
    <row r="40" spans="6:7">
      <c r="F40">
        <v>1028544</v>
      </c>
      <c r="G40" s="27" t="s">
        <v>45</v>
      </c>
    </row>
    <row r="41" spans="6:7">
      <c r="F41" s="27">
        <v>1027650</v>
      </c>
      <c r="G41" s="27" t="s">
        <v>114</v>
      </c>
    </row>
    <row r="42" spans="6:7">
      <c r="F42">
        <v>1000177</v>
      </c>
      <c r="G42" s="27" t="s">
        <v>45</v>
      </c>
    </row>
    <row r="43" spans="6:7">
      <c r="F43" s="27">
        <v>1010164</v>
      </c>
      <c r="G43" s="27" t="s">
        <v>45</v>
      </c>
    </row>
    <row r="44" spans="6:7">
      <c r="F44">
        <v>1028541</v>
      </c>
      <c r="G44" s="27" t="s">
        <v>45</v>
      </c>
    </row>
    <row r="45" spans="6:7">
      <c r="F45" s="27">
        <v>1005530</v>
      </c>
      <c r="G45" s="27" t="s">
        <v>45</v>
      </c>
    </row>
    <row r="46" spans="6:7">
      <c r="F46">
        <v>1018674</v>
      </c>
      <c r="G46" s="27" t="s">
        <v>45</v>
      </c>
    </row>
    <row r="47" spans="6:7">
      <c r="F47" s="27">
        <v>1032836</v>
      </c>
      <c r="G47" s="27" t="s">
        <v>45</v>
      </c>
    </row>
    <row r="48" spans="6:7">
      <c r="F48">
        <v>1020365</v>
      </c>
      <c r="G48" s="27" t="s">
        <v>45</v>
      </c>
    </row>
    <row r="49" spans="6:7">
      <c r="F49" s="27">
        <v>1022573</v>
      </c>
      <c r="G49" s="27" t="s">
        <v>45</v>
      </c>
    </row>
    <row r="50" spans="6:7">
      <c r="F50">
        <v>1024729</v>
      </c>
      <c r="G50" s="27" t="s">
        <v>45</v>
      </c>
    </row>
    <row r="51" spans="6:7">
      <c r="F51" s="27">
        <v>1029447</v>
      </c>
      <c r="G51" s="27" t="s">
        <v>45</v>
      </c>
    </row>
    <row r="52" spans="6:7">
      <c r="F52">
        <v>1022524</v>
      </c>
      <c r="G52" s="27" t="s">
        <v>45</v>
      </c>
    </row>
    <row r="53" spans="6:7">
      <c r="F53" s="27">
        <v>1023801</v>
      </c>
      <c r="G53" s="27" t="s">
        <v>45</v>
      </c>
    </row>
    <row r="54" spans="6:7">
      <c r="F54">
        <v>1031854</v>
      </c>
      <c r="G54" s="27" t="s">
        <v>45</v>
      </c>
    </row>
    <row r="55" spans="6:7">
      <c r="F55" s="27">
        <v>1021379</v>
      </c>
      <c r="G55" s="27" t="s">
        <v>114</v>
      </c>
    </row>
    <row r="56" spans="6:7">
      <c r="F56">
        <v>1030980</v>
      </c>
      <c r="G56" s="27" t="s">
        <v>45</v>
      </c>
    </row>
    <row r="57" spans="6:7">
      <c r="F57" s="27">
        <v>1022458</v>
      </c>
      <c r="G57" s="27" t="s">
        <v>45</v>
      </c>
    </row>
    <row r="58" spans="6:7">
      <c r="F58">
        <v>1004044</v>
      </c>
      <c r="G58" s="27" t="s">
        <v>45</v>
      </c>
    </row>
    <row r="59" spans="6:7">
      <c r="F59" s="27">
        <v>1032204</v>
      </c>
      <c r="G59" s="27" t="s">
        <v>45</v>
      </c>
    </row>
    <row r="60" spans="6:7">
      <c r="F60">
        <v>1000900</v>
      </c>
      <c r="G60" s="27" t="s">
        <v>45</v>
      </c>
    </row>
    <row r="61" spans="6:7">
      <c r="F61" s="27">
        <v>1031110</v>
      </c>
      <c r="G61" s="27" t="s">
        <v>45</v>
      </c>
    </row>
    <row r="62" spans="6:7">
      <c r="F62">
        <v>1028542</v>
      </c>
      <c r="G62" s="27" t="s">
        <v>45</v>
      </c>
    </row>
    <row r="63" spans="6:7">
      <c r="F63" s="27">
        <v>1019968</v>
      </c>
      <c r="G63" s="27" t="s">
        <v>45</v>
      </c>
    </row>
    <row r="64" spans="6:7">
      <c r="F64">
        <v>1027276</v>
      </c>
      <c r="G64" s="27" t="s">
        <v>45</v>
      </c>
    </row>
    <row r="65" spans="6:7">
      <c r="F65" s="27">
        <v>1028474</v>
      </c>
      <c r="G65" s="27" t="s">
        <v>45</v>
      </c>
    </row>
    <row r="66" spans="6:7">
      <c r="F66">
        <v>1030739</v>
      </c>
      <c r="G66" s="27" t="s">
        <v>45</v>
      </c>
    </row>
    <row r="67" spans="6:7">
      <c r="F67" s="27">
        <v>1022410</v>
      </c>
      <c r="G67" s="27" t="s">
        <v>45</v>
      </c>
    </row>
    <row r="68" spans="6:7">
      <c r="F68">
        <v>1033431</v>
      </c>
      <c r="G68" s="27" t="s">
        <v>45</v>
      </c>
    </row>
    <row r="69" spans="6:7">
      <c r="F69" s="27">
        <v>1003859</v>
      </c>
      <c r="G69" s="27" t="s">
        <v>130</v>
      </c>
    </row>
    <row r="70" spans="6:7">
      <c r="F70">
        <v>1028537</v>
      </c>
      <c r="G70" s="27" t="s">
        <v>45</v>
      </c>
    </row>
    <row r="71" spans="6:7">
      <c r="F71" s="27">
        <v>1033097</v>
      </c>
      <c r="G71" s="27" t="s">
        <v>110</v>
      </c>
    </row>
    <row r="72" spans="6:7">
      <c r="F72">
        <v>1020723</v>
      </c>
      <c r="G72" s="27" t="s">
        <v>45</v>
      </c>
    </row>
    <row r="73" spans="6:7">
      <c r="F73" s="27">
        <v>1027551</v>
      </c>
      <c r="G73" s="27" t="s">
        <v>45</v>
      </c>
    </row>
    <row r="74" spans="6:7">
      <c r="F74">
        <v>1033925</v>
      </c>
      <c r="G74" s="27" t="s">
        <v>118</v>
      </c>
    </row>
    <row r="75" spans="6:7">
      <c r="F75" s="27">
        <v>1026354</v>
      </c>
      <c r="G75" s="27" t="s">
        <v>45</v>
      </c>
    </row>
    <row r="76" spans="6:7">
      <c r="F76">
        <v>1029023</v>
      </c>
      <c r="G76" s="27" t="s">
        <v>45</v>
      </c>
    </row>
    <row r="77" spans="6:7">
      <c r="F77" s="27">
        <v>1028583</v>
      </c>
      <c r="G77" s="27" t="s">
        <v>45</v>
      </c>
    </row>
    <row r="78" spans="6:7">
      <c r="F78">
        <v>1026864</v>
      </c>
      <c r="G78" s="27" t="s">
        <v>45</v>
      </c>
    </row>
    <row r="79" spans="6:7">
      <c r="F79" s="27">
        <v>1019672</v>
      </c>
      <c r="G79" s="27" t="s">
        <v>45</v>
      </c>
    </row>
    <row r="80" spans="6:7">
      <c r="F80">
        <v>1031825</v>
      </c>
      <c r="G80" s="27" t="s">
        <v>45</v>
      </c>
    </row>
    <row r="81" spans="6:7">
      <c r="F81" s="27">
        <v>1018271</v>
      </c>
      <c r="G81" s="27" t="s">
        <v>45</v>
      </c>
    </row>
    <row r="82" spans="6:7">
      <c r="F82">
        <v>1031867</v>
      </c>
      <c r="G82" s="27" t="s">
        <v>45</v>
      </c>
    </row>
    <row r="83" spans="6:7">
      <c r="F83" s="27">
        <v>1025532</v>
      </c>
      <c r="G83" s="27" t="s">
        <v>45</v>
      </c>
    </row>
    <row r="84" spans="6:7">
      <c r="F84">
        <v>1019295</v>
      </c>
      <c r="G84" s="27" t="s">
        <v>45</v>
      </c>
    </row>
    <row r="85" spans="6:7">
      <c r="F85" s="27">
        <v>1008177</v>
      </c>
      <c r="G85" s="27" t="s">
        <v>130</v>
      </c>
    </row>
    <row r="86" spans="6:7">
      <c r="F86">
        <v>1019765</v>
      </c>
      <c r="G86" s="27" t="s">
        <v>45</v>
      </c>
    </row>
    <row r="87" spans="6:7">
      <c r="F87" s="27">
        <v>1013201</v>
      </c>
      <c r="G87" s="27" t="s">
        <v>45</v>
      </c>
    </row>
    <row r="88" spans="6:7">
      <c r="F88">
        <v>1032896</v>
      </c>
      <c r="G88" s="27" t="s">
        <v>45</v>
      </c>
    </row>
    <row r="89" spans="6:7">
      <c r="F89" s="27">
        <v>1025126</v>
      </c>
      <c r="G89" s="27" t="s">
        <v>45</v>
      </c>
    </row>
    <row r="90" spans="6:7">
      <c r="F90">
        <v>1024996</v>
      </c>
      <c r="G90" s="27" t="s">
        <v>45</v>
      </c>
    </row>
    <row r="91" spans="6:7">
      <c r="F91" s="27">
        <v>1027666</v>
      </c>
      <c r="G91" s="27" t="s">
        <v>45</v>
      </c>
    </row>
    <row r="92" spans="6:7">
      <c r="F92">
        <v>1025129</v>
      </c>
      <c r="G92" s="27" t="s">
        <v>45</v>
      </c>
    </row>
    <row r="93" spans="6:7">
      <c r="F93" s="27">
        <v>1025395</v>
      </c>
      <c r="G93" s="27" t="s">
        <v>45</v>
      </c>
    </row>
    <row r="94" spans="6:7">
      <c r="F94">
        <v>1031856</v>
      </c>
      <c r="G94" s="27" t="s">
        <v>45</v>
      </c>
    </row>
    <row r="95" spans="6:7">
      <c r="F95" s="27">
        <v>1025421</v>
      </c>
      <c r="G95" s="27" t="s">
        <v>45</v>
      </c>
    </row>
    <row r="96" spans="6:7">
      <c r="F96">
        <v>1017141</v>
      </c>
      <c r="G96" s="27" t="s">
        <v>45</v>
      </c>
    </row>
    <row r="97" spans="6:7">
      <c r="F97" s="27">
        <v>1027866</v>
      </c>
      <c r="G97" s="27" t="s">
        <v>45</v>
      </c>
    </row>
    <row r="98" spans="6:7">
      <c r="F98">
        <v>1004641</v>
      </c>
      <c r="G98" s="27" t="s">
        <v>45</v>
      </c>
    </row>
    <row r="99" spans="6:7">
      <c r="F99" s="27">
        <v>1022868</v>
      </c>
      <c r="G99" s="27" t="s">
        <v>45</v>
      </c>
    </row>
    <row r="100" spans="6:7">
      <c r="F100">
        <v>1032377</v>
      </c>
      <c r="G100" s="27" t="s">
        <v>45</v>
      </c>
    </row>
    <row r="101" spans="6:7">
      <c r="F101" s="27">
        <v>1024396</v>
      </c>
      <c r="G101" s="27" t="s">
        <v>45</v>
      </c>
    </row>
    <row r="102" spans="6:7">
      <c r="F102">
        <v>1027391</v>
      </c>
      <c r="G102" s="27" t="s">
        <v>45</v>
      </c>
    </row>
    <row r="103" spans="6:7">
      <c r="F103" s="27">
        <v>1018072</v>
      </c>
      <c r="G103" s="27" t="s">
        <v>45</v>
      </c>
    </row>
    <row r="104" spans="6:7">
      <c r="F104">
        <v>1024491</v>
      </c>
      <c r="G104" s="27" t="s">
        <v>45</v>
      </c>
    </row>
    <row r="105" spans="6:7">
      <c r="F105" s="27">
        <v>1029038</v>
      </c>
      <c r="G105" s="27" t="s">
        <v>45</v>
      </c>
    </row>
    <row r="106" spans="6:7">
      <c r="F106">
        <v>1031865</v>
      </c>
      <c r="G106" s="27" t="s">
        <v>45</v>
      </c>
    </row>
    <row r="107" spans="6:7">
      <c r="F107" s="27">
        <v>1031846</v>
      </c>
      <c r="G107" s="27" t="s">
        <v>45</v>
      </c>
    </row>
    <row r="108" spans="6:7">
      <c r="F108">
        <v>1033432</v>
      </c>
      <c r="G108" s="27" t="s">
        <v>45</v>
      </c>
    </row>
    <row r="109" spans="6:7">
      <c r="F109" s="27">
        <v>1020173</v>
      </c>
      <c r="G109" s="27" t="s">
        <v>45</v>
      </c>
    </row>
    <row r="110" spans="6:7">
      <c r="F110">
        <v>1028539</v>
      </c>
      <c r="G110" s="27" t="s">
        <v>45</v>
      </c>
    </row>
    <row r="111" spans="6:7">
      <c r="F111" s="27">
        <v>1029717</v>
      </c>
      <c r="G111" s="27" t="s">
        <v>45</v>
      </c>
    </row>
    <row r="112" spans="6:7">
      <c r="F112">
        <v>1023397</v>
      </c>
      <c r="G112" s="27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6349-37C9-4FD1-B996-CB584832055D}">
  <dimension ref="A1:L802"/>
  <sheetViews>
    <sheetView showGridLines="0" workbookViewId="0">
      <selection activeCell="A3" sqref="A3"/>
    </sheetView>
  </sheetViews>
  <sheetFormatPr defaultRowHeight="14.1"/>
  <cols>
    <col min="1" max="1" width="38.875" bestFit="1" customWidth="1"/>
    <col min="2" max="3" width="27.375" bestFit="1" customWidth="1"/>
    <col min="4" max="4" width="28.625" bestFit="1" customWidth="1"/>
    <col min="5" max="5" width="13.125" bestFit="1" customWidth="1"/>
    <col min="6" max="6" width="19.625" bestFit="1" customWidth="1"/>
    <col min="7" max="7" width="22.125" bestFit="1" customWidth="1"/>
    <col min="8" max="8" width="19.625" bestFit="1" customWidth="1"/>
    <col min="9" max="9" width="21.125" bestFit="1" customWidth="1"/>
    <col min="10" max="10" width="22.875" bestFit="1" customWidth="1"/>
    <col min="11" max="11" width="13.125" bestFit="1" customWidth="1"/>
    <col min="12" max="13" width="27.375" customWidth="1"/>
  </cols>
  <sheetData>
    <row r="1" spans="1:12" ht="17.45">
      <c r="A1" s="16" t="s">
        <v>1900</v>
      </c>
      <c r="C1" s="20" t="str">
        <f ca="1">SUM(T_LEAVE[ERROR IND])&amp;" Errors"</f>
        <v>0 Errors</v>
      </c>
    </row>
    <row r="2" spans="1:12">
      <c r="A2" s="13" t="s">
        <v>168</v>
      </c>
      <c r="B2" s="13" t="s">
        <v>168</v>
      </c>
      <c r="C2" s="13" t="s">
        <v>168</v>
      </c>
      <c r="D2" s="13" t="s">
        <v>168</v>
      </c>
      <c r="E2" s="13" t="s">
        <v>168</v>
      </c>
      <c r="F2" s="18" t="s">
        <v>169</v>
      </c>
      <c r="G2" s="18" t="s">
        <v>169</v>
      </c>
    </row>
    <row r="3" spans="1:12">
      <c r="A3" t="s">
        <v>1901</v>
      </c>
      <c r="B3" t="s">
        <v>175</v>
      </c>
      <c r="C3" t="s">
        <v>1873</v>
      </c>
      <c r="D3" t="s">
        <v>25</v>
      </c>
      <c r="E3" t="s">
        <v>1875</v>
      </c>
      <c r="F3" t="s">
        <v>1902</v>
      </c>
      <c r="G3" t="s">
        <v>1903</v>
      </c>
      <c r="H3" s="14" t="s">
        <v>187</v>
      </c>
      <c r="I3" s="14" t="s">
        <v>1904</v>
      </c>
      <c r="J3" s="14" t="s">
        <v>1905</v>
      </c>
      <c r="K3" s="14" t="s">
        <v>201</v>
      </c>
      <c r="L3" s="14" t="s">
        <v>202</v>
      </c>
    </row>
    <row r="4" spans="1:12">
      <c r="A4" t="s">
        <v>1906</v>
      </c>
      <c r="B4" s="17" t="s">
        <v>1907</v>
      </c>
      <c r="C4" s="17" t="s">
        <v>1908</v>
      </c>
      <c r="D4" t="s">
        <v>92</v>
      </c>
      <c r="E4">
        <v>4</v>
      </c>
      <c r="F4" s="17"/>
      <c r="G4" s="17"/>
      <c r="H4">
        <f ca="1">IF(T_LEAVE[[#This Row],[EMPLOYEE]]="","",MATCH(T_LEAVE[[#This Row],[EMPLOYEE]],L_EMPLABELS,0))</f>
        <v>509</v>
      </c>
      <c r="I4">
        <f ca="1">IF(T_LEAVE[[#This Row],[EMPLOYEE]]="","",MATCH(T_LEAVE[[#This Row],[LEAVE TYPE]],L_LEAVETYPES,0))</f>
        <v>6</v>
      </c>
      <c r="J4" t="str" cm="1">
        <f t="array" aca="1" ref="J4" ca="1">IFERROR(INDEX(T_LEAVE_TYPES[SYMBOL],T_LEAVE[[#This Row],[LEAVE TYPE SYS ID]]),"")</f>
        <v>PR</v>
      </c>
      <c r="K4">
        <f ca="1">IF(T_LEAVE[[#This Row],[EMPLOYEE]]="","",IF(T_LEAVE[[#This Row],[ERROR]]="",0,1))</f>
        <v>0</v>
      </c>
      <c r="L4" t="str" cm="1">
        <f t="array" aca="1" ref="L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" spans="1:12">
      <c r="A5" t="s">
        <v>1909</v>
      </c>
      <c r="B5" s="15" t="s">
        <v>1907</v>
      </c>
      <c r="C5" s="15" t="s">
        <v>1907</v>
      </c>
      <c r="D5" t="s">
        <v>98</v>
      </c>
      <c r="E5">
        <v>1</v>
      </c>
      <c r="F5" s="1"/>
      <c r="G5" s="1"/>
      <c r="H5">
        <f ca="1">IF(T_LEAVE[[#This Row],[EMPLOYEE]]="","",MATCH(T_LEAVE[[#This Row],[EMPLOYEE]],L_EMPLABELS,0))</f>
        <v>214</v>
      </c>
      <c r="I5">
        <f ca="1">IF(T_LEAVE[[#This Row],[EMPLOYEE]]="","",MATCH(T_LEAVE[[#This Row],[LEAVE TYPE]],L_LEAVETYPES,0))</f>
        <v>7</v>
      </c>
      <c r="J5" t="str" cm="1">
        <f t="array" aca="1" ref="J5" ca="1">IFERROR(INDEX(T_LEAVE_TYPES[SYMBOL],T_LEAVE[[#This Row],[LEAVE TYPE SYS ID]]),"")</f>
        <v>C</v>
      </c>
      <c r="K5">
        <f ca="1">IF(T_LEAVE[[#This Row],[EMPLOYEE]]="","",IF(T_LEAVE[[#This Row],[ERROR]]="",0,1))</f>
        <v>0</v>
      </c>
      <c r="L5" t="str" cm="1">
        <f t="array" aca="1" ref="L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" spans="1:12">
      <c r="A6" t="s">
        <v>1910</v>
      </c>
      <c r="B6" s="15" t="s">
        <v>1907</v>
      </c>
      <c r="C6" s="15" t="s">
        <v>1911</v>
      </c>
      <c r="D6" t="s">
        <v>98</v>
      </c>
      <c r="E6">
        <v>2</v>
      </c>
      <c r="F6" s="1"/>
      <c r="G6" s="1"/>
      <c r="H6">
        <f ca="1">IF(T_LEAVE[[#This Row],[EMPLOYEE]]="","",MATCH(T_LEAVE[[#This Row],[EMPLOYEE]],L_EMPLABELS,0))</f>
        <v>493</v>
      </c>
      <c r="I6">
        <f ca="1">IF(T_LEAVE[[#This Row],[EMPLOYEE]]="","",MATCH(T_LEAVE[[#This Row],[LEAVE TYPE]],L_LEAVETYPES,0))</f>
        <v>7</v>
      </c>
      <c r="J6" t="str" cm="1">
        <f t="array" aca="1" ref="J6" ca="1">IFERROR(INDEX(T_LEAVE_TYPES[SYMBOL],T_LEAVE[[#This Row],[LEAVE TYPE SYS ID]]),"")</f>
        <v>C</v>
      </c>
      <c r="K6">
        <f ca="1">IF(T_LEAVE[[#This Row],[EMPLOYEE]]="","",IF(T_LEAVE[[#This Row],[ERROR]]="",0,1))</f>
        <v>0</v>
      </c>
      <c r="L6" t="str" cm="1">
        <f t="array" aca="1" ref="L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" spans="1:12">
      <c r="A7" t="s">
        <v>1912</v>
      </c>
      <c r="B7" s="15" t="s">
        <v>1913</v>
      </c>
      <c r="C7" s="15" t="s">
        <v>1914</v>
      </c>
      <c r="D7" t="s">
        <v>98</v>
      </c>
      <c r="E7">
        <v>2</v>
      </c>
      <c r="F7" s="1"/>
      <c r="G7" s="1"/>
      <c r="H7">
        <f ca="1">IF(T_LEAVE[[#This Row],[EMPLOYEE]]="","",MATCH(T_LEAVE[[#This Row],[EMPLOYEE]],L_EMPLABELS,0))</f>
        <v>486</v>
      </c>
      <c r="I7">
        <f ca="1">IF(T_LEAVE[[#This Row],[EMPLOYEE]]="","",MATCH(T_LEAVE[[#This Row],[LEAVE TYPE]],L_LEAVETYPES,0))</f>
        <v>7</v>
      </c>
      <c r="J7" t="str" cm="1">
        <f t="array" aca="1" ref="J7" ca="1">IFERROR(INDEX(T_LEAVE_TYPES[SYMBOL],T_LEAVE[[#This Row],[LEAVE TYPE SYS ID]]),"")</f>
        <v>C</v>
      </c>
      <c r="K7">
        <f ca="1">IF(T_LEAVE[[#This Row],[EMPLOYEE]]="","",IF(T_LEAVE[[#This Row],[ERROR]]="",0,1))</f>
        <v>0</v>
      </c>
      <c r="L7" t="str" cm="1">
        <f t="array" aca="1" ref="L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" spans="1:12">
      <c r="A8" t="s">
        <v>1912</v>
      </c>
      <c r="B8" s="15" t="s">
        <v>1915</v>
      </c>
      <c r="C8" s="15" t="s">
        <v>1915</v>
      </c>
      <c r="D8" t="s">
        <v>98</v>
      </c>
      <c r="E8">
        <v>1</v>
      </c>
      <c r="F8" s="1"/>
      <c r="G8" s="1"/>
      <c r="H8">
        <f ca="1">IF(T_LEAVE[[#This Row],[EMPLOYEE]]="","",MATCH(T_LEAVE[[#This Row],[EMPLOYEE]],L_EMPLABELS,0))</f>
        <v>486</v>
      </c>
      <c r="I8">
        <f ca="1">IF(T_LEAVE[[#This Row],[EMPLOYEE]]="","",MATCH(T_LEAVE[[#This Row],[LEAVE TYPE]],L_LEAVETYPES,0))</f>
        <v>7</v>
      </c>
      <c r="J8" t="str" cm="1">
        <f t="array" aca="1" ref="J8" ca="1">IFERROR(INDEX(T_LEAVE_TYPES[SYMBOL],T_LEAVE[[#This Row],[LEAVE TYPE SYS ID]]),"")</f>
        <v>C</v>
      </c>
      <c r="K8">
        <f ca="1">IF(T_LEAVE[[#This Row],[EMPLOYEE]]="","",IF(T_LEAVE[[#This Row],[ERROR]]="",0,1))</f>
        <v>0</v>
      </c>
      <c r="L8" t="str" cm="1">
        <f t="array" aca="1" ref="L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" spans="1:12">
      <c r="A9" t="s">
        <v>1912</v>
      </c>
      <c r="B9" s="15" t="s">
        <v>1916</v>
      </c>
      <c r="C9" s="15" t="s">
        <v>1916</v>
      </c>
      <c r="D9" t="s">
        <v>98</v>
      </c>
      <c r="E9">
        <v>1</v>
      </c>
      <c r="F9" s="1"/>
      <c r="G9" s="1"/>
      <c r="H9">
        <f ca="1">IF(T_LEAVE[[#This Row],[EMPLOYEE]]="","",MATCH(T_LEAVE[[#This Row],[EMPLOYEE]],L_EMPLABELS,0))</f>
        <v>486</v>
      </c>
      <c r="I9">
        <f ca="1">IF(T_LEAVE[[#This Row],[EMPLOYEE]]="","",MATCH(T_LEAVE[[#This Row],[LEAVE TYPE]],L_LEAVETYPES,0))</f>
        <v>7</v>
      </c>
      <c r="J9" t="str" cm="1">
        <f t="array" aca="1" ref="J9" ca="1">IFERROR(INDEX(T_LEAVE_TYPES[SYMBOL],T_LEAVE[[#This Row],[LEAVE TYPE SYS ID]]),"")</f>
        <v>C</v>
      </c>
      <c r="K9">
        <f ca="1">IF(T_LEAVE[[#This Row],[EMPLOYEE]]="","",IF(T_LEAVE[[#This Row],[ERROR]]="",0,1))</f>
        <v>0</v>
      </c>
      <c r="L9" t="str" cm="1">
        <f t="array" aca="1" ref="L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" spans="1:12">
      <c r="A10" t="s">
        <v>1917</v>
      </c>
      <c r="B10" s="15" t="s">
        <v>1918</v>
      </c>
      <c r="C10" s="15" t="s">
        <v>1918</v>
      </c>
      <c r="D10" t="s">
        <v>92</v>
      </c>
      <c r="E10">
        <v>1</v>
      </c>
      <c r="F10" s="1"/>
      <c r="G10" s="1"/>
      <c r="H10">
        <f ca="1">IF(T_LEAVE[[#This Row],[EMPLOYEE]]="","",MATCH(T_LEAVE[[#This Row],[EMPLOYEE]],L_EMPLABELS,0))</f>
        <v>551</v>
      </c>
      <c r="I10">
        <f ca="1">IF(T_LEAVE[[#This Row],[EMPLOYEE]]="","",MATCH(T_LEAVE[[#This Row],[LEAVE TYPE]],L_LEAVETYPES,0))</f>
        <v>6</v>
      </c>
      <c r="J10" t="str" cm="1">
        <f t="array" aca="1" ref="J10" ca="1">IFERROR(INDEX(T_LEAVE_TYPES[SYMBOL],T_LEAVE[[#This Row],[LEAVE TYPE SYS ID]]),"")</f>
        <v>PR</v>
      </c>
      <c r="K10">
        <f ca="1">IF(T_LEAVE[[#This Row],[EMPLOYEE]]="","",IF(T_LEAVE[[#This Row],[ERROR]]="",0,1))</f>
        <v>0</v>
      </c>
      <c r="L10" t="str" cm="1">
        <f t="array" aca="1" ref="L1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" spans="1:12">
      <c r="A11" t="s">
        <v>1919</v>
      </c>
      <c r="B11" s="15" t="s">
        <v>1920</v>
      </c>
      <c r="C11" s="15" t="s">
        <v>1920</v>
      </c>
      <c r="D11" t="s">
        <v>92</v>
      </c>
      <c r="E11">
        <v>1</v>
      </c>
      <c r="F11" s="1"/>
      <c r="G11" s="1"/>
      <c r="H11">
        <f ca="1">IF(T_LEAVE[[#This Row],[EMPLOYEE]]="","",MATCH(T_LEAVE[[#This Row],[EMPLOYEE]],L_EMPLABELS,0))</f>
        <v>99</v>
      </c>
      <c r="I11">
        <f ca="1">IF(T_LEAVE[[#This Row],[EMPLOYEE]]="","",MATCH(T_LEAVE[[#This Row],[LEAVE TYPE]],L_LEAVETYPES,0))</f>
        <v>6</v>
      </c>
      <c r="J11" t="str" cm="1">
        <f t="array" aca="1" ref="J11" ca="1">IFERROR(INDEX(T_LEAVE_TYPES[SYMBOL],T_LEAVE[[#This Row],[LEAVE TYPE SYS ID]]),"")</f>
        <v>PR</v>
      </c>
      <c r="K11">
        <f ca="1">IF(T_LEAVE[[#This Row],[EMPLOYEE]]="","",IF(T_LEAVE[[#This Row],[ERROR]]="",0,1))</f>
        <v>0</v>
      </c>
      <c r="L11" t="str" cm="1">
        <f t="array" aca="1" ref="L1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" spans="1:12">
      <c r="A12" t="s">
        <v>1919</v>
      </c>
      <c r="B12" s="15" t="s">
        <v>1921</v>
      </c>
      <c r="C12" s="15" t="s">
        <v>1921</v>
      </c>
      <c r="D12" t="s">
        <v>92</v>
      </c>
      <c r="E12">
        <v>1</v>
      </c>
      <c r="F12" s="1"/>
      <c r="G12" s="1"/>
      <c r="H12">
        <f ca="1">IF(T_LEAVE[[#This Row],[EMPLOYEE]]="","",MATCH(T_LEAVE[[#This Row],[EMPLOYEE]],L_EMPLABELS,0))</f>
        <v>99</v>
      </c>
      <c r="I12">
        <f ca="1">IF(T_LEAVE[[#This Row],[EMPLOYEE]]="","",MATCH(T_LEAVE[[#This Row],[LEAVE TYPE]],L_LEAVETYPES,0))</f>
        <v>6</v>
      </c>
      <c r="J12" t="str" cm="1">
        <f t="array" aca="1" ref="J12" ca="1">IFERROR(INDEX(T_LEAVE_TYPES[SYMBOL],T_LEAVE[[#This Row],[LEAVE TYPE SYS ID]]),"")</f>
        <v>PR</v>
      </c>
      <c r="K12">
        <f ca="1">IF(T_LEAVE[[#This Row],[EMPLOYEE]]="","",IF(T_LEAVE[[#This Row],[ERROR]]="",0,1))</f>
        <v>0</v>
      </c>
      <c r="L12" t="str" cm="1">
        <f t="array" aca="1" ref="L1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" spans="1:12">
      <c r="A13" t="s">
        <v>1919</v>
      </c>
      <c r="B13" s="15" t="s">
        <v>1922</v>
      </c>
      <c r="C13" s="15" t="s">
        <v>1923</v>
      </c>
      <c r="D13" t="s">
        <v>98</v>
      </c>
      <c r="E13">
        <v>3</v>
      </c>
      <c r="F13" s="1"/>
      <c r="G13" s="1"/>
      <c r="H13">
        <f ca="1">IF(T_LEAVE[[#This Row],[EMPLOYEE]]="","",MATCH(T_LEAVE[[#This Row],[EMPLOYEE]],L_EMPLABELS,0))</f>
        <v>99</v>
      </c>
      <c r="I13">
        <f ca="1">IF(T_LEAVE[[#This Row],[EMPLOYEE]]="","",MATCH(T_LEAVE[[#This Row],[LEAVE TYPE]],L_LEAVETYPES,0))</f>
        <v>7</v>
      </c>
      <c r="J13" t="str" cm="1">
        <f t="array" aca="1" ref="J13" ca="1">IFERROR(INDEX(T_LEAVE_TYPES[SYMBOL],T_LEAVE[[#This Row],[LEAVE TYPE SYS ID]]),"")</f>
        <v>C</v>
      </c>
      <c r="K13">
        <f ca="1">IF(T_LEAVE[[#This Row],[EMPLOYEE]]="","",IF(T_LEAVE[[#This Row],[ERROR]]="",0,1))</f>
        <v>0</v>
      </c>
      <c r="L13" t="str" cm="1">
        <f t="array" aca="1" ref="L1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" spans="1:12">
      <c r="A14" t="s">
        <v>1919</v>
      </c>
      <c r="B14" s="15" t="s">
        <v>1924</v>
      </c>
      <c r="C14" s="15" t="s">
        <v>1925</v>
      </c>
      <c r="D14" t="s">
        <v>98</v>
      </c>
      <c r="E14">
        <v>2</v>
      </c>
      <c r="F14" s="1"/>
      <c r="G14" s="1"/>
      <c r="H14">
        <f ca="1">IF(T_LEAVE[[#This Row],[EMPLOYEE]]="","",MATCH(T_LEAVE[[#This Row],[EMPLOYEE]],L_EMPLABELS,0))</f>
        <v>99</v>
      </c>
      <c r="I14">
        <f ca="1">IF(T_LEAVE[[#This Row],[EMPLOYEE]]="","",MATCH(T_LEAVE[[#This Row],[LEAVE TYPE]],L_LEAVETYPES,0))</f>
        <v>7</v>
      </c>
      <c r="J14" t="str" cm="1">
        <f t="array" aca="1" ref="J14" ca="1">IFERROR(INDEX(T_LEAVE_TYPES[SYMBOL],T_LEAVE[[#This Row],[LEAVE TYPE SYS ID]]),"")</f>
        <v>C</v>
      </c>
      <c r="K14">
        <f ca="1">IF(T_LEAVE[[#This Row],[EMPLOYEE]]="","",IF(T_LEAVE[[#This Row],[ERROR]]="",0,1))</f>
        <v>0</v>
      </c>
      <c r="L14" t="str" cm="1">
        <f t="array" aca="1" ref="L1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" spans="1:12">
      <c r="A15" t="s">
        <v>1919</v>
      </c>
      <c r="B15" s="15" t="s">
        <v>1926</v>
      </c>
      <c r="C15" s="15" t="s">
        <v>1926</v>
      </c>
      <c r="D15" t="s">
        <v>92</v>
      </c>
      <c r="E15">
        <v>1</v>
      </c>
      <c r="F15" s="1"/>
      <c r="G15" s="1"/>
      <c r="H15">
        <f ca="1">IF(T_LEAVE[[#This Row],[EMPLOYEE]]="","",MATCH(T_LEAVE[[#This Row],[EMPLOYEE]],L_EMPLABELS,0))</f>
        <v>99</v>
      </c>
      <c r="I15">
        <f ca="1">IF(T_LEAVE[[#This Row],[EMPLOYEE]]="","",MATCH(T_LEAVE[[#This Row],[LEAVE TYPE]],L_LEAVETYPES,0))</f>
        <v>6</v>
      </c>
      <c r="J15" t="str" cm="1">
        <f t="array" aca="1" ref="J15" ca="1">IFERROR(INDEX(T_LEAVE_TYPES[SYMBOL],T_LEAVE[[#This Row],[LEAVE TYPE SYS ID]]),"")</f>
        <v>PR</v>
      </c>
      <c r="K15">
        <f ca="1">IF(T_LEAVE[[#This Row],[EMPLOYEE]]="","",IF(T_LEAVE[[#This Row],[ERROR]]="",0,1))</f>
        <v>0</v>
      </c>
      <c r="L15" t="str" cm="1">
        <f t="array" aca="1" ref="L1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" spans="1:12">
      <c r="A16" t="s">
        <v>1919</v>
      </c>
      <c r="B16" s="15" t="s">
        <v>1927</v>
      </c>
      <c r="C16" s="15" t="s">
        <v>1927</v>
      </c>
      <c r="D16" t="s">
        <v>92</v>
      </c>
      <c r="E16">
        <v>1</v>
      </c>
      <c r="F16" s="1"/>
      <c r="G16" s="1"/>
      <c r="H16">
        <f ca="1">IF(T_LEAVE[[#This Row],[EMPLOYEE]]="","",MATCH(T_LEAVE[[#This Row],[EMPLOYEE]],L_EMPLABELS,0))</f>
        <v>99</v>
      </c>
      <c r="I16">
        <f ca="1">IF(T_LEAVE[[#This Row],[EMPLOYEE]]="","",MATCH(T_LEAVE[[#This Row],[LEAVE TYPE]],L_LEAVETYPES,0))</f>
        <v>6</v>
      </c>
      <c r="J16" t="str" cm="1">
        <f t="array" aca="1" ref="J16" ca="1">IFERROR(INDEX(T_LEAVE_TYPES[SYMBOL],T_LEAVE[[#This Row],[LEAVE TYPE SYS ID]]),"")</f>
        <v>PR</v>
      </c>
      <c r="K16">
        <f ca="1">IF(T_LEAVE[[#This Row],[EMPLOYEE]]="","",IF(T_LEAVE[[#This Row],[ERROR]]="",0,1))</f>
        <v>0</v>
      </c>
      <c r="L16" t="str" cm="1">
        <f t="array" aca="1" ref="L1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" spans="1:12">
      <c r="A17" t="s">
        <v>1919</v>
      </c>
      <c r="B17" s="15" t="s">
        <v>1928</v>
      </c>
      <c r="C17" s="15" t="s">
        <v>1929</v>
      </c>
      <c r="D17" t="s">
        <v>98</v>
      </c>
      <c r="E17">
        <v>2</v>
      </c>
      <c r="F17" s="1"/>
      <c r="G17" s="1"/>
      <c r="H17">
        <f ca="1">IF(T_LEAVE[[#This Row],[EMPLOYEE]]="","",MATCH(T_LEAVE[[#This Row],[EMPLOYEE]],L_EMPLABELS,0))</f>
        <v>99</v>
      </c>
      <c r="I17">
        <f ca="1">IF(T_LEAVE[[#This Row],[EMPLOYEE]]="","",MATCH(T_LEAVE[[#This Row],[LEAVE TYPE]],L_LEAVETYPES,0))</f>
        <v>7</v>
      </c>
      <c r="J17" t="str" cm="1">
        <f t="array" aca="1" ref="J17" ca="1">IFERROR(INDEX(T_LEAVE_TYPES[SYMBOL],T_LEAVE[[#This Row],[LEAVE TYPE SYS ID]]),"")</f>
        <v>C</v>
      </c>
      <c r="K17">
        <f ca="1">IF(T_LEAVE[[#This Row],[EMPLOYEE]]="","",IF(T_LEAVE[[#This Row],[ERROR]]="",0,1))</f>
        <v>0</v>
      </c>
      <c r="L17" t="str" cm="1">
        <f t="array" aca="1" ref="L1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" spans="1:12">
      <c r="A18" t="s">
        <v>1919</v>
      </c>
      <c r="B18" s="15" t="s">
        <v>1930</v>
      </c>
      <c r="C18" s="15" t="s">
        <v>1930</v>
      </c>
      <c r="D18" t="s">
        <v>92</v>
      </c>
      <c r="E18">
        <v>1</v>
      </c>
      <c r="F18" s="1"/>
      <c r="G18" s="1"/>
      <c r="H18">
        <f ca="1">IF(T_LEAVE[[#This Row],[EMPLOYEE]]="","",MATCH(T_LEAVE[[#This Row],[EMPLOYEE]],L_EMPLABELS,0))</f>
        <v>99</v>
      </c>
      <c r="I18">
        <f ca="1">IF(T_LEAVE[[#This Row],[EMPLOYEE]]="","",MATCH(T_LEAVE[[#This Row],[LEAVE TYPE]],L_LEAVETYPES,0))</f>
        <v>6</v>
      </c>
      <c r="J18" t="str" cm="1">
        <f t="array" aca="1" ref="J18" ca="1">IFERROR(INDEX(T_LEAVE_TYPES[SYMBOL],T_LEAVE[[#This Row],[LEAVE TYPE SYS ID]]),"")</f>
        <v>PR</v>
      </c>
      <c r="K18">
        <f ca="1">IF(T_LEAVE[[#This Row],[EMPLOYEE]]="","",IF(T_LEAVE[[#This Row],[ERROR]]="",0,1))</f>
        <v>0</v>
      </c>
      <c r="L18" t="str" cm="1">
        <f t="array" aca="1" ref="L1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" spans="1:12">
      <c r="A19" t="s">
        <v>1919</v>
      </c>
      <c r="B19" s="15" t="s">
        <v>1931</v>
      </c>
      <c r="C19" s="15" t="s">
        <v>1931</v>
      </c>
      <c r="D19" t="s">
        <v>92</v>
      </c>
      <c r="E19">
        <v>1</v>
      </c>
      <c r="F19" s="1"/>
      <c r="G19" s="1"/>
      <c r="H19">
        <f ca="1">IF(T_LEAVE[[#This Row],[EMPLOYEE]]="","",MATCH(T_LEAVE[[#This Row],[EMPLOYEE]],L_EMPLABELS,0))</f>
        <v>99</v>
      </c>
      <c r="I19">
        <f ca="1">IF(T_LEAVE[[#This Row],[EMPLOYEE]]="","",MATCH(T_LEAVE[[#This Row],[LEAVE TYPE]],L_LEAVETYPES,0))</f>
        <v>6</v>
      </c>
      <c r="J19" t="str" cm="1">
        <f t="array" aca="1" ref="J19" ca="1">IFERROR(INDEX(T_LEAVE_TYPES[SYMBOL],T_LEAVE[[#This Row],[LEAVE TYPE SYS ID]]),"")</f>
        <v>PR</v>
      </c>
      <c r="K19">
        <f ca="1">IF(T_LEAVE[[#This Row],[EMPLOYEE]]="","",IF(T_LEAVE[[#This Row],[ERROR]]="",0,1))</f>
        <v>0</v>
      </c>
      <c r="L19" t="str" cm="1">
        <f t="array" aca="1" ref="L1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" spans="1:12">
      <c r="A20" t="s">
        <v>1919</v>
      </c>
      <c r="B20" s="15" t="s">
        <v>1932</v>
      </c>
      <c r="C20" s="15" t="s">
        <v>1932</v>
      </c>
      <c r="D20" t="s">
        <v>92</v>
      </c>
      <c r="E20">
        <v>1</v>
      </c>
      <c r="F20" s="1"/>
      <c r="G20" s="1"/>
      <c r="H20">
        <f ca="1">IF(T_LEAVE[[#This Row],[EMPLOYEE]]="","",MATCH(T_LEAVE[[#This Row],[EMPLOYEE]],L_EMPLABELS,0))</f>
        <v>99</v>
      </c>
      <c r="I20">
        <f ca="1">IF(T_LEAVE[[#This Row],[EMPLOYEE]]="","",MATCH(T_LEAVE[[#This Row],[LEAVE TYPE]],L_LEAVETYPES,0))</f>
        <v>6</v>
      </c>
      <c r="J20" t="str" cm="1">
        <f t="array" aca="1" ref="J20" ca="1">IFERROR(INDEX(T_LEAVE_TYPES[SYMBOL],T_LEAVE[[#This Row],[LEAVE TYPE SYS ID]]),"")</f>
        <v>PR</v>
      </c>
      <c r="K20">
        <f ca="1">IF(T_LEAVE[[#This Row],[EMPLOYEE]]="","",IF(T_LEAVE[[#This Row],[ERROR]]="",0,1))</f>
        <v>0</v>
      </c>
      <c r="L20" t="str" cm="1">
        <f t="array" aca="1" ref="L2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" spans="1:12">
      <c r="A21" t="s">
        <v>1919</v>
      </c>
      <c r="B21" s="15" t="s">
        <v>1933</v>
      </c>
      <c r="C21" s="15" t="s">
        <v>1933</v>
      </c>
      <c r="D21" t="s">
        <v>98</v>
      </c>
      <c r="E21">
        <v>1</v>
      </c>
      <c r="F21" s="1"/>
      <c r="G21" s="1"/>
      <c r="H21">
        <f ca="1">IF(T_LEAVE[[#This Row],[EMPLOYEE]]="","",MATCH(T_LEAVE[[#This Row],[EMPLOYEE]],L_EMPLABELS,0))</f>
        <v>99</v>
      </c>
      <c r="I21">
        <f ca="1">IF(T_LEAVE[[#This Row],[EMPLOYEE]]="","",MATCH(T_LEAVE[[#This Row],[LEAVE TYPE]],L_LEAVETYPES,0))</f>
        <v>7</v>
      </c>
      <c r="J21" t="str" cm="1">
        <f t="array" aca="1" ref="J21" ca="1">IFERROR(INDEX(T_LEAVE_TYPES[SYMBOL],T_LEAVE[[#This Row],[LEAVE TYPE SYS ID]]),"")</f>
        <v>C</v>
      </c>
      <c r="K21">
        <f ca="1">IF(T_LEAVE[[#This Row],[EMPLOYEE]]="","",IF(T_LEAVE[[#This Row],[ERROR]]="",0,1))</f>
        <v>0</v>
      </c>
      <c r="L21" t="str" cm="1">
        <f t="array" aca="1" ref="L2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" spans="1:12">
      <c r="A22" t="s">
        <v>1910</v>
      </c>
      <c r="B22" s="15" t="s">
        <v>1934</v>
      </c>
      <c r="C22" s="15" t="s">
        <v>1934</v>
      </c>
      <c r="D22" t="s">
        <v>98</v>
      </c>
      <c r="E22">
        <v>1</v>
      </c>
      <c r="F22" s="1"/>
      <c r="G22" s="1"/>
      <c r="H22">
        <f ca="1">IF(T_LEAVE[[#This Row],[EMPLOYEE]]="","",MATCH(T_LEAVE[[#This Row],[EMPLOYEE]],L_EMPLABELS,0))</f>
        <v>493</v>
      </c>
      <c r="I22">
        <f ca="1">IF(T_LEAVE[[#This Row],[EMPLOYEE]]="","",MATCH(T_LEAVE[[#This Row],[LEAVE TYPE]],L_LEAVETYPES,0))</f>
        <v>7</v>
      </c>
      <c r="J22" t="str" cm="1">
        <f t="array" aca="1" ref="J22" ca="1">IFERROR(INDEX(T_LEAVE_TYPES[SYMBOL],T_LEAVE[[#This Row],[LEAVE TYPE SYS ID]]),"")</f>
        <v>C</v>
      </c>
      <c r="K22">
        <f ca="1">IF(T_LEAVE[[#This Row],[EMPLOYEE]]="","",IF(T_LEAVE[[#This Row],[ERROR]]="",0,1))</f>
        <v>0</v>
      </c>
      <c r="L22" t="str" cm="1">
        <f t="array" aca="1" ref="L2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" spans="1:12">
      <c r="A23" t="s">
        <v>1910</v>
      </c>
      <c r="B23" s="15" t="s">
        <v>1926</v>
      </c>
      <c r="C23" s="15" t="s">
        <v>1926</v>
      </c>
      <c r="D23" t="s">
        <v>98</v>
      </c>
      <c r="E23">
        <v>1</v>
      </c>
      <c r="F23" s="1"/>
      <c r="G23" s="1"/>
      <c r="H23">
        <f ca="1">IF(T_LEAVE[[#This Row],[EMPLOYEE]]="","",MATCH(T_LEAVE[[#This Row],[EMPLOYEE]],L_EMPLABELS,0))</f>
        <v>493</v>
      </c>
      <c r="I23">
        <f ca="1">IF(T_LEAVE[[#This Row],[EMPLOYEE]]="","",MATCH(T_LEAVE[[#This Row],[LEAVE TYPE]],L_LEAVETYPES,0))</f>
        <v>7</v>
      </c>
      <c r="J23" t="str" cm="1">
        <f t="array" aca="1" ref="J23" ca="1">IFERROR(INDEX(T_LEAVE_TYPES[SYMBOL],T_LEAVE[[#This Row],[LEAVE TYPE SYS ID]]),"")</f>
        <v>C</v>
      </c>
      <c r="K23">
        <f ca="1">IF(T_LEAVE[[#This Row],[EMPLOYEE]]="","",IF(T_LEAVE[[#This Row],[ERROR]]="",0,1))</f>
        <v>0</v>
      </c>
      <c r="L23" t="str" cm="1">
        <f t="array" aca="1" ref="L2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" spans="1:12">
      <c r="A24" t="s">
        <v>1910</v>
      </c>
      <c r="B24" s="15" t="s">
        <v>1935</v>
      </c>
      <c r="C24" s="15" t="s">
        <v>1935</v>
      </c>
      <c r="D24" t="s">
        <v>98</v>
      </c>
      <c r="E24">
        <v>1</v>
      </c>
      <c r="F24" s="1"/>
      <c r="G24" s="1"/>
      <c r="H24">
        <f ca="1">IF(T_LEAVE[[#This Row],[EMPLOYEE]]="","",MATCH(T_LEAVE[[#This Row],[EMPLOYEE]],L_EMPLABELS,0))</f>
        <v>493</v>
      </c>
      <c r="I24">
        <f ca="1">IF(T_LEAVE[[#This Row],[EMPLOYEE]]="","",MATCH(T_LEAVE[[#This Row],[LEAVE TYPE]],L_LEAVETYPES,0))</f>
        <v>7</v>
      </c>
      <c r="J24" t="str" cm="1">
        <f t="array" aca="1" ref="J24" ca="1">IFERROR(INDEX(T_LEAVE_TYPES[SYMBOL],T_LEAVE[[#This Row],[LEAVE TYPE SYS ID]]),"")</f>
        <v>C</v>
      </c>
      <c r="K24">
        <f ca="1">IF(T_LEAVE[[#This Row],[EMPLOYEE]]="","",IF(T_LEAVE[[#This Row],[ERROR]]="",0,1))</f>
        <v>0</v>
      </c>
      <c r="L24" t="str" cm="1">
        <f t="array" aca="1" ref="L2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" spans="1:12">
      <c r="A25" t="s">
        <v>1936</v>
      </c>
      <c r="B25" s="15" t="s">
        <v>1920</v>
      </c>
      <c r="C25" s="15" t="s">
        <v>1934</v>
      </c>
      <c r="D25" t="s">
        <v>98</v>
      </c>
      <c r="E25">
        <v>2</v>
      </c>
      <c r="F25" s="1"/>
      <c r="G25" s="1"/>
      <c r="H25">
        <f ca="1">IF(T_LEAVE[[#This Row],[EMPLOYEE]]="","",MATCH(T_LEAVE[[#This Row],[EMPLOYEE]],L_EMPLABELS,0))</f>
        <v>550</v>
      </c>
      <c r="I25">
        <f ca="1">IF(T_LEAVE[[#This Row],[EMPLOYEE]]="","",MATCH(T_LEAVE[[#This Row],[LEAVE TYPE]],L_LEAVETYPES,0))</f>
        <v>7</v>
      </c>
      <c r="J25" t="str" cm="1">
        <f t="array" aca="1" ref="J25" ca="1">IFERROR(INDEX(T_LEAVE_TYPES[SYMBOL],T_LEAVE[[#This Row],[LEAVE TYPE SYS ID]]),"")</f>
        <v>C</v>
      </c>
      <c r="K25">
        <f ca="1">IF(T_LEAVE[[#This Row],[EMPLOYEE]]="","",IF(T_LEAVE[[#This Row],[ERROR]]="",0,1))</f>
        <v>0</v>
      </c>
      <c r="L25" t="str" cm="1">
        <f t="array" aca="1" ref="L2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" spans="1:12">
      <c r="A26" t="s">
        <v>1937</v>
      </c>
      <c r="B26" s="15" t="s">
        <v>1938</v>
      </c>
      <c r="C26" s="15" t="s">
        <v>1938</v>
      </c>
      <c r="D26" t="s">
        <v>98</v>
      </c>
      <c r="E26">
        <v>1</v>
      </c>
      <c r="F26" s="1"/>
      <c r="G26" s="1"/>
      <c r="H26">
        <f ca="1">IF(T_LEAVE[[#This Row],[EMPLOYEE]]="","",MATCH(T_LEAVE[[#This Row],[EMPLOYEE]],L_EMPLABELS,0))</f>
        <v>358</v>
      </c>
      <c r="I26">
        <f ca="1">IF(T_LEAVE[[#This Row],[EMPLOYEE]]="","",MATCH(T_LEAVE[[#This Row],[LEAVE TYPE]],L_LEAVETYPES,0))</f>
        <v>7</v>
      </c>
      <c r="J26" t="str" cm="1">
        <f t="array" aca="1" ref="J26" ca="1">IFERROR(INDEX(T_LEAVE_TYPES[SYMBOL],T_LEAVE[[#This Row],[LEAVE TYPE SYS ID]]),"")</f>
        <v>C</v>
      </c>
      <c r="K26">
        <f ca="1">IF(T_LEAVE[[#This Row],[EMPLOYEE]]="","",IF(T_LEAVE[[#This Row],[ERROR]]="",0,1))</f>
        <v>0</v>
      </c>
      <c r="L26" t="str" cm="1">
        <f t="array" aca="1" ref="L2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" spans="1:12">
      <c r="A27" t="s">
        <v>1937</v>
      </c>
      <c r="B27" s="15" t="s">
        <v>1939</v>
      </c>
      <c r="C27" s="15" t="s">
        <v>1939</v>
      </c>
      <c r="D27" t="s">
        <v>98</v>
      </c>
      <c r="E27">
        <v>1</v>
      </c>
      <c r="F27" s="1"/>
      <c r="G27" s="1"/>
      <c r="H27">
        <f ca="1">IF(T_LEAVE[[#This Row],[EMPLOYEE]]="","",MATCH(T_LEAVE[[#This Row],[EMPLOYEE]],L_EMPLABELS,0))</f>
        <v>358</v>
      </c>
      <c r="I27">
        <f ca="1">IF(T_LEAVE[[#This Row],[EMPLOYEE]]="","",MATCH(T_LEAVE[[#This Row],[LEAVE TYPE]],L_LEAVETYPES,0))</f>
        <v>7</v>
      </c>
      <c r="J27" t="str" cm="1">
        <f t="array" aca="1" ref="J27" ca="1">IFERROR(INDEX(T_LEAVE_TYPES[SYMBOL],T_LEAVE[[#This Row],[LEAVE TYPE SYS ID]]),"")</f>
        <v>C</v>
      </c>
      <c r="K27">
        <f ca="1">IF(T_LEAVE[[#This Row],[EMPLOYEE]]="","",IF(T_LEAVE[[#This Row],[ERROR]]="",0,1))</f>
        <v>0</v>
      </c>
      <c r="L27" t="str" cm="1">
        <f t="array" aca="1" ref="L2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" spans="1:12">
      <c r="A28" t="s">
        <v>1937</v>
      </c>
      <c r="B28" s="15" t="s">
        <v>1940</v>
      </c>
      <c r="C28" s="15" t="s">
        <v>1941</v>
      </c>
      <c r="D28" t="s">
        <v>92</v>
      </c>
      <c r="E28">
        <v>3</v>
      </c>
      <c r="F28" s="1"/>
      <c r="G28" s="1"/>
      <c r="H28">
        <f ca="1">IF(T_LEAVE[[#This Row],[EMPLOYEE]]="","",MATCH(T_LEAVE[[#This Row],[EMPLOYEE]],L_EMPLABELS,0))</f>
        <v>358</v>
      </c>
      <c r="I28">
        <f ca="1">IF(T_LEAVE[[#This Row],[EMPLOYEE]]="","",MATCH(T_LEAVE[[#This Row],[LEAVE TYPE]],L_LEAVETYPES,0))</f>
        <v>6</v>
      </c>
      <c r="J28" t="str" cm="1">
        <f t="array" aca="1" ref="J28" ca="1">IFERROR(INDEX(T_LEAVE_TYPES[SYMBOL],T_LEAVE[[#This Row],[LEAVE TYPE SYS ID]]),"")</f>
        <v>PR</v>
      </c>
      <c r="K28">
        <f ca="1">IF(T_LEAVE[[#This Row],[EMPLOYEE]]="","",IF(T_LEAVE[[#This Row],[ERROR]]="",0,1))</f>
        <v>0</v>
      </c>
      <c r="L28" t="str" cm="1">
        <f t="array" aca="1" ref="L2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" spans="1:12">
      <c r="A29" t="s">
        <v>1937</v>
      </c>
      <c r="B29" s="15" t="s">
        <v>1942</v>
      </c>
      <c r="C29" s="15" t="s">
        <v>1942</v>
      </c>
      <c r="D29" t="s">
        <v>98</v>
      </c>
      <c r="E29">
        <v>1</v>
      </c>
      <c r="F29" s="1"/>
      <c r="G29" s="1"/>
      <c r="H29">
        <f ca="1">IF(T_LEAVE[[#This Row],[EMPLOYEE]]="","",MATCH(T_LEAVE[[#This Row],[EMPLOYEE]],L_EMPLABELS,0))</f>
        <v>358</v>
      </c>
      <c r="I29">
        <f ca="1">IF(T_LEAVE[[#This Row],[EMPLOYEE]]="","",MATCH(T_LEAVE[[#This Row],[LEAVE TYPE]],L_LEAVETYPES,0))</f>
        <v>7</v>
      </c>
      <c r="J29" t="str" cm="1">
        <f t="array" aca="1" ref="J29" ca="1">IFERROR(INDEX(T_LEAVE_TYPES[SYMBOL],T_LEAVE[[#This Row],[LEAVE TYPE SYS ID]]),"")</f>
        <v>C</v>
      </c>
      <c r="K29">
        <f ca="1">IF(T_LEAVE[[#This Row],[EMPLOYEE]]="","",IF(T_LEAVE[[#This Row],[ERROR]]="",0,1))</f>
        <v>0</v>
      </c>
      <c r="L29" t="str" cm="1">
        <f t="array" aca="1" ref="L2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" spans="1:12">
      <c r="A30" t="s">
        <v>1937</v>
      </c>
      <c r="B30" s="15" t="s">
        <v>1943</v>
      </c>
      <c r="C30" s="15" t="s">
        <v>1943</v>
      </c>
      <c r="D30" t="s">
        <v>98</v>
      </c>
      <c r="E30">
        <v>1</v>
      </c>
      <c r="F30" s="1"/>
      <c r="G30" s="1"/>
      <c r="H30">
        <f ca="1">IF(T_LEAVE[[#This Row],[EMPLOYEE]]="","",MATCH(T_LEAVE[[#This Row],[EMPLOYEE]],L_EMPLABELS,0))</f>
        <v>358</v>
      </c>
      <c r="I30">
        <f ca="1">IF(T_LEAVE[[#This Row],[EMPLOYEE]]="","",MATCH(T_LEAVE[[#This Row],[LEAVE TYPE]],L_LEAVETYPES,0))</f>
        <v>7</v>
      </c>
      <c r="J30" t="str" cm="1">
        <f t="array" aca="1" ref="J30" ca="1">IFERROR(INDEX(T_LEAVE_TYPES[SYMBOL],T_LEAVE[[#This Row],[LEAVE TYPE SYS ID]]),"")</f>
        <v>C</v>
      </c>
      <c r="K30">
        <f ca="1">IF(T_LEAVE[[#This Row],[EMPLOYEE]]="","",IF(T_LEAVE[[#This Row],[ERROR]]="",0,1))</f>
        <v>0</v>
      </c>
      <c r="L30" t="str" cm="1">
        <f t="array" aca="1" ref="L3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" spans="1:12">
      <c r="A31" t="s">
        <v>1937</v>
      </c>
      <c r="B31" s="15" t="s">
        <v>1944</v>
      </c>
      <c r="C31" s="15" t="s">
        <v>1944</v>
      </c>
      <c r="D31" t="s">
        <v>98</v>
      </c>
      <c r="E31">
        <v>1</v>
      </c>
      <c r="F31" s="1"/>
      <c r="G31" s="1"/>
      <c r="H31">
        <f ca="1">IF(T_LEAVE[[#This Row],[EMPLOYEE]]="","",MATCH(T_LEAVE[[#This Row],[EMPLOYEE]],L_EMPLABELS,0))</f>
        <v>358</v>
      </c>
      <c r="I31">
        <f ca="1">IF(T_LEAVE[[#This Row],[EMPLOYEE]]="","",MATCH(T_LEAVE[[#This Row],[LEAVE TYPE]],L_LEAVETYPES,0))</f>
        <v>7</v>
      </c>
      <c r="J31" t="str" cm="1">
        <f t="array" aca="1" ref="J31" ca="1">IFERROR(INDEX(T_LEAVE_TYPES[SYMBOL],T_LEAVE[[#This Row],[LEAVE TYPE SYS ID]]),"")</f>
        <v>C</v>
      </c>
      <c r="K31">
        <f ca="1">IF(T_LEAVE[[#This Row],[EMPLOYEE]]="","",IF(T_LEAVE[[#This Row],[ERROR]]="",0,1))</f>
        <v>0</v>
      </c>
      <c r="L31" t="str" cm="1">
        <f t="array" aca="1" ref="L3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" spans="1:12">
      <c r="A32" t="s">
        <v>1937</v>
      </c>
      <c r="B32" s="15" t="s">
        <v>1945</v>
      </c>
      <c r="C32" s="15" t="s">
        <v>1945</v>
      </c>
      <c r="D32" t="s">
        <v>92</v>
      </c>
      <c r="E32">
        <v>1</v>
      </c>
      <c r="F32" s="1"/>
      <c r="G32" s="1"/>
      <c r="H32">
        <f ca="1">IF(T_LEAVE[[#This Row],[EMPLOYEE]]="","",MATCH(T_LEAVE[[#This Row],[EMPLOYEE]],L_EMPLABELS,0))</f>
        <v>358</v>
      </c>
      <c r="I32">
        <f ca="1">IF(T_LEAVE[[#This Row],[EMPLOYEE]]="","",MATCH(T_LEAVE[[#This Row],[LEAVE TYPE]],L_LEAVETYPES,0))</f>
        <v>6</v>
      </c>
      <c r="J32" t="str" cm="1">
        <f t="array" aca="1" ref="J32" ca="1">IFERROR(INDEX(T_LEAVE_TYPES[SYMBOL],T_LEAVE[[#This Row],[LEAVE TYPE SYS ID]]),"")</f>
        <v>PR</v>
      </c>
      <c r="K32">
        <f ca="1">IF(T_LEAVE[[#This Row],[EMPLOYEE]]="","",IF(T_LEAVE[[#This Row],[ERROR]]="",0,1))</f>
        <v>0</v>
      </c>
      <c r="L32" t="str" cm="1">
        <f t="array" aca="1" ref="L3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" spans="1:12">
      <c r="A33" t="s">
        <v>1909</v>
      </c>
      <c r="B33" s="15" t="s">
        <v>1946</v>
      </c>
      <c r="C33" s="15" t="s">
        <v>1921</v>
      </c>
      <c r="D33" t="s">
        <v>92</v>
      </c>
      <c r="E33">
        <v>2</v>
      </c>
      <c r="F33" s="1"/>
      <c r="G33" s="1"/>
      <c r="H33">
        <f ca="1">IF(T_LEAVE[[#This Row],[EMPLOYEE]]="","",MATCH(T_LEAVE[[#This Row],[EMPLOYEE]],L_EMPLABELS,0))</f>
        <v>214</v>
      </c>
      <c r="I33">
        <f ca="1">IF(T_LEAVE[[#This Row],[EMPLOYEE]]="","",MATCH(T_LEAVE[[#This Row],[LEAVE TYPE]],L_LEAVETYPES,0))</f>
        <v>6</v>
      </c>
      <c r="J33" t="str" cm="1">
        <f t="array" aca="1" ref="J33" ca="1">IFERROR(INDEX(T_LEAVE_TYPES[SYMBOL],T_LEAVE[[#This Row],[LEAVE TYPE SYS ID]]),"")</f>
        <v>PR</v>
      </c>
      <c r="K33">
        <f ca="1">IF(T_LEAVE[[#This Row],[EMPLOYEE]]="","",IF(T_LEAVE[[#This Row],[ERROR]]="",0,1))</f>
        <v>0</v>
      </c>
      <c r="L33" t="str" cm="1">
        <f t="array" aca="1" ref="L3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" spans="1:12">
      <c r="A34" t="s">
        <v>1947</v>
      </c>
      <c r="B34" s="15" t="s">
        <v>1934</v>
      </c>
      <c r="C34" s="15" t="s">
        <v>1934</v>
      </c>
      <c r="D34" t="s">
        <v>98</v>
      </c>
      <c r="E34">
        <v>1</v>
      </c>
      <c r="F34" s="1"/>
      <c r="G34" s="1"/>
      <c r="H34">
        <f ca="1">IF(T_LEAVE[[#This Row],[EMPLOYEE]]="","",MATCH(T_LEAVE[[#This Row],[EMPLOYEE]],L_EMPLABELS,0))</f>
        <v>410</v>
      </c>
      <c r="I34">
        <f ca="1">IF(T_LEAVE[[#This Row],[EMPLOYEE]]="","",MATCH(T_LEAVE[[#This Row],[LEAVE TYPE]],L_LEAVETYPES,0))</f>
        <v>7</v>
      </c>
      <c r="J34" t="str" cm="1">
        <f t="array" aca="1" ref="J34" ca="1">IFERROR(INDEX(T_LEAVE_TYPES[SYMBOL],T_LEAVE[[#This Row],[LEAVE TYPE SYS ID]]),"")</f>
        <v>C</v>
      </c>
      <c r="K34">
        <f ca="1">IF(T_LEAVE[[#This Row],[EMPLOYEE]]="","",IF(T_LEAVE[[#This Row],[ERROR]]="",0,1))</f>
        <v>0</v>
      </c>
      <c r="L34" t="str" cm="1">
        <f t="array" aca="1" ref="L3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" spans="1:12">
      <c r="A35" t="s">
        <v>1947</v>
      </c>
      <c r="B35" s="15" t="s">
        <v>1948</v>
      </c>
      <c r="C35" s="15" t="s">
        <v>1948</v>
      </c>
      <c r="D35" t="s">
        <v>98</v>
      </c>
      <c r="E35">
        <v>1</v>
      </c>
      <c r="F35" s="1"/>
      <c r="G35" s="1"/>
      <c r="H35">
        <f ca="1">IF(T_LEAVE[[#This Row],[EMPLOYEE]]="","",MATCH(T_LEAVE[[#This Row],[EMPLOYEE]],L_EMPLABELS,0))</f>
        <v>410</v>
      </c>
      <c r="I35">
        <f ca="1">IF(T_LEAVE[[#This Row],[EMPLOYEE]]="","",MATCH(T_LEAVE[[#This Row],[LEAVE TYPE]],L_LEAVETYPES,0))</f>
        <v>7</v>
      </c>
      <c r="J35" t="str" cm="1">
        <f t="array" aca="1" ref="J35" ca="1">IFERROR(INDEX(T_LEAVE_TYPES[SYMBOL],T_LEAVE[[#This Row],[LEAVE TYPE SYS ID]]),"")</f>
        <v>C</v>
      </c>
      <c r="K35">
        <f ca="1">IF(T_LEAVE[[#This Row],[EMPLOYEE]]="","",IF(T_LEAVE[[#This Row],[ERROR]]="",0,1))</f>
        <v>0</v>
      </c>
      <c r="L35" t="str" cm="1">
        <f t="array" aca="1" ref="L3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" spans="1:12">
      <c r="A36" t="s">
        <v>1949</v>
      </c>
      <c r="B36" s="15" t="s">
        <v>1934</v>
      </c>
      <c r="C36" s="15" t="s">
        <v>1934</v>
      </c>
      <c r="D36" t="s">
        <v>98</v>
      </c>
      <c r="E36">
        <v>1</v>
      </c>
      <c r="F36" s="1"/>
      <c r="G36" s="1"/>
      <c r="H36">
        <f ca="1">IF(T_LEAVE[[#This Row],[EMPLOYEE]]="","",MATCH(T_LEAVE[[#This Row],[EMPLOYEE]],L_EMPLABELS,0))</f>
        <v>326</v>
      </c>
      <c r="I36">
        <f ca="1">IF(T_LEAVE[[#This Row],[EMPLOYEE]]="","",MATCH(T_LEAVE[[#This Row],[LEAVE TYPE]],L_LEAVETYPES,0))</f>
        <v>7</v>
      </c>
      <c r="J36" t="str" cm="1">
        <f t="array" aca="1" ref="J36" ca="1">IFERROR(INDEX(T_LEAVE_TYPES[SYMBOL],T_LEAVE[[#This Row],[LEAVE TYPE SYS ID]]),"")</f>
        <v>C</v>
      </c>
      <c r="K36">
        <f ca="1">IF(T_LEAVE[[#This Row],[EMPLOYEE]]="","",IF(T_LEAVE[[#This Row],[ERROR]]="",0,1))</f>
        <v>0</v>
      </c>
      <c r="L36" t="str" cm="1">
        <f t="array" aca="1" ref="L3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" spans="1:12">
      <c r="A37" t="s">
        <v>1950</v>
      </c>
      <c r="B37" s="15" t="s">
        <v>1951</v>
      </c>
      <c r="C37" s="15" t="s">
        <v>1951</v>
      </c>
      <c r="D37" t="s">
        <v>98</v>
      </c>
      <c r="E37">
        <v>1</v>
      </c>
      <c r="F37" s="1"/>
      <c r="G37" s="1"/>
      <c r="H37">
        <f ca="1">IF(T_LEAVE[[#This Row],[EMPLOYEE]]="","",MATCH(T_LEAVE[[#This Row],[EMPLOYEE]],L_EMPLABELS,0))</f>
        <v>290</v>
      </c>
      <c r="I37">
        <f ca="1">IF(T_LEAVE[[#This Row],[EMPLOYEE]]="","",MATCH(T_LEAVE[[#This Row],[LEAVE TYPE]],L_LEAVETYPES,0))</f>
        <v>7</v>
      </c>
      <c r="J37" t="str" cm="1">
        <f t="array" aca="1" ref="J37" ca="1">IFERROR(INDEX(T_LEAVE_TYPES[SYMBOL],T_LEAVE[[#This Row],[LEAVE TYPE SYS ID]]),"")</f>
        <v>C</v>
      </c>
      <c r="K37">
        <f ca="1">IF(T_LEAVE[[#This Row],[EMPLOYEE]]="","",IF(T_LEAVE[[#This Row],[ERROR]]="",0,1))</f>
        <v>0</v>
      </c>
      <c r="L37" t="str" cm="1">
        <f t="array" aca="1" ref="L3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" spans="1:12">
      <c r="A38" t="s">
        <v>1912</v>
      </c>
      <c r="B38" s="15" t="s">
        <v>1952</v>
      </c>
      <c r="C38" s="15" t="s">
        <v>1952</v>
      </c>
      <c r="D38" t="s">
        <v>98</v>
      </c>
      <c r="E38">
        <v>1</v>
      </c>
      <c r="F38" s="1"/>
      <c r="G38" s="1"/>
      <c r="H38">
        <f ca="1">IF(T_LEAVE[[#This Row],[EMPLOYEE]]="","",MATCH(T_LEAVE[[#This Row],[EMPLOYEE]],L_EMPLABELS,0))</f>
        <v>486</v>
      </c>
      <c r="I38">
        <f ca="1">IF(T_LEAVE[[#This Row],[EMPLOYEE]]="","",MATCH(T_LEAVE[[#This Row],[LEAVE TYPE]],L_LEAVETYPES,0))</f>
        <v>7</v>
      </c>
      <c r="J38" t="str" cm="1">
        <f t="array" aca="1" ref="J38" ca="1">IFERROR(INDEX(T_LEAVE_TYPES[SYMBOL],T_LEAVE[[#This Row],[LEAVE TYPE SYS ID]]),"")</f>
        <v>C</v>
      </c>
      <c r="K38">
        <f ca="1">IF(T_LEAVE[[#This Row],[EMPLOYEE]]="","",IF(T_LEAVE[[#This Row],[ERROR]]="",0,1))</f>
        <v>0</v>
      </c>
      <c r="L38" t="str" cm="1">
        <f t="array" aca="1" ref="L3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" spans="1:12">
      <c r="A39" t="s">
        <v>1912</v>
      </c>
      <c r="B39" s="15" t="s">
        <v>1953</v>
      </c>
      <c r="C39" s="15" t="s">
        <v>1953</v>
      </c>
      <c r="D39" t="s">
        <v>98</v>
      </c>
      <c r="E39">
        <v>1</v>
      </c>
      <c r="F39" s="1"/>
      <c r="G39" s="1"/>
      <c r="H39">
        <f ca="1">IF(T_LEAVE[[#This Row],[EMPLOYEE]]="","",MATCH(T_LEAVE[[#This Row],[EMPLOYEE]],L_EMPLABELS,0))</f>
        <v>486</v>
      </c>
      <c r="I39">
        <f ca="1">IF(T_LEAVE[[#This Row],[EMPLOYEE]]="","",MATCH(T_LEAVE[[#This Row],[LEAVE TYPE]],L_LEAVETYPES,0))</f>
        <v>7</v>
      </c>
      <c r="J39" t="str" cm="1">
        <f t="array" aca="1" ref="J39" ca="1">IFERROR(INDEX(T_LEAVE_TYPES[SYMBOL],T_LEAVE[[#This Row],[LEAVE TYPE SYS ID]]),"")</f>
        <v>C</v>
      </c>
      <c r="K39">
        <f ca="1">IF(T_LEAVE[[#This Row],[EMPLOYEE]]="","",IF(T_LEAVE[[#This Row],[ERROR]]="",0,1))</f>
        <v>0</v>
      </c>
      <c r="L39" t="str" cm="1">
        <f t="array" aca="1" ref="L3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" spans="1:12">
      <c r="A40" t="s">
        <v>1912</v>
      </c>
      <c r="B40" s="15" t="s">
        <v>1954</v>
      </c>
      <c r="C40" s="15" t="s">
        <v>1954</v>
      </c>
      <c r="D40" t="s">
        <v>92</v>
      </c>
      <c r="E40">
        <v>1</v>
      </c>
      <c r="F40" s="1"/>
      <c r="G40" s="1"/>
      <c r="H40">
        <f ca="1">IF(T_LEAVE[[#This Row],[EMPLOYEE]]="","",MATCH(T_LEAVE[[#This Row],[EMPLOYEE]],L_EMPLABELS,0))</f>
        <v>486</v>
      </c>
      <c r="I40">
        <f ca="1">IF(T_LEAVE[[#This Row],[EMPLOYEE]]="","",MATCH(T_LEAVE[[#This Row],[LEAVE TYPE]],L_LEAVETYPES,0))</f>
        <v>6</v>
      </c>
      <c r="J40" t="str" cm="1">
        <f t="array" aca="1" ref="J40" ca="1">IFERROR(INDEX(T_LEAVE_TYPES[SYMBOL],T_LEAVE[[#This Row],[LEAVE TYPE SYS ID]]),"")</f>
        <v>PR</v>
      </c>
      <c r="K40">
        <f ca="1">IF(T_LEAVE[[#This Row],[EMPLOYEE]]="","",IF(T_LEAVE[[#This Row],[ERROR]]="",0,1))</f>
        <v>0</v>
      </c>
      <c r="L40" t="str" cm="1">
        <f t="array" aca="1" ref="L4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" spans="1:12">
      <c r="A41" t="s">
        <v>1912</v>
      </c>
      <c r="B41" s="15" t="s">
        <v>1955</v>
      </c>
      <c r="C41" s="15" t="s">
        <v>1956</v>
      </c>
      <c r="D41" t="s">
        <v>92</v>
      </c>
      <c r="E41">
        <v>2</v>
      </c>
      <c r="F41" s="1"/>
      <c r="G41" s="1"/>
      <c r="H41">
        <f ca="1">IF(T_LEAVE[[#This Row],[EMPLOYEE]]="","",MATCH(T_LEAVE[[#This Row],[EMPLOYEE]],L_EMPLABELS,0))</f>
        <v>486</v>
      </c>
      <c r="I41">
        <f ca="1">IF(T_LEAVE[[#This Row],[EMPLOYEE]]="","",MATCH(T_LEAVE[[#This Row],[LEAVE TYPE]],L_LEAVETYPES,0))</f>
        <v>6</v>
      </c>
      <c r="J41" t="str" cm="1">
        <f t="array" aca="1" ref="J41" ca="1">IFERROR(INDEX(T_LEAVE_TYPES[SYMBOL],T_LEAVE[[#This Row],[LEAVE TYPE SYS ID]]),"")</f>
        <v>PR</v>
      </c>
      <c r="K41">
        <f ca="1">IF(T_LEAVE[[#This Row],[EMPLOYEE]]="","",IF(T_LEAVE[[#This Row],[ERROR]]="",0,1))</f>
        <v>0</v>
      </c>
      <c r="L41" t="str" cm="1">
        <f t="array" aca="1" ref="L4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" spans="1:12">
      <c r="A42" t="s">
        <v>1957</v>
      </c>
      <c r="B42" s="15" t="s">
        <v>1958</v>
      </c>
      <c r="C42" s="15" t="s">
        <v>1959</v>
      </c>
      <c r="D42" t="s">
        <v>92</v>
      </c>
      <c r="E42">
        <v>2</v>
      </c>
      <c r="F42" s="1"/>
      <c r="G42" s="1"/>
      <c r="H42">
        <f ca="1">IF(T_LEAVE[[#This Row],[EMPLOYEE]]="","",MATCH(T_LEAVE[[#This Row],[EMPLOYEE]],L_EMPLABELS,0))</f>
        <v>589</v>
      </c>
      <c r="I42">
        <f ca="1">IF(T_LEAVE[[#This Row],[EMPLOYEE]]="","",MATCH(T_LEAVE[[#This Row],[LEAVE TYPE]],L_LEAVETYPES,0))</f>
        <v>6</v>
      </c>
      <c r="J42" t="str" cm="1">
        <f t="array" aca="1" ref="J42" ca="1">IFERROR(INDEX(T_LEAVE_TYPES[SYMBOL],T_LEAVE[[#This Row],[LEAVE TYPE SYS ID]]),"")</f>
        <v>PR</v>
      </c>
      <c r="K42">
        <f ca="1">IF(T_LEAVE[[#This Row],[EMPLOYEE]]="","",IF(T_LEAVE[[#This Row],[ERROR]]="",0,1))</f>
        <v>0</v>
      </c>
      <c r="L42" t="str" cm="1">
        <f t="array" aca="1" ref="L4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" spans="1:12">
      <c r="A43" t="s">
        <v>1957</v>
      </c>
      <c r="B43" s="15" t="s">
        <v>1960</v>
      </c>
      <c r="C43" s="15" t="s">
        <v>1960</v>
      </c>
      <c r="D43" t="s">
        <v>98</v>
      </c>
      <c r="E43">
        <v>1</v>
      </c>
      <c r="F43" s="1"/>
      <c r="G43" s="1"/>
      <c r="H43">
        <f ca="1">IF(T_LEAVE[[#This Row],[EMPLOYEE]]="","",MATCH(T_LEAVE[[#This Row],[EMPLOYEE]],L_EMPLABELS,0))</f>
        <v>589</v>
      </c>
      <c r="I43">
        <f ca="1">IF(T_LEAVE[[#This Row],[EMPLOYEE]]="","",MATCH(T_LEAVE[[#This Row],[LEAVE TYPE]],L_LEAVETYPES,0))</f>
        <v>7</v>
      </c>
      <c r="J43" t="str" cm="1">
        <f t="array" aca="1" ref="J43" ca="1">IFERROR(INDEX(T_LEAVE_TYPES[SYMBOL],T_LEAVE[[#This Row],[LEAVE TYPE SYS ID]]),"")</f>
        <v>C</v>
      </c>
      <c r="K43">
        <f ca="1">IF(T_LEAVE[[#This Row],[EMPLOYEE]]="","",IF(T_LEAVE[[#This Row],[ERROR]]="",0,1))</f>
        <v>0</v>
      </c>
      <c r="L43" t="str" cm="1">
        <f t="array" aca="1" ref="L4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" spans="1:12">
      <c r="A44" t="s">
        <v>1961</v>
      </c>
      <c r="B44" s="15" t="s">
        <v>1958</v>
      </c>
      <c r="C44" s="15" t="s">
        <v>1959</v>
      </c>
      <c r="D44" t="s">
        <v>92</v>
      </c>
      <c r="E44">
        <v>2</v>
      </c>
      <c r="F44" s="1"/>
      <c r="G44" s="1"/>
      <c r="H44">
        <f ca="1">IF(T_LEAVE[[#This Row],[EMPLOYEE]]="","",MATCH(T_LEAVE[[#This Row],[EMPLOYEE]],L_EMPLABELS,0))</f>
        <v>492</v>
      </c>
      <c r="I44">
        <f ca="1">IF(T_LEAVE[[#This Row],[EMPLOYEE]]="","",MATCH(T_LEAVE[[#This Row],[LEAVE TYPE]],L_LEAVETYPES,0))</f>
        <v>6</v>
      </c>
      <c r="J44" t="str" cm="1">
        <f t="array" aca="1" ref="J44" ca="1">IFERROR(INDEX(T_LEAVE_TYPES[SYMBOL],T_LEAVE[[#This Row],[LEAVE TYPE SYS ID]]),"")</f>
        <v>PR</v>
      </c>
      <c r="K44">
        <f ca="1">IF(T_LEAVE[[#This Row],[EMPLOYEE]]="","",IF(T_LEAVE[[#This Row],[ERROR]]="",0,1))</f>
        <v>0</v>
      </c>
      <c r="L44" t="str" cm="1">
        <f t="array" aca="1" ref="L4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" spans="1:12">
      <c r="A45" t="s">
        <v>1961</v>
      </c>
      <c r="B45" s="15" t="s">
        <v>1962</v>
      </c>
      <c r="C45" s="15" t="s">
        <v>1962</v>
      </c>
      <c r="D45" t="s">
        <v>98</v>
      </c>
      <c r="E45">
        <v>1</v>
      </c>
      <c r="F45" s="1"/>
      <c r="G45" s="1"/>
      <c r="H45">
        <f ca="1">IF(T_LEAVE[[#This Row],[EMPLOYEE]]="","",MATCH(T_LEAVE[[#This Row],[EMPLOYEE]],L_EMPLABELS,0))</f>
        <v>492</v>
      </c>
      <c r="I45">
        <f ca="1">IF(T_LEAVE[[#This Row],[EMPLOYEE]]="","",MATCH(T_LEAVE[[#This Row],[LEAVE TYPE]],L_LEAVETYPES,0))</f>
        <v>7</v>
      </c>
      <c r="J45" t="str" cm="1">
        <f t="array" aca="1" ref="J45" ca="1">IFERROR(INDEX(T_LEAVE_TYPES[SYMBOL],T_LEAVE[[#This Row],[LEAVE TYPE SYS ID]]),"")</f>
        <v>C</v>
      </c>
      <c r="K45">
        <f ca="1">IF(T_LEAVE[[#This Row],[EMPLOYEE]]="","",IF(T_LEAVE[[#This Row],[ERROR]]="",0,1))</f>
        <v>0</v>
      </c>
      <c r="L45" t="str" cm="1">
        <f t="array" aca="1" ref="L4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" spans="1:12">
      <c r="A46" t="s">
        <v>1961</v>
      </c>
      <c r="B46" s="15" t="s">
        <v>1963</v>
      </c>
      <c r="C46" s="15" t="s">
        <v>1963</v>
      </c>
      <c r="D46" t="s">
        <v>98</v>
      </c>
      <c r="E46">
        <v>1</v>
      </c>
      <c r="F46" s="1"/>
      <c r="G46" s="1"/>
      <c r="H46">
        <f ca="1">IF(T_LEAVE[[#This Row],[EMPLOYEE]]="","",MATCH(T_LEAVE[[#This Row],[EMPLOYEE]],L_EMPLABELS,0))</f>
        <v>492</v>
      </c>
      <c r="I46">
        <f ca="1">IF(T_LEAVE[[#This Row],[EMPLOYEE]]="","",MATCH(T_LEAVE[[#This Row],[LEAVE TYPE]],L_LEAVETYPES,0))</f>
        <v>7</v>
      </c>
      <c r="J46" t="str" cm="1">
        <f t="array" aca="1" ref="J46" ca="1">IFERROR(INDEX(T_LEAVE_TYPES[SYMBOL],T_LEAVE[[#This Row],[LEAVE TYPE SYS ID]]),"")</f>
        <v>C</v>
      </c>
      <c r="K46">
        <f ca="1">IF(T_LEAVE[[#This Row],[EMPLOYEE]]="","",IF(T_LEAVE[[#This Row],[ERROR]]="",0,1))</f>
        <v>0</v>
      </c>
      <c r="L46" t="str" cm="1">
        <f t="array" aca="1" ref="L4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" spans="1:12">
      <c r="A47" t="s">
        <v>1961</v>
      </c>
      <c r="B47" s="15" t="s">
        <v>1964</v>
      </c>
      <c r="C47" s="15" t="s">
        <v>1964</v>
      </c>
      <c r="D47" t="s">
        <v>98</v>
      </c>
      <c r="E47">
        <v>1</v>
      </c>
      <c r="F47" s="1"/>
      <c r="G47" s="1"/>
      <c r="H47">
        <f ca="1">IF(T_LEAVE[[#This Row],[EMPLOYEE]]="","",MATCH(T_LEAVE[[#This Row],[EMPLOYEE]],L_EMPLABELS,0))</f>
        <v>492</v>
      </c>
      <c r="I47">
        <f ca="1">IF(T_LEAVE[[#This Row],[EMPLOYEE]]="","",MATCH(T_LEAVE[[#This Row],[LEAVE TYPE]],L_LEAVETYPES,0))</f>
        <v>7</v>
      </c>
      <c r="J47" t="str" cm="1">
        <f t="array" aca="1" ref="J47" ca="1">IFERROR(INDEX(T_LEAVE_TYPES[SYMBOL],T_LEAVE[[#This Row],[LEAVE TYPE SYS ID]]),"")</f>
        <v>C</v>
      </c>
      <c r="K47">
        <f ca="1">IF(T_LEAVE[[#This Row],[EMPLOYEE]]="","",IF(T_LEAVE[[#This Row],[ERROR]]="",0,1))</f>
        <v>0</v>
      </c>
      <c r="L47" t="str" cm="1">
        <f t="array" aca="1" ref="L4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" spans="1:12">
      <c r="A48" t="s">
        <v>1961</v>
      </c>
      <c r="B48" s="15" t="s">
        <v>1965</v>
      </c>
      <c r="C48" s="15" t="s">
        <v>1965</v>
      </c>
      <c r="D48" t="s">
        <v>98</v>
      </c>
      <c r="E48">
        <v>1</v>
      </c>
      <c r="F48" s="1"/>
      <c r="G48" s="1"/>
      <c r="H48">
        <f ca="1">IF(T_LEAVE[[#This Row],[EMPLOYEE]]="","",MATCH(T_LEAVE[[#This Row],[EMPLOYEE]],L_EMPLABELS,0))</f>
        <v>492</v>
      </c>
      <c r="I48">
        <f ca="1">IF(T_LEAVE[[#This Row],[EMPLOYEE]]="","",MATCH(T_LEAVE[[#This Row],[LEAVE TYPE]],L_LEAVETYPES,0))</f>
        <v>7</v>
      </c>
      <c r="J48" t="str" cm="1">
        <f t="array" aca="1" ref="J48" ca="1">IFERROR(INDEX(T_LEAVE_TYPES[SYMBOL],T_LEAVE[[#This Row],[LEAVE TYPE SYS ID]]),"")</f>
        <v>C</v>
      </c>
      <c r="K48">
        <f ca="1">IF(T_LEAVE[[#This Row],[EMPLOYEE]]="","",IF(T_LEAVE[[#This Row],[ERROR]]="",0,1))</f>
        <v>0</v>
      </c>
      <c r="L48" t="str" cm="1">
        <f t="array" aca="1" ref="L4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" spans="1:12">
      <c r="A49" t="s">
        <v>1961</v>
      </c>
      <c r="B49" s="15" t="s">
        <v>1966</v>
      </c>
      <c r="C49" s="15" t="s">
        <v>1966</v>
      </c>
      <c r="D49" t="s">
        <v>92</v>
      </c>
      <c r="E49">
        <v>1</v>
      </c>
      <c r="F49" s="1"/>
      <c r="G49" s="1"/>
      <c r="H49">
        <f ca="1">IF(T_LEAVE[[#This Row],[EMPLOYEE]]="","",MATCH(T_LEAVE[[#This Row],[EMPLOYEE]],L_EMPLABELS,0))</f>
        <v>492</v>
      </c>
      <c r="I49">
        <f ca="1">IF(T_LEAVE[[#This Row],[EMPLOYEE]]="","",MATCH(T_LEAVE[[#This Row],[LEAVE TYPE]],L_LEAVETYPES,0))</f>
        <v>6</v>
      </c>
      <c r="J49" t="str" cm="1">
        <f t="array" aca="1" ref="J49" ca="1">IFERROR(INDEX(T_LEAVE_TYPES[SYMBOL],T_LEAVE[[#This Row],[LEAVE TYPE SYS ID]]),"")</f>
        <v>PR</v>
      </c>
      <c r="K49">
        <f ca="1">IF(T_LEAVE[[#This Row],[EMPLOYEE]]="","",IF(T_LEAVE[[#This Row],[ERROR]]="",0,1))</f>
        <v>0</v>
      </c>
      <c r="L49" t="str" cm="1">
        <f t="array" aca="1" ref="L4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" spans="1:12">
      <c r="A50" t="s">
        <v>1961</v>
      </c>
      <c r="B50" s="15" t="s">
        <v>1967</v>
      </c>
      <c r="C50" s="15" t="s">
        <v>1968</v>
      </c>
      <c r="D50" t="s">
        <v>92</v>
      </c>
      <c r="E50">
        <v>2</v>
      </c>
      <c r="F50" s="1"/>
      <c r="G50" s="1"/>
      <c r="H50">
        <f ca="1">IF(T_LEAVE[[#This Row],[EMPLOYEE]]="","",MATCH(T_LEAVE[[#This Row],[EMPLOYEE]],L_EMPLABELS,0))</f>
        <v>492</v>
      </c>
      <c r="I50">
        <f ca="1">IF(T_LEAVE[[#This Row],[EMPLOYEE]]="","",MATCH(T_LEAVE[[#This Row],[LEAVE TYPE]],L_LEAVETYPES,0))</f>
        <v>6</v>
      </c>
      <c r="J50" t="str" cm="1">
        <f t="array" aca="1" ref="J50" ca="1">IFERROR(INDEX(T_LEAVE_TYPES[SYMBOL],T_LEAVE[[#This Row],[LEAVE TYPE SYS ID]]),"")</f>
        <v>PR</v>
      </c>
      <c r="K50">
        <f ca="1">IF(T_LEAVE[[#This Row],[EMPLOYEE]]="","",IF(T_LEAVE[[#This Row],[ERROR]]="",0,1))</f>
        <v>0</v>
      </c>
      <c r="L50" t="str" cm="1">
        <f t="array" aca="1" ref="L5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" spans="1:12">
      <c r="A51" t="s">
        <v>1961</v>
      </c>
      <c r="B51" s="15" t="s">
        <v>1969</v>
      </c>
      <c r="C51" s="15" t="s">
        <v>1969</v>
      </c>
      <c r="D51" t="s">
        <v>98</v>
      </c>
      <c r="E51">
        <v>1</v>
      </c>
      <c r="F51" s="1"/>
      <c r="G51" s="1"/>
      <c r="H51">
        <f ca="1">IF(T_LEAVE[[#This Row],[EMPLOYEE]]="","",MATCH(T_LEAVE[[#This Row],[EMPLOYEE]],L_EMPLABELS,0))</f>
        <v>492</v>
      </c>
      <c r="I51">
        <f ca="1">IF(T_LEAVE[[#This Row],[EMPLOYEE]]="","",MATCH(T_LEAVE[[#This Row],[LEAVE TYPE]],L_LEAVETYPES,0))</f>
        <v>7</v>
      </c>
      <c r="J51" t="str" cm="1">
        <f t="array" aca="1" ref="J51" ca="1">IFERROR(INDEX(T_LEAVE_TYPES[SYMBOL],T_LEAVE[[#This Row],[LEAVE TYPE SYS ID]]),"")</f>
        <v>C</v>
      </c>
      <c r="K51">
        <f ca="1">IF(T_LEAVE[[#This Row],[EMPLOYEE]]="","",IF(T_LEAVE[[#This Row],[ERROR]]="",0,1))</f>
        <v>0</v>
      </c>
      <c r="L51" t="str" cm="1">
        <f t="array" aca="1" ref="L5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" spans="1:12">
      <c r="A52" t="s">
        <v>1912</v>
      </c>
      <c r="B52" s="15" t="s">
        <v>1970</v>
      </c>
      <c r="C52" s="15" t="s">
        <v>1970</v>
      </c>
      <c r="D52" t="s">
        <v>92</v>
      </c>
      <c r="E52">
        <v>1</v>
      </c>
      <c r="F52" s="1"/>
      <c r="G52" s="1"/>
      <c r="H52">
        <f ca="1">IF(T_LEAVE[[#This Row],[EMPLOYEE]]="","",MATCH(T_LEAVE[[#This Row],[EMPLOYEE]],L_EMPLABELS,0))</f>
        <v>486</v>
      </c>
      <c r="I52">
        <f ca="1">IF(T_LEAVE[[#This Row],[EMPLOYEE]]="","",MATCH(T_LEAVE[[#This Row],[LEAVE TYPE]],L_LEAVETYPES,0))</f>
        <v>6</v>
      </c>
      <c r="J52" t="str" cm="1">
        <f t="array" aca="1" ref="J52" ca="1">IFERROR(INDEX(T_LEAVE_TYPES[SYMBOL],T_LEAVE[[#This Row],[LEAVE TYPE SYS ID]]),"")</f>
        <v>PR</v>
      </c>
      <c r="K52">
        <f ca="1">IF(T_LEAVE[[#This Row],[EMPLOYEE]]="","",IF(T_LEAVE[[#This Row],[ERROR]]="",0,1))</f>
        <v>0</v>
      </c>
      <c r="L52" t="str" cm="1">
        <f t="array" aca="1" ref="L5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" spans="1:12">
      <c r="A53" t="s">
        <v>1971</v>
      </c>
      <c r="B53" s="15" t="s">
        <v>1958</v>
      </c>
      <c r="C53" s="15" t="s">
        <v>1934</v>
      </c>
      <c r="D53" t="s">
        <v>92</v>
      </c>
      <c r="E53">
        <v>4</v>
      </c>
      <c r="F53" s="1"/>
      <c r="G53" s="1"/>
      <c r="H53">
        <f ca="1">IF(T_LEAVE[[#This Row],[EMPLOYEE]]="","",MATCH(T_LEAVE[[#This Row],[EMPLOYEE]],L_EMPLABELS,0))</f>
        <v>452</v>
      </c>
      <c r="I53">
        <f ca="1">IF(T_LEAVE[[#This Row],[EMPLOYEE]]="","",MATCH(T_LEAVE[[#This Row],[LEAVE TYPE]],L_LEAVETYPES,0))</f>
        <v>6</v>
      </c>
      <c r="J53" t="str" cm="1">
        <f t="array" aca="1" ref="J53" ca="1">IFERROR(INDEX(T_LEAVE_TYPES[SYMBOL],T_LEAVE[[#This Row],[LEAVE TYPE SYS ID]]),"")</f>
        <v>PR</v>
      </c>
      <c r="K53">
        <f ca="1">IF(T_LEAVE[[#This Row],[EMPLOYEE]]="","",IF(T_LEAVE[[#This Row],[ERROR]]="",0,1))</f>
        <v>0</v>
      </c>
      <c r="L53" t="str" cm="1">
        <f t="array" aca="1" ref="L5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" spans="1:12">
      <c r="A54" t="s">
        <v>1912</v>
      </c>
      <c r="B54" s="15" t="s">
        <v>1972</v>
      </c>
      <c r="C54" s="15" t="s">
        <v>1973</v>
      </c>
      <c r="D54" t="s">
        <v>98</v>
      </c>
      <c r="E54">
        <v>2</v>
      </c>
      <c r="F54" s="1"/>
      <c r="G54" s="1"/>
      <c r="H54">
        <f ca="1">IF(T_LEAVE[[#This Row],[EMPLOYEE]]="","",MATCH(T_LEAVE[[#This Row],[EMPLOYEE]],L_EMPLABELS,0))</f>
        <v>486</v>
      </c>
      <c r="I54">
        <f ca="1">IF(T_LEAVE[[#This Row],[EMPLOYEE]]="","",MATCH(T_LEAVE[[#This Row],[LEAVE TYPE]],L_LEAVETYPES,0))</f>
        <v>7</v>
      </c>
      <c r="J54" t="str" cm="1">
        <f t="array" aca="1" ref="J54" ca="1">IFERROR(INDEX(T_LEAVE_TYPES[SYMBOL],T_LEAVE[[#This Row],[LEAVE TYPE SYS ID]]),"")</f>
        <v>C</v>
      </c>
      <c r="K54">
        <f ca="1">IF(T_LEAVE[[#This Row],[EMPLOYEE]]="","",IF(T_LEAVE[[#This Row],[ERROR]]="",0,1))</f>
        <v>0</v>
      </c>
      <c r="L54" t="str" cm="1">
        <f t="array" aca="1" ref="L5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" spans="1:12">
      <c r="A55" t="s">
        <v>1912</v>
      </c>
      <c r="B55" s="15" t="s">
        <v>1974</v>
      </c>
      <c r="C55" s="15" t="s">
        <v>1974</v>
      </c>
      <c r="D55" t="s">
        <v>98</v>
      </c>
      <c r="E55">
        <v>1</v>
      </c>
      <c r="F55" s="1"/>
      <c r="G55" s="1"/>
      <c r="H55">
        <f ca="1">IF(T_LEAVE[[#This Row],[EMPLOYEE]]="","",MATCH(T_LEAVE[[#This Row],[EMPLOYEE]],L_EMPLABELS,0))</f>
        <v>486</v>
      </c>
      <c r="I55">
        <f ca="1">IF(T_LEAVE[[#This Row],[EMPLOYEE]]="","",MATCH(T_LEAVE[[#This Row],[LEAVE TYPE]],L_LEAVETYPES,0))</f>
        <v>7</v>
      </c>
      <c r="J55" t="str" cm="1">
        <f t="array" aca="1" ref="J55" ca="1">IFERROR(INDEX(T_LEAVE_TYPES[SYMBOL],T_LEAVE[[#This Row],[LEAVE TYPE SYS ID]]),"")</f>
        <v>C</v>
      </c>
      <c r="K55">
        <f ca="1">IF(T_LEAVE[[#This Row],[EMPLOYEE]]="","",IF(T_LEAVE[[#This Row],[ERROR]]="",0,1))</f>
        <v>0</v>
      </c>
      <c r="L55" t="str" cm="1">
        <f t="array" aca="1" ref="L5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" spans="1:12">
      <c r="A56" t="s">
        <v>1912</v>
      </c>
      <c r="B56" s="15" t="s">
        <v>1975</v>
      </c>
      <c r="C56" s="15" t="s">
        <v>1975</v>
      </c>
      <c r="D56" t="s">
        <v>98</v>
      </c>
      <c r="E56">
        <v>1</v>
      </c>
      <c r="F56" s="1"/>
      <c r="G56" s="1"/>
      <c r="H56">
        <f ca="1">IF(T_LEAVE[[#This Row],[EMPLOYEE]]="","",MATCH(T_LEAVE[[#This Row],[EMPLOYEE]],L_EMPLABELS,0))</f>
        <v>486</v>
      </c>
      <c r="I56">
        <f ca="1">IF(T_LEAVE[[#This Row],[EMPLOYEE]]="","",MATCH(T_LEAVE[[#This Row],[LEAVE TYPE]],L_LEAVETYPES,0))</f>
        <v>7</v>
      </c>
      <c r="J56" t="str" cm="1">
        <f t="array" aca="1" ref="J56" ca="1">IFERROR(INDEX(T_LEAVE_TYPES[SYMBOL],T_LEAVE[[#This Row],[LEAVE TYPE SYS ID]]),"")</f>
        <v>C</v>
      </c>
      <c r="K56">
        <f ca="1">IF(T_LEAVE[[#This Row],[EMPLOYEE]]="","",IF(T_LEAVE[[#This Row],[ERROR]]="",0,1))</f>
        <v>0</v>
      </c>
      <c r="L56" t="str" cm="1">
        <f t="array" aca="1" ref="L5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" spans="1:12">
      <c r="A57" t="s">
        <v>1937</v>
      </c>
      <c r="B57" s="15" t="s">
        <v>1934</v>
      </c>
      <c r="C57" s="15" t="s">
        <v>1934</v>
      </c>
      <c r="D57" t="s">
        <v>98</v>
      </c>
      <c r="E57">
        <v>1</v>
      </c>
      <c r="F57" s="1"/>
      <c r="G57" s="1"/>
      <c r="H57">
        <f ca="1">IF(T_LEAVE[[#This Row],[EMPLOYEE]]="","",MATCH(T_LEAVE[[#This Row],[EMPLOYEE]],L_EMPLABELS,0))</f>
        <v>358</v>
      </c>
      <c r="I57">
        <f ca="1">IF(T_LEAVE[[#This Row],[EMPLOYEE]]="","",MATCH(T_LEAVE[[#This Row],[LEAVE TYPE]],L_LEAVETYPES,0))</f>
        <v>7</v>
      </c>
      <c r="J57" t="str" cm="1">
        <f t="array" aca="1" ref="J57" ca="1">IFERROR(INDEX(T_LEAVE_TYPES[SYMBOL],T_LEAVE[[#This Row],[LEAVE TYPE SYS ID]]),"")</f>
        <v>C</v>
      </c>
      <c r="K57">
        <f ca="1">IF(T_LEAVE[[#This Row],[EMPLOYEE]]="","",IF(T_LEAVE[[#This Row],[ERROR]]="",0,1))</f>
        <v>0</v>
      </c>
      <c r="L57" t="str" cm="1">
        <f t="array" aca="1" ref="L5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" spans="1:12">
      <c r="A58" t="s">
        <v>1976</v>
      </c>
      <c r="B58" s="15" t="s">
        <v>1920</v>
      </c>
      <c r="C58" s="15" t="s">
        <v>1920</v>
      </c>
      <c r="D58" t="s">
        <v>98</v>
      </c>
      <c r="E58">
        <v>0.5</v>
      </c>
      <c r="F58" s="1"/>
      <c r="G58" s="1"/>
      <c r="H58">
        <f ca="1">IF(T_LEAVE[[#This Row],[EMPLOYEE]]="","",MATCH(T_LEAVE[[#This Row],[EMPLOYEE]],L_EMPLABELS,0))</f>
        <v>167</v>
      </c>
      <c r="I58">
        <f ca="1">IF(T_LEAVE[[#This Row],[EMPLOYEE]]="","",MATCH(T_LEAVE[[#This Row],[LEAVE TYPE]],L_LEAVETYPES,0))</f>
        <v>7</v>
      </c>
      <c r="J58" t="str" cm="1">
        <f t="array" aca="1" ref="J58" ca="1">IFERROR(INDEX(T_LEAVE_TYPES[SYMBOL],T_LEAVE[[#This Row],[LEAVE TYPE SYS ID]]),"")</f>
        <v>C</v>
      </c>
      <c r="K58">
        <f ca="1">IF(T_LEAVE[[#This Row],[EMPLOYEE]]="","",IF(T_LEAVE[[#This Row],[ERROR]]="",0,1))</f>
        <v>0</v>
      </c>
      <c r="L58" t="str" cm="1">
        <f t="array" aca="1" ref="L5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" spans="1:12">
      <c r="A59" t="s">
        <v>1976</v>
      </c>
      <c r="B59" s="15" t="s">
        <v>1959</v>
      </c>
      <c r="C59" s="15" t="s">
        <v>1959</v>
      </c>
      <c r="D59" t="s">
        <v>98</v>
      </c>
      <c r="E59">
        <v>1</v>
      </c>
      <c r="F59" s="1"/>
      <c r="G59" s="1"/>
      <c r="H59">
        <f ca="1">IF(T_LEAVE[[#This Row],[EMPLOYEE]]="","",MATCH(T_LEAVE[[#This Row],[EMPLOYEE]],L_EMPLABELS,0))</f>
        <v>167</v>
      </c>
      <c r="I59">
        <f ca="1">IF(T_LEAVE[[#This Row],[EMPLOYEE]]="","",MATCH(T_LEAVE[[#This Row],[LEAVE TYPE]],L_LEAVETYPES,0))</f>
        <v>7</v>
      </c>
      <c r="J59" t="str" cm="1">
        <f t="array" aca="1" ref="J59" ca="1">IFERROR(INDEX(T_LEAVE_TYPES[SYMBOL],T_LEAVE[[#This Row],[LEAVE TYPE SYS ID]]),"")</f>
        <v>C</v>
      </c>
      <c r="K59">
        <f ca="1">IF(T_LEAVE[[#This Row],[EMPLOYEE]]="","",IF(T_LEAVE[[#This Row],[ERROR]]="",0,1))</f>
        <v>0</v>
      </c>
      <c r="L59" t="str" cm="1">
        <f t="array" aca="1" ref="L5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" spans="1:12">
      <c r="A60" t="s">
        <v>1977</v>
      </c>
      <c r="B60" s="15" t="s">
        <v>1958</v>
      </c>
      <c r="C60" s="15" t="s">
        <v>1958</v>
      </c>
      <c r="D60" t="s">
        <v>98</v>
      </c>
      <c r="E60">
        <v>1</v>
      </c>
      <c r="F60" s="1"/>
      <c r="G60" s="1"/>
      <c r="H60">
        <f ca="1">IF(T_LEAVE[[#This Row],[EMPLOYEE]]="","",MATCH(T_LEAVE[[#This Row],[EMPLOYEE]],L_EMPLABELS,0))</f>
        <v>449</v>
      </c>
      <c r="I60">
        <f ca="1">IF(T_LEAVE[[#This Row],[EMPLOYEE]]="","",MATCH(T_LEAVE[[#This Row],[LEAVE TYPE]],L_LEAVETYPES,0))</f>
        <v>7</v>
      </c>
      <c r="J60" t="str" cm="1">
        <f t="array" aca="1" ref="J60" ca="1">IFERROR(INDEX(T_LEAVE_TYPES[SYMBOL],T_LEAVE[[#This Row],[LEAVE TYPE SYS ID]]),"")</f>
        <v>C</v>
      </c>
      <c r="K60">
        <f ca="1">IF(T_LEAVE[[#This Row],[EMPLOYEE]]="","",IF(T_LEAVE[[#This Row],[ERROR]]="",0,1))</f>
        <v>0</v>
      </c>
      <c r="L60" t="str" cm="1">
        <f t="array" aca="1" ref="L6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" spans="1:12">
      <c r="A61" t="s">
        <v>1977</v>
      </c>
      <c r="B61" s="15" t="s">
        <v>1946</v>
      </c>
      <c r="C61" s="15" t="s">
        <v>1921</v>
      </c>
      <c r="D61" t="s">
        <v>98</v>
      </c>
      <c r="E61">
        <v>2</v>
      </c>
      <c r="F61" s="1"/>
      <c r="G61" s="1"/>
      <c r="H61">
        <f ca="1">IF(T_LEAVE[[#This Row],[EMPLOYEE]]="","",MATCH(T_LEAVE[[#This Row],[EMPLOYEE]],L_EMPLABELS,0))</f>
        <v>449</v>
      </c>
      <c r="I61">
        <f ca="1">IF(T_LEAVE[[#This Row],[EMPLOYEE]]="","",MATCH(T_LEAVE[[#This Row],[LEAVE TYPE]],L_LEAVETYPES,0))</f>
        <v>7</v>
      </c>
      <c r="J61" t="str" cm="1">
        <f t="array" aca="1" ref="J61" ca="1">IFERROR(INDEX(T_LEAVE_TYPES[SYMBOL],T_LEAVE[[#This Row],[LEAVE TYPE SYS ID]]),"")</f>
        <v>C</v>
      </c>
      <c r="K61">
        <f ca="1">IF(T_LEAVE[[#This Row],[EMPLOYEE]]="","",IF(T_LEAVE[[#This Row],[ERROR]]="",0,1))</f>
        <v>0</v>
      </c>
      <c r="L61" t="str" cm="1">
        <f t="array" aca="1" ref="L6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" spans="1:12">
      <c r="A62" t="s">
        <v>1978</v>
      </c>
      <c r="B62" s="15" t="s">
        <v>1921</v>
      </c>
      <c r="C62" s="15" t="s">
        <v>1921</v>
      </c>
      <c r="D62" t="s">
        <v>98</v>
      </c>
      <c r="E62">
        <v>1</v>
      </c>
      <c r="F62" s="1"/>
      <c r="G62" s="1"/>
      <c r="H62">
        <f ca="1">IF(T_LEAVE[[#This Row],[EMPLOYEE]]="","",MATCH(T_LEAVE[[#This Row],[EMPLOYEE]],L_EMPLABELS,0))</f>
        <v>351</v>
      </c>
      <c r="I62">
        <f ca="1">IF(T_LEAVE[[#This Row],[EMPLOYEE]]="","",MATCH(T_LEAVE[[#This Row],[LEAVE TYPE]],L_LEAVETYPES,0))</f>
        <v>7</v>
      </c>
      <c r="J62" t="str" cm="1">
        <f t="array" aca="1" ref="J62" ca="1">IFERROR(INDEX(T_LEAVE_TYPES[SYMBOL],T_LEAVE[[#This Row],[LEAVE TYPE SYS ID]]),"")</f>
        <v>C</v>
      </c>
      <c r="K62">
        <f ca="1">IF(T_LEAVE[[#This Row],[EMPLOYEE]]="","",IF(T_LEAVE[[#This Row],[ERROR]]="",0,1))</f>
        <v>0</v>
      </c>
      <c r="L62" t="str" cm="1">
        <f t="array" aca="1" ref="L6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" spans="1:12">
      <c r="A63" t="s">
        <v>1979</v>
      </c>
      <c r="B63" s="15" t="s">
        <v>1921</v>
      </c>
      <c r="C63" s="15" t="s">
        <v>1921</v>
      </c>
      <c r="D63" t="s">
        <v>98</v>
      </c>
      <c r="E63">
        <v>1</v>
      </c>
      <c r="F63" s="1"/>
      <c r="G63" s="1"/>
      <c r="H63">
        <f ca="1">IF(T_LEAVE[[#This Row],[EMPLOYEE]]="","",MATCH(T_LEAVE[[#This Row],[EMPLOYEE]],L_EMPLABELS,0))</f>
        <v>587</v>
      </c>
      <c r="I63">
        <f ca="1">IF(T_LEAVE[[#This Row],[EMPLOYEE]]="","",MATCH(T_LEAVE[[#This Row],[LEAVE TYPE]],L_LEAVETYPES,0))</f>
        <v>7</v>
      </c>
      <c r="J63" t="str" cm="1">
        <f t="array" aca="1" ref="J63" ca="1">IFERROR(INDEX(T_LEAVE_TYPES[SYMBOL],T_LEAVE[[#This Row],[LEAVE TYPE SYS ID]]),"")</f>
        <v>C</v>
      </c>
      <c r="K63">
        <f ca="1">IF(T_LEAVE[[#This Row],[EMPLOYEE]]="","",IF(T_LEAVE[[#This Row],[ERROR]]="",0,1))</f>
        <v>0</v>
      </c>
      <c r="L63" t="str" cm="1">
        <f t="array" aca="1" ref="L6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" spans="1:12">
      <c r="A64" t="s">
        <v>1980</v>
      </c>
      <c r="B64" s="15" t="s">
        <v>1946</v>
      </c>
      <c r="C64" s="15" t="s">
        <v>1946</v>
      </c>
      <c r="D64" t="s">
        <v>98</v>
      </c>
      <c r="E64">
        <v>1</v>
      </c>
      <c r="F64" s="1"/>
      <c r="G64" s="1"/>
      <c r="H64">
        <f ca="1">IF(T_LEAVE[[#This Row],[EMPLOYEE]]="","",MATCH(T_LEAVE[[#This Row],[EMPLOYEE]],L_EMPLABELS,0))</f>
        <v>590</v>
      </c>
      <c r="I64">
        <f ca="1">IF(T_LEAVE[[#This Row],[EMPLOYEE]]="","",MATCH(T_LEAVE[[#This Row],[LEAVE TYPE]],L_LEAVETYPES,0))</f>
        <v>7</v>
      </c>
      <c r="J64" t="str" cm="1">
        <f t="array" aca="1" ref="J64" ca="1">IFERROR(INDEX(T_LEAVE_TYPES[SYMBOL],T_LEAVE[[#This Row],[LEAVE TYPE SYS ID]]),"")</f>
        <v>C</v>
      </c>
      <c r="K64">
        <f ca="1">IF(T_LEAVE[[#This Row],[EMPLOYEE]]="","",IF(T_LEAVE[[#This Row],[ERROR]]="",0,1))</f>
        <v>0</v>
      </c>
      <c r="L64" t="str" cm="1">
        <f t="array" aca="1" ref="L6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" spans="1:12">
      <c r="A65" t="s">
        <v>1981</v>
      </c>
      <c r="B65" s="15" t="s">
        <v>1921</v>
      </c>
      <c r="C65" s="15" t="s">
        <v>1921</v>
      </c>
      <c r="D65" t="s">
        <v>98</v>
      </c>
      <c r="E65">
        <v>1</v>
      </c>
      <c r="F65" s="1"/>
      <c r="G65" s="1"/>
      <c r="H65">
        <f ca="1">IF(T_LEAVE[[#This Row],[EMPLOYEE]]="","",MATCH(T_LEAVE[[#This Row],[EMPLOYEE]],L_EMPLABELS,0))</f>
        <v>366</v>
      </c>
      <c r="I65">
        <f ca="1">IF(T_LEAVE[[#This Row],[EMPLOYEE]]="","",MATCH(T_LEAVE[[#This Row],[LEAVE TYPE]],L_LEAVETYPES,0))</f>
        <v>7</v>
      </c>
      <c r="J65" t="str" cm="1">
        <f t="array" aca="1" ref="J65" ca="1">IFERROR(INDEX(T_LEAVE_TYPES[SYMBOL],T_LEAVE[[#This Row],[LEAVE TYPE SYS ID]]),"")</f>
        <v>C</v>
      </c>
      <c r="K65">
        <f ca="1">IF(T_LEAVE[[#This Row],[EMPLOYEE]]="","",IF(T_LEAVE[[#This Row],[ERROR]]="",0,1))</f>
        <v>0</v>
      </c>
      <c r="L65" t="str" cm="1">
        <f t="array" aca="1" ref="L6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" spans="1:12">
      <c r="A66" t="s">
        <v>1982</v>
      </c>
      <c r="B66" s="15" t="s">
        <v>1983</v>
      </c>
      <c r="C66" s="15" t="s">
        <v>1983</v>
      </c>
      <c r="D66" t="s">
        <v>98</v>
      </c>
      <c r="E66">
        <v>1</v>
      </c>
      <c r="F66" s="1"/>
      <c r="G66" s="1"/>
      <c r="H66">
        <f ca="1">IF(T_LEAVE[[#This Row],[EMPLOYEE]]="","",MATCH(T_LEAVE[[#This Row],[EMPLOYEE]],L_EMPLABELS,0))</f>
        <v>353</v>
      </c>
      <c r="I66">
        <f ca="1">IF(T_LEAVE[[#This Row],[EMPLOYEE]]="","",MATCH(T_LEAVE[[#This Row],[LEAVE TYPE]],L_LEAVETYPES,0))</f>
        <v>7</v>
      </c>
      <c r="J66" t="str" cm="1">
        <f t="array" aca="1" ref="J66" ca="1">IFERROR(INDEX(T_LEAVE_TYPES[SYMBOL],T_LEAVE[[#This Row],[LEAVE TYPE SYS ID]]),"")</f>
        <v>C</v>
      </c>
      <c r="K66">
        <f ca="1">IF(T_LEAVE[[#This Row],[EMPLOYEE]]="","",IF(T_LEAVE[[#This Row],[ERROR]]="",0,1))</f>
        <v>0</v>
      </c>
      <c r="L66" t="str" cm="1">
        <f t="array" aca="1" ref="L6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" spans="1:12">
      <c r="A67" t="s">
        <v>1982</v>
      </c>
      <c r="B67" s="15" t="s">
        <v>1951</v>
      </c>
      <c r="C67" s="15" t="s">
        <v>1951</v>
      </c>
      <c r="D67" t="s">
        <v>98</v>
      </c>
      <c r="E67">
        <v>0.5</v>
      </c>
      <c r="F67" s="1"/>
      <c r="G67" s="1"/>
      <c r="H67">
        <f ca="1">IF(T_LEAVE[[#This Row],[EMPLOYEE]]="","",MATCH(T_LEAVE[[#This Row],[EMPLOYEE]],L_EMPLABELS,0))</f>
        <v>353</v>
      </c>
      <c r="I67">
        <f ca="1">IF(T_LEAVE[[#This Row],[EMPLOYEE]]="","",MATCH(T_LEAVE[[#This Row],[LEAVE TYPE]],L_LEAVETYPES,0))</f>
        <v>7</v>
      </c>
      <c r="J67" t="str" cm="1">
        <f t="array" aca="1" ref="J67" ca="1">IFERROR(INDEX(T_LEAVE_TYPES[SYMBOL],T_LEAVE[[#This Row],[LEAVE TYPE SYS ID]]),"")</f>
        <v>C</v>
      </c>
      <c r="K67">
        <f ca="1">IF(T_LEAVE[[#This Row],[EMPLOYEE]]="","",IF(T_LEAVE[[#This Row],[ERROR]]="",0,1))</f>
        <v>0</v>
      </c>
      <c r="L67" t="str" cm="1">
        <f t="array" aca="1" ref="L6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" spans="1:12">
      <c r="A68" t="s">
        <v>1910</v>
      </c>
      <c r="B68" s="15" t="s">
        <v>1984</v>
      </c>
      <c r="C68" s="15" t="s">
        <v>1984</v>
      </c>
      <c r="D68" t="s">
        <v>98</v>
      </c>
      <c r="E68">
        <v>1</v>
      </c>
      <c r="F68" s="1"/>
      <c r="G68" s="1"/>
      <c r="H68">
        <f ca="1">IF(T_LEAVE[[#This Row],[EMPLOYEE]]="","",MATCH(T_LEAVE[[#This Row],[EMPLOYEE]],L_EMPLABELS,0))</f>
        <v>493</v>
      </c>
      <c r="I68">
        <f ca="1">IF(T_LEAVE[[#This Row],[EMPLOYEE]]="","",MATCH(T_LEAVE[[#This Row],[LEAVE TYPE]],L_LEAVETYPES,0))</f>
        <v>7</v>
      </c>
      <c r="J68" t="str" cm="1">
        <f t="array" aca="1" ref="J68" ca="1">IFERROR(INDEX(T_LEAVE_TYPES[SYMBOL],T_LEAVE[[#This Row],[LEAVE TYPE SYS ID]]),"")</f>
        <v>C</v>
      </c>
      <c r="K68">
        <f ca="1">IF(T_LEAVE[[#This Row],[EMPLOYEE]]="","",IF(T_LEAVE[[#This Row],[ERROR]]="",0,1))</f>
        <v>0</v>
      </c>
      <c r="L68" t="str" cm="1">
        <f t="array" aca="1" ref="L6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" spans="1:12">
      <c r="A69" t="s">
        <v>1909</v>
      </c>
      <c r="B69" s="15" t="s">
        <v>1985</v>
      </c>
      <c r="C69" s="15" t="s">
        <v>1985</v>
      </c>
      <c r="D69" t="s">
        <v>92</v>
      </c>
      <c r="E69">
        <v>1</v>
      </c>
      <c r="F69" s="1"/>
      <c r="G69" s="1"/>
      <c r="H69">
        <f ca="1">IF(T_LEAVE[[#This Row],[EMPLOYEE]]="","",MATCH(T_LEAVE[[#This Row],[EMPLOYEE]],L_EMPLABELS,0))</f>
        <v>214</v>
      </c>
      <c r="I69">
        <f ca="1">IF(T_LEAVE[[#This Row],[EMPLOYEE]]="","",MATCH(T_LEAVE[[#This Row],[LEAVE TYPE]],L_LEAVETYPES,0))</f>
        <v>6</v>
      </c>
      <c r="J69" t="str" cm="1">
        <f t="array" aca="1" ref="J69" ca="1">IFERROR(INDEX(T_LEAVE_TYPES[SYMBOL],T_LEAVE[[#This Row],[LEAVE TYPE SYS ID]]),"")</f>
        <v>PR</v>
      </c>
      <c r="K69">
        <f ca="1">IF(T_LEAVE[[#This Row],[EMPLOYEE]]="","",IF(T_LEAVE[[#This Row],[ERROR]]="",0,1))</f>
        <v>0</v>
      </c>
      <c r="L69" t="str" cm="1">
        <f t="array" aca="1" ref="L6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" spans="1:12">
      <c r="A70" t="s">
        <v>1909</v>
      </c>
      <c r="B70" s="15" t="s">
        <v>1914</v>
      </c>
      <c r="C70" s="15" t="s">
        <v>1914</v>
      </c>
      <c r="D70" t="s">
        <v>92</v>
      </c>
      <c r="E70">
        <v>1</v>
      </c>
      <c r="F70" s="1"/>
      <c r="G70" s="1"/>
      <c r="H70">
        <f ca="1">IF(T_LEAVE[[#This Row],[EMPLOYEE]]="","",MATCH(T_LEAVE[[#This Row],[EMPLOYEE]],L_EMPLABELS,0))</f>
        <v>214</v>
      </c>
      <c r="I70">
        <f ca="1">IF(T_LEAVE[[#This Row],[EMPLOYEE]]="","",MATCH(T_LEAVE[[#This Row],[LEAVE TYPE]],L_LEAVETYPES,0))</f>
        <v>6</v>
      </c>
      <c r="J70" t="str" cm="1">
        <f t="array" aca="1" ref="J70" ca="1">IFERROR(INDEX(T_LEAVE_TYPES[SYMBOL],T_LEAVE[[#This Row],[LEAVE TYPE SYS ID]]),"")</f>
        <v>PR</v>
      </c>
      <c r="K70">
        <f ca="1">IF(T_LEAVE[[#This Row],[EMPLOYEE]]="","",IF(T_LEAVE[[#This Row],[ERROR]]="",0,1))</f>
        <v>0</v>
      </c>
      <c r="L70" t="str" cm="1">
        <f t="array" aca="1" ref="L7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" spans="1:12">
      <c r="A71" t="s">
        <v>1986</v>
      </c>
      <c r="B71" s="15" t="s">
        <v>1913</v>
      </c>
      <c r="C71" s="15" t="s">
        <v>1914</v>
      </c>
      <c r="D71" t="s">
        <v>98</v>
      </c>
      <c r="E71">
        <v>2</v>
      </c>
      <c r="F71" s="1"/>
      <c r="G71" s="1"/>
      <c r="H71">
        <f ca="1">IF(T_LEAVE[[#This Row],[EMPLOYEE]]="","",MATCH(T_LEAVE[[#This Row],[EMPLOYEE]],L_EMPLABELS,0))</f>
        <v>499</v>
      </c>
      <c r="I71">
        <f ca="1">IF(T_LEAVE[[#This Row],[EMPLOYEE]]="","",MATCH(T_LEAVE[[#This Row],[LEAVE TYPE]],L_LEAVETYPES,0))</f>
        <v>7</v>
      </c>
      <c r="J71" t="str" cm="1">
        <f t="array" aca="1" ref="J71" ca="1">IFERROR(INDEX(T_LEAVE_TYPES[SYMBOL],T_LEAVE[[#This Row],[LEAVE TYPE SYS ID]]),"")</f>
        <v>C</v>
      </c>
      <c r="K71">
        <f ca="1">IF(T_LEAVE[[#This Row],[EMPLOYEE]]="","",IF(T_LEAVE[[#This Row],[ERROR]]="",0,1))</f>
        <v>0</v>
      </c>
      <c r="L71" t="str" cm="1">
        <f t="array" aca="1" ref="L7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" spans="1:12">
      <c r="A72" t="s">
        <v>1987</v>
      </c>
      <c r="B72" s="15" t="s">
        <v>1946</v>
      </c>
      <c r="C72" s="15" t="s">
        <v>1959</v>
      </c>
      <c r="D72" t="s">
        <v>98</v>
      </c>
      <c r="E72">
        <v>4</v>
      </c>
      <c r="F72" s="1"/>
      <c r="G72" s="1"/>
      <c r="H72">
        <f ca="1">IF(T_LEAVE[[#This Row],[EMPLOYEE]]="","",MATCH(T_LEAVE[[#This Row],[EMPLOYEE]],L_EMPLABELS,0))</f>
        <v>538</v>
      </c>
      <c r="I72">
        <f ca="1">IF(T_LEAVE[[#This Row],[EMPLOYEE]]="","",MATCH(T_LEAVE[[#This Row],[LEAVE TYPE]],L_LEAVETYPES,0))</f>
        <v>7</v>
      </c>
      <c r="J72" t="str" cm="1">
        <f t="array" aca="1" ref="J72" ca="1">IFERROR(INDEX(T_LEAVE_TYPES[SYMBOL],T_LEAVE[[#This Row],[LEAVE TYPE SYS ID]]),"")</f>
        <v>C</v>
      </c>
      <c r="K72">
        <f ca="1">IF(T_LEAVE[[#This Row],[EMPLOYEE]]="","",IF(T_LEAVE[[#This Row],[ERROR]]="",0,1))</f>
        <v>0</v>
      </c>
      <c r="L72" t="str" cm="1">
        <f t="array" aca="1" ref="L7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" spans="1:12">
      <c r="A73" t="s">
        <v>1988</v>
      </c>
      <c r="B73" s="15" t="s">
        <v>1989</v>
      </c>
      <c r="C73" s="15" t="s">
        <v>1990</v>
      </c>
      <c r="D73" t="s">
        <v>98</v>
      </c>
      <c r="E73">
        <v>3</v>
      </c>
      <c r="F73" s="1"/>
      <c r="G73" s="1"/>
      <c r="H73">
        <f ca="1">IF(T_LEAVE[[#This Row],[EMPLOYEE]]="","",MATCH(T_LEAVE[[#This Row],[EMPLOYEE]],L_EMPLABELS,0))</f>
        <v>506</v>
      </c>
      <c r="I73">
        <f ca="1">IF(T_LEAVE[[#This Row],[EMPLOYEE]]="","",MATCH(T_LEAVE[[#This Row],[LEAVE TYPE]],L_LEAVETYPES,0))</f>
        <v>7</v>
      </c>
      <c r="J73" t="str" cm="1">
        <f t="array" aca="1" ref="J73" ca="1">IFERROR(INDEX(T_LEAVE_TYPES[SYMBOL],T_LEAVE[[#This Row],[LEAVE TYPE SYS ID]]),"")</f>
        <v>C</v>
      </c>
      <c r="K73">
        <f ca="1">IF(T_LEAVE[[#This Row],[EMPLOYEE]]="","",IF(T_LEAVE[[#This Row],[ERROR]]="",0,1))</f>
        <v>0</v>
      </c>
      <c r="L73" t="str" cm="1">
        <f t="array" aca="1" ref="L7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" spans="1:12">
      <c r="A74" t="s">
        <v>1988</v>
      </c>
      <c r="B74" s="15" t="s">
        <v>1991</v>
      </c>
      <c r="C74" s="15" t="s">
        <v>1991</v>
      </c>
      <c r="D74" t="s">
        <v>98</v>
      </c>
      <c r="E74">
        <v>1</v>
      </c>
      <c r="F74" s="1"/>
      <c r="G74" s="1"/>
      <c r="H74">
        <f ca="1">IF(T_LEAVE[[#This Row],[EMPLOYEE]]="","",MATCH(T_LEAVE[[#This Row],[EMPLOYEE]],L_EMPLABELS,0))</f>
        <v>506</v>
      </c>
      <c r="I74">
        <f ca="1">IF(T_LEAVE[[#This Row],[EMPLOYEE]]="","",MATCH(T_LEAVE[[#This Row],[LEAVE TYPE]],L_LEAVETYPES,0))</f>
        <v>7</v>
      </c>
      <c r="J74" t="str" cm="1">
        <f t="array" aca="1" ref="J74" ca="1">IFERROR(INDEX(T_LEAVE_TYPES[SYMBOL],T_LEAVE[[#This Row],[LEAVE TYPE SYS ID]]),"")</f>
        <v>C</v>
      </c>
      <c r="K74">
        <f ca="1">IF(T_LEAVE[[#This Row],[EMPLOYEE]]="","",IF(T_LEAVE[[#This Row],[ERROR]]="",0,1))</f>
        <v>0</v>
      </c>
      <c r="L74" t="str" cm="1">
        <f t="array" aca="1" ref="L7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" spans="1:12">
      <c r="A75" t="s">
        <v>1988</v>
      </c>
      <c r="B75" s="15" t="s">
        <v>1992</v>
      </c>
      <c r="C75" s="15" t="s">
        <v>1992</v>
      </c>
      <c r="D75" t="s">
        <v>98</v>
      </c>
      <c r="E75">
        <v>1</v>
      </c>
      <c r="F75" s="1"/>
      <c r="G75" s="1"/>
      <c r="H75">
        <f ca="1">IF(T_LEAVE[[#This Row],[EMPLOYEE]]="","",MATCH(T_LEAVE[[#This Row],[EMPLOYEE]],L_EMPLABELS,0))</f>
        <v>506</v>
      </c>
      <c r="I75">
        <f ca="1">IF(T_LEAVE[[#This Row],[EMPLOYEE]]="","",MATCH(T_LEAVE[[#This Row],[LEAVE TYPE]],L_LEAVETYPES,0))</f>
        <v>7</v>
      </c>
      <c r="J75" t="str" cm="1">
        <f t="array" aca="1" ref="J75" ca="1">IFERROR(INDEX(T_LEAVE_TYPES[SYMBOL],T_LEAVE[[#This Row],[LEAVE TYPE SYS ID]]),"")</f>
        <v>C</v>
      </c>
      <c r="K75">
        <f ca="1">IF(T_LEAVE[[#This Row],[EMPLOYEE]]="","",IF(T_LEAVE[[#This Row],[ERROR]]="",0,1))</f>
        <v>0</v>
      </c>
      <c r="L75" t="str" cm="1">
        <f t="array" aca="1" ref="L7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" spans="1:12">
      <c r="A76" t="s">
        <v>1993</v>
      </c>
      <c r="B76" s="15" t="s">
        <v>1938</v>
      </c>
      <c r="C76" s="15" t="s">
        <v>1994</v>
      </c>
      <c r="D76" t="s">
        <v>92</v>
      </c>
      <c r="E76">
        <v>5</v>
      </c>
      <c r="F76" s="1"/>
      <c r="G76" s="1"/>
      <c r="H76">
        <f ca="1">IF(T_LEAVE[[#This Row],[EMPLOYEE]]="","",MATCH(T_LEAVE[[#This Row],[EMPLOYEE]],L_EMPLABELS,0))</f>
        <v>368</v>
      </c>
      <c r="I76">
        <f ca="1">IF(T_LEAVE[[#This Row],[EMPLOYEE]]="","",MATCH(T_LEAVE[[#This Row],[LEAVE TYPE]],L_LEAVETYPES,0))</f>
        <v>6</v>
      </c>
      <c r="J76" t="str" cm="1">
        <f t="array" aca="1" ref="J76" ca="1">IFERROR(INDEX(T_LEAVE_TYPES[SYMBOL],T_LEAVE[[#This Row],[LEAVE TYPE SYS ID]]),"")</f>
        <v>PR</v>
      </c>
      <c r="K76">
        <f ca="1">IF(T_LEAVE[[#This Row],[EMPLOYEE]]="","",IF(T_LEAVE[[#This Row],[ERROR]]="",0,1))</f>
        <v>0</v>
      </c>
      <c r="L76" t="str" cm="1">
        <f t="array" aca="1" ref="L7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" spans="1:12">
      <c r="A77" t="s">
        <v>1993</v>
      </c>
      <c r="B77" s="15" t="s">
        <v>1915</v>
      </c>
      <c r="C77" s="15" t="s">
        <v>1915</v>
      </c>
      <c r="D77" t="s">
        <v>98</v>
      </c>
      <c r="E77">
        <v>1</v>
      </c>
      <c r="F77" s="1"/>
      <c r="G77" s="1"/>
      <c r="H77">
        <f ca="1">IF(T_LEAVE[[#This Row],[EMPLOYEE]]="","",MATCH(T_LEAVE[[#This Row],[EMPLOYEE]],L_EMPLABELS,0))</f>
        <v>368</v>
      </c>
      <c r="I77">
        <f ca="1">IF(T_LEAVE[[#This Row],[EMPLOYEE]]="","",MATCH(T_LEAVE[[#This Row],[LEAVE TYPE]],L_LEAVETYPES,0))</f>
        <v>7</v>
      </c>
      <c r="J77" t="str" cm="1">
        <f t="array" aca="1" ref="J77" ca="1">IFERROR(INDEX(T_LEAVE_TYPES[SYMBOL],T_LEAVE[[#This Row],[LEAVE TYPE SYS ID]]),"")</f>
        <v>C</v>
      </c>
      <c r="K77">
        <f ca="1">IF(T_LEAVE[[#This Row],[EMPLOYEE]]="","",IF(T_LEAVE[[#This Row],[ERROR]]="",0,1))</f>
        <v>0</v>
      </c>
      <c r="L77" t="str" cm="1">
        <f t="array" aca="1" ref="L7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" spans="1:12">
      <c r="A78" t="s">
        <v>1995</v>
      </c>
      <c r="B78" s="15" t="s">
        <v>1996</v>
      </c>
      <c r="C78" s="15" t="s">
        <v>1996</v>
      </c>
      <c r="D78" t="s">
        <v>92</v>
      </c>
      <c r="E78">
        <v>1</v>
      </c>
      <c r="F78" s="1"/>
      <c r="G78" s="1"/>
      <c r="H78">
        <f ca="1">IF(T_LEAVE[[#This Row],[EMPLOYEE]]="","",MATCH(T_LEAVE[[#This Row],[EMPLOYEE]],L_EMPLABELS,0))</f>
        <v>408</v>
      </c>
      <c r="I78">
        <f ca="1">IF(T_LEAVE[[#This Row],[EMPLOYEE]]="","",MATCH(T_LEAVE[[#This Row],[LEAVE TYPE]],L_LEAVETYPES,0))</f>
        <v>6</v>
      </c>
      <c r="J78" t="str" cm="1">
        <f t="array" aca="1" ref="J78" ca="1">IFERROR(INDEX(T_LEAVE_TYPES[SYMBOL],T_LEAVE[[#This Row],[LEAVE TYPE SYS ID]]),"")</f>
        <v>PR</v>
      </c>
      <c r="K78">
        <f ca="1">IF(T_LEAVE[[#This Row],[EMPLOYEE]]="","",IF(T_LEAVE[[#This Row],[ERROR]]="",0,1))</f>
        <v>0</v>
      </c>
      <c r="L78" t="str" cm="1">
        <f t="array" aca="1" ref="L7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" spans="1:12">
      <c r="A79" t="s">
        <v>1976</v>
      </c>
      <c r="B79" s="15" t="s">
        <v>1996</v>
      </c>
      <c r="C79" s="15" t="s">
        <v>1996</v>
      </c>
      <c r="D79" t="s">
        <v>98</v>
      </c>
      <c r="E79">
        <v>1</v>
      </c>
      <c r="F79" s="1"/>
      <c r="G79" s="1"/>
      <c r="H79">
        <f ca="1">IF(T_LEAVE[[#This Row],[EMPLOYEE]]="","",MATCH(T_LEAVE[[#This Row],[EMPLOYEE]],L_EMPLABELS,0))</f>
        <v>167</v>
      </c>
      <c r="I79">
        <f ca="1">IF(T_LEAVE[[#This Row],[EMPLOYEE]]="","",MATCH(T_LEAVE[[#This Row],[LEAVE TYPE]],L_LEAVETYPES,0))</f>
        <v>7</v>
      </c>
      <c r="J79" t="str" cm="1">
        <f t="array" aca="1" ref="J79" ca="1">IFERROR(INDEX(T_LEAVE_TYPES[SYMBOL],T_LEAVE[[#This Row],[LEAVE TYPE SYS ID]]),"")</f>
        <v>C</v>
      </c>
      <c r="K79">
        <f ca="1">IF(T_LEAVE[[#This Row],[EMPLOYEE]]="","",IF(T_LEAVE[[#This Row],[ERROR]]="",0,1))</f>
        <v>0</v>
      </c>
      <c r="L79" t="str" cm="1">
        <f t="array" aca="1" ref="L7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0" spans="1:12">
      <c r="A80" t="s">
        <v>1976</v>
      </c>
      <c r="B80" s="15" t="s">
        <v>1997</v>
      </c>
      <c r="C80" s="15" t="s">
        <v>1997</v>
      </c>
      <c r="D80" t="s">
        <v>98</v>
      </c>
      <c r="E80">
        <v>1</v>
      </c>
      <c r="F80" s="1"/>
      <c r="G80" s="1"/>
      <c r="H80">
        <f ca="1">IF(T_LEAVE[[#This Row],[EMPLOYEE]]="","",MATCH(T_LEAVE[[#This Row],[EMPLOYEE]],L_EMPLABELS,0))</f>
        <v>167</v>
      </c>
      <c r="I80">
        <f ca="1">IF(T_LEAVE[[#This Row],[EMPLOYEE]]="","",MATCH(T_LEAVE[[#This Row],[LEAVE TYPE]],L_LEAVETYPES,0))</f>
        <v>7</v>
      </c>
      <c r="J80" t="str" cm="1">
        <f t="array" aca="1" ref="J80" ca="1">IFERROR(INDEX(T_LEAVE_TYPES[SYMBOL],T_LEAVE[[#This Row],[LEAVE TYPE SYS ID]]),"")</f>
        <v>C</v>
      </c>
      <c r="K80">
        <f ca="1">IF(T_LEAVE[[#This Row],[EMPLOYEE]]="","",IF(T_LEAVE[[#This Row],[ERROR]]="",0,1))</f>
        <v>0</v>
      </c>
      <c r="L80" t="str" cm="1">
        <f t="array" aca="1" ref="L8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1" spans="1:12">
      <c r="A81" t="s">
        <v>1936</v>
      </c>
      <c r="B81" s="15" t="s">
        <v>1998</v>
      </c>
      <c r="C81" s="15" t="s">
        <v>1998</v>
      </c>
      <c r="D81" t="s">
        <v>98</v>
      </c>
      <c r="E81">
        <v>1</v>
      </c>
      <c r="F81" s="1"/>
      <c r="G81" s="1"/>
      <c r="H81">
        <f ca="1">IF(T_LEAVE[[#This Row],[EMPLOYEE]]="","",MATCH(T_LEAVE[[#This Row],[EMPLOYEE]],L_EMPLABELS,0))</f>
        <v>550</v>
      </c>
      <c r="I81">
        <f ca="1">IF(T_LEAVE[[#This Row],[EMPLOYEE]]="","",MATCH(T_LEAVE[[#This Row],[LEAVE TYPE]],L_LEAVETYPES,0))</f>
        <v>7</v>
      </c>
      <c r="J81" t="str" cm="1">
        <f t="array" aca="1" ref="J81" ca="1">IFERROR(INDEX(T_LEAVE_TYPES[SYMBOL],T_LEAVE[[#This Row],[LEAVE TYPE SYS ID]]),"")</f>
        <v>C</v>
      </c>
      <c r="K81">
        <f ca="1">IF(T_LEAVE[[#This Row],[EMPLOYEE]]="","",IF(T_LEAVE[[#This Row],[ERROR]]="",0,1))</f>
        <v>0</v>
      </c>
      <c r="L81" t="str" cm="1">
        <f t="array" aca="1" ref="L8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2" spans="1:12">
      <c r="A82" t="s">
        <v>1993</v>
      </c>
      <c r="B82" s="15" t="s">
        <v>1999</v>
      </c>
      <c r="C82" s="15" t="s">
        <v>1999</v>
      </c>
      <c r="D82" t="s">
        <v>98</v>
      </c>
      <c r="E82">
        <v>0.5</v>
      </c>
      <c r="F82" s="1"/>
      <c r="G82" s="1"/>
      <c r="H82">
        <f ca="1">IF(T_LEAVE[[#This Row],[EMPLOYEE]]="","",MATCH(T_LEAVE[[#This Row],[EMPLOYEE]],L_EMPLABELS,0))</f>
        <v>368</v>
      </c>
      <c r="I82">
        <f ca="1">IF(T_LEAVE[[#This Row],[EMPLOYEE]]="","",MATCH(T_LEAVE[[#This Row],[LEAVE TYPE]],L_LEAVETYPES,0))</f>
        <v>7</v>
      </c>
      <c r="J82" t="str" cm="1">
        <f t="array" aca="1" ref="J82" ca="1">IFERROR(INDEX(T_LEAVE_TYPES[SYMBOL],T_LEAVE[[#This Row],[LEAVE TYPE SYS ID]]),"")</f>
        <v>C</v>
      </c>
      <c r="K82">
        <f ca="1">IF(T_LEAVE[[#This Row],[EMPLOYEE]]="","",IF(T_LEAVE[[#This Row],[ERROR]]="",0,1))</f>
        <v>0</v>
      </c>
      <c r="L82" t="str" cm="1">
        <f t="array" aca="1" ref="L8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3" spans="1:12">
      <c r="A83" t="s">
        <v>1993</v>
      </c>
      <c r="B83" s="15" t="s">
        <v>1999</v>
      </c>
      <c r="C83" s="15" t="s">
        <v>1920</v>
      </c>
      <c r="D83" t="s">
        <v>98</v>
      </c>
      <c r="E83">
        <v>0.5</v>
      </c>
      <c r="F83" s="1"/>
      <c r="G83" s="1"/>
      <c r="H83">
        <f ca="1">IF(T_LEAVE[[#This Row],[EMPLOYEE]]="","",MATCH(T_LEAVE[[#This Row],[EMPLOYEE]],L_EMPLABELS,0))</f>
        <v>368</v>
      </c>
      <c r="I83">
        <f ca="1">IF(T_LEAVE[[#This Row],[EMPLOYEE]]="","",MATCH(T_LEAVE[[#This Row],[LEAVE TYPE]],L_LEAVETYPES,0))</f>
        <v>7</v>
      </c>
      <c r="J83" t="str" cm="1">
        <f t="array" aca="1" ref="J83" ca="1">IFERROR(INDEX(T_LEAVE_TYPES[SYMBOL],T_LEAVE[[#This Row],[LEAVE TYPE SYS ID]]),"")</f>
        <v>C</v>
      </c>
      <c r="K83">
        <f ca="1">IF(T_LEAVE[[#This Row],[EMPLOYEE]]="","",IF(T_LEAVE[[#This Row],[ERROR]]="",0,1))</f>
        <v>0</v>
      </c>
      <c r="L83" t="str" cm="1">
        <f t="array" aca="1" ref="L8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4" spans="1:12">
      <c r="A84" t="s">
        <v>1993</v>
      </c>
      <c r="B84" s="15" t="s">
        <v>1999</v>
      </c>
      <c r="C84" s="15" t="s">
        <v>1920</v>
      </c>
      <c r="D84" t="s">
        <v>98</v>
      </c>
      <c r="E84">
        <v>0.5</v>
      </c>
      <c r="F84" s="1"/>
      <c r="G84" s="1"/>
      <c r="H84">
        <f ca="1">IF(T_LEAVE[[#This Row],[EMPLOYEE]]="","",MATCH(T_LEAVE[[#This Row],[EMPLOYEE]],L_EMPLABELS,0))</f>
        <v>368</v>
      </c>
      <c r="I84">
        <f ca="1">IF(T_LEAVE[[#This Row],[EMPLOYEE]]="","",MATCH(T_LEAVE[[#This Row],[LEAVE TYPE]],L_LEAVETYPES,0))</f>
        <v>7</v>
      </c>
      <c r="J84" t="str" cm="1">
        <f t="array" aca="1" ref="J84" ca="1">IFERROR(INDEX(T_LEAVE_TYPES[SYMBOL],T_LEAVE[[#This Row],[LEAVE TYPE SYS ID]]),"")</f>
        <v>C</v>
      </c>
      <c r="K84">
        <f ca="1">IF(T_LEAVE[[#This Row],[EMPLOYEE]]="","",IF(T_LEAVE[[#This Row],[ERROR]]="",0,1))</f>
        <v>0</v>
      </c>
      <c r="L84" t="str" cm="1">
        <f t="array" aca="1" ref="L8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5" spans="1:12">
      <c r="A85" t="s">
        <v>2000</v>
      </c>
      <c r="B85" s="15" t="s">
        <v>2001</v>
      </c>
      <c r="C85" s="15" t="s">
        <v>1998</v>
      </c>
      <c r="D85" t="s">
        <v>98</v>
      </c>
      <c r="E85">
        <v>2</v>
      </c>
      <c r="F85" s="1"/>
      <c r="G85" s="1"/>
      <c r="H85">
        <f ca="1">IF(T_LEAVE[[#This Row],[EMPLOYEE]]="","",MATCH(T_LEAVE[[#This Row],[EMPLOYEE]],L_EMPLABELS,0))</f>
        <v>540</v>
      </c>
      <c r="I85">
        <f ca="1">IF(T_LEAVE[[#This Row],[EMPLOYEE]]="","",MATCH(T_LEAVE[[#This Row],[LEAVE TYPE]],L_LEAVETYPES,0))</f>
        <v>7</v>
      </c>
      <c r="J85" t="str" cm="1">
        <f t="array" aca="1" ref="J85" ca="1">IFERROR(INDEX(T_LEAVE_TYPES[SYMBOL],T_LEAVE[[#This Row],[LEAVE TYPE SYS ID]]),"")</f>
        <v>C</v>
      </c>
      <c r="K85">
        <f ca="1">IF(T_LEAVE[[#This Row],[EMPLOYEE]]="","",IF(T_LEAVE[[#This Row],[ERROR]]="",0,1))</f>
        <v>0</v>
      </c>
      <c r="L85" t="str" cm="1">
        <f t="array" aca="1" ref="L8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6" spans="1:12">
      <c r="A86" t="s">
        <v>1949</v>
      </c>
      <c r="B86" s="15" t="s">
        <v>1998</v>
      </c>
      <c r="C86" s="15" t="s">
        <v>1998</v>
      </c>
      <c r="D86" t="s">
        <v>98</v>
      </c>
      <c r="E86">
        <v>1</v>
      </c>
      <c r="F86" s="1"/>
      <c r="G86" s="1"/>
      <c r="H86">
        <f ca="1">IF(T_LEAVE[[#This Row],[EMPLOYEE]]="","",MATCH(T_LEAVE[[#This Row],[EMPLOYEE]],L_EMPLABELS,0))</f>
        <v>326</v>
      </c>
      <c r="I86">
        <f ca="1">IF(T_LEAVE[[#This Row],[EMPLOYEE]]="","",MATCH(T_LEAVE[[#This Row],[LEAVE TYPE]],L_LEAVETYPES,0))</f>
        <v>7</v>
      </c>
      <c r="J86" t="str" cm="1">
        <f t="array" aca="1" ref="J86" ca="1">IFERROR(INDEX(T_LEAVE_TYPES[SYMBOL],T_LEAVE[[#This Row],[LEAVE TYPE SYS ID]]),"")</f>
        <v>C</v>
      </c>
      <c r="K86">
        <f ca="1">IF(T_LEAVE[[#This Row],[EMPLOYEE]]="","",IF(T_LEAVE[[#This Row],[ERROR]]="",0,1))</f>
        <v>0</v>
      </c>
      <c r="L86" t="str" cm="1">
        <f t="array" aca="1" ref="L8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7" spans="1:12">
      <c r="A87" t="s">
        <v>1993</v>
      </c>
      <c r="B87" s="15" t="s">
        <v>2002</v>
      </c>
      <c r="C87" s="15" t="s">
        <v>2002</v>
      </c>
      <c r="D87" t="s">
        <v>98</v>
      </c>
      <c r="E87">
        <v>0.5</v>
      </c>
      <c r="F87" s="1"/>
      <c r="G87" s="1"/>
      <c r="H87">
        <f ca="1">IF(T_LEAVE[[#This Row],[EMPLOYEE]]="","",MATCH(T_LEAVE[[#This Row],[EMPLOYEE]],L_EMPLABELS,0))</f>
        <v>368</v>
      </c>
      <c r="I87">
        <f ca="1">IF(T_LEAVE[[#This Row],[EMPLOYEE]]="","",MATCH(T_LEAVE[[#This Row],[LEAVE TYPE]],L_LEAVETYPES,0))</f>
        <v>7</v>
      </c>
      <c r="J87" t="str" cm="1">
        <f t="array" aca="1" ref="J87" ca="1">IFERROR(INDEX(T_LEAVE_TYPES[SYMBOL],T_LEAVE[[#This Row],[LEAVE TYPE SYS ID]]),"")</f>
        <v>C</v>
      </c>
      <c r="K87">
        <f ca="1">IF(T_LEAVE[[#This Row],[EMPLOYEE]]="","",IF(T_LEAVE[[#This Row],[ERROR]]="",0,1))</f>
        <v>0</v>
      </c>
      <c r="L87" t="str" cm="1">
        <f t="array" aca="1" ref="L8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8" spans="1:12">
      <c r="A88" t="s">
        <v>2003</v>
      </c>
      <c r="B88" s="15" t="s">
        <v>2001</v>
      </c>
      <c r="C88" s="15" t="s">
        <v>2001</v>
      </c>
      <c r="D88" t="s">
        <v>98</v>
      </c>
      <c r="E88">
        <v>1</v>
      </c>
      <c r="F88" s="1"/>
      <c r="G88" s="1"/>
      <c r="H88">
        <f ca="1">IF(T_LEAVE[[#This Row],[EMPLOYEE]]="","",MATCH(T_LEAVE[[#This Row],[EMPLOYEE]],L_EMPLABELS,0))</f>
        <v>459</v>
      </c>
      <c r="I88">
        <f ca="1">IF(T_LEAVE[[#This Row],[EMPLOYEE]]="","",MATCH(T_LEAVE[[#This Row],[LEAVE TYPE]],L_LEAVETYPES,0))</f>
        <v>7</v>
      </c>
      <c r="J88" t="str" cm="1">
        <f t="array" aca="1" ref="J88" ca="1">IFERROR(INDEX(T_LEAVE_TYPES[SYMBOL],T_LEAVE[[#This Row],[LEAVE TYPE SYS ID]]),"")</f>
        <v>C</v>
      </c>
      <c r="K88">
        <f ca="1">IF(T_LEAVE[[#This Row],[EMPLOYEE]]="","",IF(T_LEAVE[[#This Row],[ERROR]]="",0,1))</f>
        <v>0</v>
      </c>
      <c r="L88" t="str" cm="1">
        <f t="array" aca="1" ref="L8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9" spans="1:12">
      <c r="A89" t="s">
        <v>1917</v>
      </c>
      <c r="B89" s="15" t="s">
        <v>1994</v>
      </c>
      <c r="C89" s="15" t="s">
        <v>1994</v>
      </c>
      <c r="D89" t="s">
        <v>98</v>
      </c>
      <c r="E89">
        <v>1</v>
      </c>
      <c r="F89" s="1"/>
      <c r="G89" s="1"/>
      <c r="H89">
        <f ca="1">IF(T_LEAVE[[#This Row],[EMPLOYEE]]="","",MATCH(T_LEAVE[[#This Row],[EMPLOYEE]],L_EMPLABELS,0))</f>
        <v>551</v>
      </c>
      <c r="I89">
        <f ca="1">IF(T_LEAVE[[#This Row],[EMPLOYEE]]="","",MATCH(T_LEAVE[[#This Row],[LEAVE TYPE]],L_LEAVETYPES,0))</f>
        <v>7</v>
      </c>
      <c r="J89" t="str" cm="1">
        <f t="array" aca="1" ref="J89" ca="1">IFERROR(INDEX(T_LEAVE_TYPES[SYMBOL],T_LEAVE[[#This Row],[LEAVE TYPE SYS ID]]),"")</f>
        <v>C</v>
      </c>
      <c r="K89">
        <f ca="1">IF(T_LEAVE[[#This Row],[EMPLOYEE]]="","",IF(T_LEAVE[[#This Row],[ERROR]]="",0,1))</f>
        <v>0</v>
      </c>
      <c r="L89" t="str" cm="1">
        <f t="array" aca="1" ref="L8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0" spans="1:12">
      <c r="A90" t="s">
        <v>2004</v>
      </c>
      <c r="B90" s="15" t="s">
        <v>1984</v>
      </c>
      <c r="C90" s="15" t="s">
        <v>1921</v>
      </c>
      <c r="D90" t="s">
        <v>92</v>
      </c>
      <c r="E90">
        <v>5</v>
      </c>
      <c r="F90" s="1"/>
      <c r="G90" s="1"/>
      <c r="H90">
        <f ca="1">IF(T_LEAVE[[#This Row],[EMPLOYEE]]="","",MATCH(T_LEAVE[[#This Row],[EMPLOYEE]],L_EMPLABELS,0))</f>
        <v>400</v>
      </c>
      <c r="I90">
        <f ca="1">IF(T_LEAVE[[#This Row],[EMPLOYEE]]="","",MATCH(T_LEAVE[[#This Row],[LEAVE TYPE]],L_LEAVETYPES,0))</f>
        <v>6</v>
      </c>
      <c r="J90" t="str" cm="1">
        <f t="array" aca="1" ref="J90" ca="1">IFERROR(INDEX(T_LEAVE_TYPES[SYMBOL],T_LEAVE[[#This Row],[LEAVE TYPE SYS ID]]),"")</f>
        <v>PR</v>
      </c>
      <c r="K90">
        <f ca="1">IF(T_LEAVE[[#This Row],[EMPLOYEE]]="","",IF(T_LEAVE[[#This Row],[ERROR]]="",0,1))</f>
        <v>0</v>
      </c>
      <c r="L90" t="str" cm="1">
        <f t="array" aca="1" ref="L9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1" spans="1:12">
      <c r="A91" t="s">
        <v>2005</v>
      </c>
      <c r="B91" s="15" t="s">
        <v>1946</v>
      </c>
      <c r="C91" s="15" t="s">
        <v>1921</v>
      </c>
      <c r="D91" t="s">
        <v>98</v>
      </c>
      <c r="E91">
        <v>2</v>
      </c>
      <c r="F91" s="1"/>
      <c r="G91" s="1"/>
      <c r="H91">
        <f ca="1">IF(T_LEAVE[[#This Row],[EMPLOYEE]]="","",MATCH(T_LEAVE[[#This Row],[EMPLOYEE]],L_EMPLABELS,0))</f>
        <v>384</v>
      </c>
      <c r="I91">
        <f ca="1">IF(T_LEAVE[[#This Row],[EMPLOYEE]]="","",MATCH(T_LEAVE[[#This Row],[LEAVE TYPE]],L_LEAVETYPES,0))</f>
        <v>7</v>
      </c>
      <c r="J91" t="str" cm="1">
        <f t="array" aca="1" ref="J91" ca="1">IFERROR(INDEX(T_LEAVE_TYPES[SYMBOL],T_LEAVE[[#This Row],[LEAVE TYPE SYS ID]]),"")</f>
        <v>C</v>
      </c>
      <c r="K91">
        <f ca="1">IF(T_LEAVE[[#This Row],[EMPLOYEE]]="","",IF(T_LEAVE[[#This Row],[ERROR]]="",0,1))</f>
        <v>0</v>
      </c>
      <c r="L91" t="str" cm="1">
        <f t="array" aca="1" ref="L9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2" spans="1:12">
      <c r="A92" t="s">
        <v>1993</v>
      </c>
      <c r="B92" s="15" t="s">
        <v>2006</v>
      </c>
      <c r="C92" s="15" t="s">
        <v>2006</v>
      </c>
      <c r="D92" t="s">
        <v>98</v>
      </c>
      <c r="E92">
        <v>1</v>
      </c>
      <c r="F92" s="1"/>
      <c r="G92" s="1"/>
      <c r="H92">
        <f ca="1">IF(T_LEAVE[[#This Row],[EMPLOYEE]]="","",MATCH(T_LEAVE[[#This Row],[EMPLOYEE]],L_EMPLABELS,0))</f>
        <v>368</v>
      </c>
      <c r="I92">
        <f ca="1">IF(T_LEAVE[[#This Row],[EMPLOYEE]]="","",MATCH(T_LEAVE[[#This Row],[LEAVE TYPE]],L_LEAVETYPES,0))</f>
        <v>7</v>
      </c>
      <c r="J92" t="str" cm="1">
        <f t="array" aca="1" ref="J92" ca="1">IFERROR(INDEX(T_LEAVE_TYPES[SYMBOL],T_LEAVE[[#This Row],[LEAVE TYPE SYS ID]]),"")</f>
        <v>C</v>
      </c>
      <c r="K92">
        <f ca="1">IF(T_LEAVE[[#This Row],[EMPLOYEE]]="","",IF(T_LEAVE[[#This Row],[ERROR]]="",0,1))</f>
        <v>0</v>
      </c>
      <c r="L92" t="str" cm="1">
        <f t="array" aca="1" ref="L9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3" spans="1:12">
      <c r="A93" t="s">
        <v>1982</v>
      </c>
      <c r="B93" s="15" t="s">
        <v>2001</v>
      </c>
      <c r="C93" s="15" t="s">
        <v>2001</v>
      </c>
      <c r="D93" t="s">
        <v>98</v>
      </c>
      <c r="E93">
        <v>1</v>
      </c>
      <c r="F93" s="1"/>
      <c r="G93" s="1"/>
      <c r="H93">
        <f ca="1">IF(T_LEAVE[[#This Row],[EMPLOYEE]]="","",MATCH(T_LEAVE[[#This Row],[EMPLOYEE]],L_EMPLABELS,0))</f>
        <v>353</v>
      </c>
      <c r="I93">
        <f ca="1">IF(T_LEAVE[[#This Row],[EMPLOYEE]]="","",MATCH(T_LEAVE[[#This Row],[LEAVE TYPE]],L_LEAVETYPES,0))</f>
        <v>7</v>
      </c>
      <c r="J93" t="str" cm="1">
        <f t="array" aca="1" ref="J93" ca="1">IFERROR(INDEX(T_LEAVE_TYPES[SYMBOL],T_LEAVE[[#This Row],[LEAVE TYPE SYS ID]]),"")</f>
        <v>C</v>
      </c>
      <c r="K93">
        <f ca="1">IF(T_LEAVE[[#This Row],[EMPLOYEE]]="","",IF(T_LEAVE[[#This Row],[ERROR]]="",0,1))</f>
        <v>0</v>
      </c>
      <c r="L93" t="str" cm="1">
        <f t="array" aca="1" ref="L9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4" spans="1:12">
      <c r="A94" t="s">
        <v>1993</v>
      </c>
      <c r="B94" s="15" t="s">
        <v>2007</v>
      </c>
      <c r="C94" s="15" t="s">
        <v>2007</v>
      </c>
      <c r="D94" t="s">
        <v>98</v>
      </c>
      <c r="E94">
        <v>1</v>
      </c>
      <c r="F94" s="1"/>
      <c r="G94" s="1"/>
      <c r="H94">
        <f ca="1">IF(T_LEAVE[[#This Row],[EMPLOYEE]]="","",MATCH(T_LEAVE[[#This Row],[EMPLOYEE]],L_EMPLABELS,0))</f>
        <v>368</v>
      </c>
      <c r="I94">
        <f ca="1">IF(T_LEAVE[[#This Row],[EMPLOYEE]]="","",MATCH(T_LEAVE[[#This Row],[LEAVE TYPE]],L_LEAVETYPES,0))</f>
        <v>7</v>
      </c>
      <c r="J94" t="str" cm="1">
        <f t="array" aca="1" ref="J94" ca="1">IFERROR(INDEX(T_LEAVE_TYPES[SYMBOL],T_LEAVE[[#This Row],[LEAVE TYPE SYS ID]]),"")</f>
        <v>C</v>
      </c>
      <c r="K94">
        <f ca="1">IF(T_LEAVE[[#This Row],[EMPLOYEE]]="","",IF(T_LEAVE[[#This Row],[ERROR]]="",0,1))</f>
        <v>0</v>
      </c>
      <c r="L94" t="str" cm="1">
        <f t="array" aca="1" ref="L9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5" spans="1:12">
      <c r="A95" t="s">
        <v>2008</v>
      </c>
      <c r="B95" s="15" t="s">
        <v>1997</v>
      </c>
      <c r="C95" s="15" t="s">
        <v>1997</v>
      </c>
      <c r="D95" t="s">
        <v>98</v>
      </c>
      <c r="E95">
        <v>1</v>
      </c>
      <c r="F95" s="1"/>
      <c r="G95" s="1"/>
      <c r="H95">
        <f ca="1">IF(T_LEAVE[[#This Row],[EMPLOYEE]]="","",MATCH(T_LEAVE[[#This Row],[EMPLOYEE]],L_EMPLABELS,0))</f>
        <v>498</v>
      </c>
      <c r="I95">
        <f ca="1">IF(T_LEAVE[[#This Row],[EMPLOYEE]]="","",MATCH(T_LEAVE[[#This Row],[LEAVE TYPE]],L_LEAVETYPES,0))</f>
        <v>7</v>
      </c>
      <c r="J95" t="str" cm="1">
        <f t="array" aca="1" ref="J95" ca="1">IFERROR(INDEX(T_LEAVE_TYPES[SYMBOL],T_LEAVE[[#This Row],[LEAVE TYPE SYS ID]]),"")</f>
        <v>C</v>
      </c>
      <c r="K95">
        <f ca="1">IF(T_LEAVE[[#This Row],[EMPLOYEE]]="","",IF(T_LEAVE[[#This Row],[ERROR]]="",0,1))</f>
        <v>0</v>
      </c>
      <c r="L95" t="str" cm="1">
        <f t="array" aca="1" ref="L9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6" spans="1:12">
      <c r="A96" t="s">
        <v>1982</v>
      </c>
      <c r="B96" s="15" t="s">
        <v>1994</v>
      </c>
      <c r="C96" s="15" t="s">
        <v>1994</v>
      </c>
      <c r="D96" t="s">
        <v>98</v>
      </c>
      <c r="E96">
        <v>0.5</v>
      </c>
      <c r="F96" s="1"/>
      <c r="G96" s="1"/>
      <c r="H96">
        <f ca="1">IF(T_LEAVE[[#This Row],[EMPLOYEE]]="","",MATCH(T_LEAVE[[#This Row],[EMPLOYEE]],L_EMPLABELS,0))</f>
        <v>353</v>
      </c>
      <c r="I96">
        <f ca="1">IF(T_LEAVE[[#This Row],[EMPLOYEE]]="","",MATCH(T_LEAVE[[#This Row],[LEAVE TYPE]],L_LEAVETYPES,0))</f>
        <v>7</v>
      </c>
      <c r="J96" t="str" cm="1">
        <f t="array" aca="1" ref="J96" ca="1">IFERROR(INDEX(T_LEAVE_TYPES[SYMBOL],T_LEAVE[[#This Row],[LEAVE TYPE SYS ID]]),"")</f>
        <v>C</v>
      </c>
      <c r="K96">
        <f ca="1">IF(T_LEAVE[[#This Row],[EMPLOYEE]]="","",IF(T_LEAVE[[#This Row],[ERROR]]="",0,1))</f>
        <v>0</v>
      </c>
      <c r="L96" t="str" cm="1">
        <f t="array" aca="1" ref="L9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7" spans="1:12">
      <c r="A97" t="s">
        <v>1981</v>
      </c>
      <c r="B97" s="15" t="s">
        <v>2001</v>
      </c>
      <c r="C97" s="15" t="s">
        <v>2001</v>
      </c>
      <c r="D97" t="s">
        <v>98</v>
      </c>
      <c r="E97">
        <v>1</v>
      </c>
      <c r="F97" s="1"/>
      <c r="G97" s="1"/>
      <c r="H97">
        <f ca="1">IF(T_LEAVE[[#This Row],[EMPLOYEE]]="","",MATCH(T_LEAVE[[#This Row],[EMPLOYEE]],L_EMPLABELS,0))</f>
        <v>366</v>
      </c>
      <c r="I97">
        <f ca="1">IF(T_LEAVE[[#This Row],[EMPLOYEE]]="","",MATCH(T_LEAVE[[#This Row],[LEAVE TYPE]],L_LEAVETYPES,0))</f>
        <v>7</v>
      </c>
      <c r="J97" t="str" cm="1">
        <f t="array" aca="1" ref="J97" ca="1">IFERROR(INDEX(T_LEAVE_TYPES[SYMBOL],T_LEAVE[[#This Row],[LEAVE TYPE SYS ID]]),"")</f>
        <v>C</v>
      </c>
      <c r="K97">
        <f ca="1">IF(T_LEAVE[[#This Row],[EMPLOYEE]]="","",IF(T_LEAVE[[#This Row],[ERROR]]="",0,1))</f>
        <v>0</v>
      </c>
      <c r="L97" t="str" cm="1">
        <f t="array" aca="1" ref="L9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8" spans="1:12">
      <c r="A98" t="s">
        <v>1993</v>
      </c>
      <c r="B98" s="15" t="s">
        <v>1941</v>
      </c>
      <c r="C98" s="15" t="s">
        <v>1941</v>
      </c>
      <c r="D98" t="s">
        <v>98</v>
      </c>
      <c r="E98">
        <v>1</v>
      </c>
      <c r="F98" s="1"/>
      <c r="G98" s="1"/>
      <c r="H98">
        <f ca="1">IF(T_LEAVE[[#This Row],[EMPLOYEE]]="","",MATCH(T_LEAVE[[#This Row],[EMPLOYEE]],L_EMPLABELS,0))</f>
        <v>368</v>
      </c>
      <c r="I98">
        <f ca="1">IF(T_LEAVE[[#This Row],[EMPLOYEE]]="","",MATCH(T_LEAVE[[#This Row],[LEAVE TYPE]],L_LEAVETYPES,0))</f>
        <v>7</v>
      </c>
      <c r="J98" t="str" cm="1">
        <f t="array" aca="1" ref="J98" ca="1">IFERROR(INDEX(T_LEAVE_TYPES[SYMBOL],T_LEAVE[[#This Row],[LEAVE TYPE SYS ID]]),"")</f>
        <v>C</v>
      </c>
      <c r="K98">
        <f ca="1">IF(T_LEAVE[[#This Row],[EMPLOYEE]]="","",IF(T_LEAVE[[#This Row],[ERROR]]="",0,1))</f>
        <v>0</v>
      </c>
      <c r="L98" t="str" cm="1">
        <f t="array" aca="1" ref="L9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9" spans="1:12">
      <c r="A99" t="s">
        <v>2009</v>
      </c>
      <c r="B99" s="15" t="s">
        <v>2010</v>
      </c>
      <c r="C99" s="15" t="s">
        <v>2010</v>
      </c>
      <c r="D99" t="s">
        <v>98</v>
      </c>
      <c r="E99">
        <v>1</v>
      </c>
      <c r="F99" s="1"/>
      <c r="G99" s="1"/>
      <c r="H99">
        <f ca="1">IF(T_LEAVE[[#This Row],[EMPLOYEE]]="","",MATCH(T_LEAVE[[#This Row],[EMPLOYEE]],L_EMPLABELS,0))</f>
        <v>573</v>
      </c>
      <c r="I99">
        <f ca="1">IF(T_LEAVE[[#This Row],[EMPLOYEE]]="","",MATCH(T_LEAVE[[#This Row],[LEAVE TYPE]],L_LEAVETYPES,0))</f>
        <v>7</v>
      </c>
      <c r="J99" t="str" cm="1">
        <f t="array" aca="1" ref="J99" ca="1">IFERROR(INDEX(T_LEAVE_TYPES[SYMBOL],T_LEAVE[[#This Row],[LEAVE TYPE SYS ID]]),"")</f>
        <v>C</v>
      </c>
      <c r="K99">
        <f ca="1">IF(T_LEAVE[[#This Row],[EMPLOYEE]]="","",IF(T_LEAVE[[#This Row],[ERROR]]="",0,1))</f>
        <v>0</v>
      </c>
      <c r="L99" t="str" cm="1">
        <f t="array" aca="1" ref="L9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0" spans="1:12">
      <c r="A100" t="s">
        <v>1993</v>
      </c>
      <c r="B100" s="15" t="s">
        <v>2011</v>
      </c>
      <c r="C100" s="15" t="s">
        <v>2012</v>
      </c>
      <c r="D100" t="s">
        <v>98</v>
      </c>
      <c r="E100">
        <v>2</v>
      </c>
      <c r="F100" s="1"/>
      <c r="G100" s="1"/>
      <c r="H100">
        <f ca="1">IF(T_LEAVE[[#This Row],[EMPLOYEE]]="","",MATCH(T_LEAVE[[#This Row],[EMPLOYEE]],L_EMPLABELS,0))</f>
        <v>368</v>
      </c>
      <c r="I100">
        <f ca="1">IF(T_LEAVE[[#This Row],[EMPLOYEE]]="","",MATCH(T_LEAVE[[#This Row],[LEAVE TYPE]],L_LEAVETYPES,0))</f>
        <v>7</v>
      </c>
      <c r="J100" t="str" cm="1">
        <f t="array" aca="1" ref="J100" ca="1">IFERROR(INDEX(T_LEAVE_TYPES[SYMBOL],T_LEAVE[[#This Row],[LEAVE TYPE SYS ID]]),"")</f>
        <v>C</v>
      </c>
      <c r="K100">
        <f ca="1">IF(T_LEAVE[[#This Row],[EMPLOYEE]]="","",IF(T_LEAVE[[#This Row],[ERROR]]="",0,1))</f>
        <v>0</v>
      </c>
      <c r="L100" t="str" cm="1">
        <f t="array" aca="1" ref="L10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1" spans="1:12">
      <c r="A101" t="s">
        <v>1936</v>
      </c>
      <c r="B101" s="15" t="s">
        <v>2013</v>
      </c>
      <c r="C101" s="15" t="s">
        <v>1924</v>
      </c>
      <c r="D101" t="s">
        <v>98</v>
      </c>
      <c r="E101">
        <v>3</v>
      </c>
      <c r="F101" s="1"/>
      <c r="G101" s="1"/>
      <c r="H101">
        <f ca="1">IF(T_LEAVE[[#This Row],[EMPLOYEE]]="","",MATCH(T_LEAVE[[#This Row],[EMPLOYEE]],L_EMPLABELS,0))</f>
        <v>550</v>
      </c>
      <c r="I101">
        <f ca="1">IF(T_LEAVE[[#This Row],[EMPLOYEE]]="","",MATCH(T_LEAVE[[#This Row],[LEAVE TYPE]],L_LEAVETYPES,0))</f>
        <v>7</v>
      </c>
      <c r="J101" t="str" cm="1">
        <f t="array" aca="1" ref="J101" ca="1">IFERROR(INDEX(T_LEAVE_TYPES[SYMBOL],T_LEAVE[[#This Row],[LEAVE TYPE SYS ID]]),"")</f>
        <v>C</v>
      </c>
      <c r="K101">
        <f ca="1">IF(T_LEAVE[[#This Row],[EMPLOYEE]]="","",IF(T_LEAVE[[#This Row],[ERROR]]="",0,1))</f>
        <v>0</v>
      </c>
      <c r="L101" t="str" cm="1">
        <f t="array" aca="1" ref="L10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2" spans="1:12">
      <c r="A102" t="s">
        <v>1993</v>
      </c>
      <c r="B102" s="15" t="s">
        <v>1969</v>
      </c>
      <c r="C102" s="15" t="s">
        <v>1969</v>
      </c>
      <c r="D102" t="s">
        <v>98</v>
      </c>
      <c r="E102">
        <v>1</v>
      </c>
      <c r="F102" s="1"/>
      <c r="G102" s="1"/>
      <c r="H102">
        <f ca="1">IF(T_LEAVE[[#This Row],[EMPLOYEE]]="","",MATCH(T_LEAVE[[#This Row],[EMPLOYEE]],L_EMPLABELS,0))</f>
        <v>368</v>
      </c>
      <c r="I102">
        <f ca="1">IF(T_LEAVE[[#This Row],[EMPLOYEE]]="","",MATCH(T_LEAVE[[#This Row],[LEAVE TYPE]],L_LEAVETYPES,0))</f>
        <v>7</v>
      </c>
      <c r="J102" t="str" cm="1">
        <f t="array" aca="1" ref="J102" ca="1">IFERROR(INDEX(T_LEAVE_TYPES[SYMBOL],T_LEAVE[[#This Row],[LEAVE TYPE SYS ID]]),"")</f>
        <v>C</v>
      </c>
      <c r="K102">
        <f ca="1">IF(T_LEAVE[[#This Row],[EMPLOYEE]]="","",IF(T_LEAVE[[#This Row],[ERROR]]="",0,1))</f>
        <v>0</v>
      </c>
      <c r="L102" t="str" cm="1">
        <f t="array" aca="1" ref="L10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3" spans="1:12">
      <c r="A103" t="s">
        <v>1936</v>
      </c>
      <c r="B103" s="15" t="s">
        <v>1916</v>
      </c>
      <c r="C103" s="15" t="s">
        <v>1916</v>
      </c>
      <c r="D103" t="s">
        <v>98</v>
      </c>
      <c r="E103">
        <v>1</v>
      </c>
      <c r="F103" s="1"/>
      <c r="G103" s="1"/>
      <c r="H103">
        <f ca="1">IF(T_LEAVE[[#This Row],[EMPLOYEE]]="","",MATCH(T_LEAVE[[#This Row],[EMPLOYEE]],L_EMPLABELS,0))</f>
        <v>550</v>
      </c>
      <c r="I103">
        <f ca="1">IF(T_LEAVE[[#This Row],[EMPLOYEE]]="","",MATCH(T_LEAVE[[#This Row],[LEAVE TYPE]],L_LEAVETYPES,0))</f>
        <v>7</v>
      </c>
      <c r="J103" t="str" cm="1">
        <f t="array" aca="1" ref="J103" ca="1">IFERROR(INDEX(T_LEAVE_TYPES[SYMBOL],T_LEAVE[[#This Row],[LEAVE TYPE SYS ID]]),"")</f>
        <v>C</v>
      </c>
      <c r="K103">
        <f ca="1">IF(T_LEAVE[[#This Row],[EMPLOYEE]]="","",IF(T_LEAVE[[#This Row],[ERROR]]="",0,1))</f>
        <v>0</v>
      </c>
      <c r="L103" t="str" cm="1">
        <f t="array" aca="1" ref="L10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4" spans="1:12">
      <c r="A104" t="s">
        <v>1993</v>
      </c>
      <c r="B104" s="15" t="s">
        <v>1932</v>
      </c>
      <c r="C104" s="15" t="s">
        <v>2014</v>
      </c>
      <c r="D104" t="s">
        <v>92</v>
      </c>
      <c r="E104">
        <v>3</v>
      </c>
      <c r="F104" s="1"/>
      <c r="G104" s="1"/>
      <c r="H104">
        <f ca="1">IF(T_LEAVE[[#This Row],[EMPLOYEE]]="","",MATCH(T_LEAVE[[#This Row],[EMPLOYEE]],L_EMPLABELS,0))</f>
        <v>368</v>
      </c>
      <c r="I104">
        <f ca="1">IF(T_LEAVE[[#This Row],[EMPLOYEE]]="","",MATCH(T_LEAVE[[#This Row],[LEAVE TYPE]],L_LEAVETYPES,0))</f>
        <v>6</v>
      </c>
      <c r="J104" t="str" cm="1">
        <f t="array" aca="1" ref="J104" ca="1">IFERROR(INDEX(T_LEAVE_TYPES[SYMBOL],T_LEAVE[[#This Row],[LEAVE TYPE SYS ID]]),"")</f>
        <v>PR</v>
      </c>
      <c r="K104">
        <f ca="1">IF(T_LEAVE[[#This Row],[EMPLOYEE]]="","",IF(T_LEAVE[[#This Row],[ERROR]]="",0,1))</f>
        <v>0</v>
      </c>
      <c r="L104" t="str" cm="1">
        <f t="array" aca="1" ref="L10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5" spans="1:12">
      <c r="A105" t="s">
        <v>1993</v>
      </c>
      <c r="B105" s="15" t="s">
        <v>2015</v>
      </c>
      <c r="C105" s="15" t="s">
        <v>2016</v>
      </c>
      <c r="D105" t="s">
        <v>92</v>
      </c>
      <c r="E105">
        <v>5</v>
      </c>
      <c r="F105" s="1"/>
      <c r="G105" s="1"/>
      <c r="H105">
        <f ca="1">IF(T_LEAVE[[#This Row],[EMPLOYEE]]="","",MATCH(T_LEAVE[[#This Row],[EMPLOYEE]],L_EMPLABELS,0))</f>
        <v>368</v>
      </c>
      <c r="I105">
        <f ca="1">IF(T_LEAVE[[#This Row],[EMPLOYEE]]="","",MATCH(T_LEAVE[[#This Row],[LEAVE TYPE]],L_LEAVETYPES,0))</f>
        <v>6</v>
      </c>
      <c r="J105" t="str" cm="1">
        <f t="array" aca="1" ref="J105" ca="1">IFERROR(INDEX(T_LEAVE_TYPES[SYMBOL],T_LEAVE[[#This Row],[LEAVE TYPE SYS ID]]),"")</f>
        <v>PR</v>
      </c>
      <c r="K105">
        <f ca="1">IF(T_LEAVE[[#This Row],[EMPLOYEE]]="","",IF(T_LEAVE[[#This Row],[ERROR]]="",0,1))</f>
        <v>0</v>
      </c>
      <c r="L105" t="str" cm="1">
        <f t="array" aca="1" ref="L10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6" spans="1:12">
      <c r="A106" t="s">
        <v>1993</v>
      </c>
      <c r="B106" s="15" t="s">
        <v>2017</v>
      </c>
      <c r="C106" s="15" t="s">
        <v>1956</v>
      </c>
      <c r="D106" t="s">
        <v>92</v>
      </c>
      <c r="E106">
        <v>3</v>
      </c>
      <c r="F106" s="1"/>
      <c r="G106" s="1"/>
      <c r="H106">
        <f ca="1">IF(T_LEAVE[[#This Row],[EMPLOYEE]]="","",MATCH(T_LEAVE[[#This Row],[EMPLOYEE]],L_EMPLABELS,0))</f>
        <v>368</v>
      </c>
      <c r="I106">
        <f ca="1">IF(T_LEAVE[[#This Row],[EMPLOYEE]]="","",MATCH(T_LEAVE[[#This Row],[LEAVE TYPE]],L_LEAVETYPES,0))</f>
        <v>6</v>
      </c>
      <c r="J106" t="str" cm="1">
        <f t="array" aca="1" ref="J106" ca="1">IFERROR(INDEX(T_LEAVE_TYPES[SYMBOL],T_LEAVE[[#This Row],[LEAVE TYPE SYS ID]]),"")</f>
        <v>PR</v>
      </c>
      <c r="K106">
        <f ca="1">IF(T_LEAVE[[#This Row],[EMPLOYEE]]="","",IF(T_LEAVE[[#This Row],[ERROR]]="",0,1))</f>
        <v>0</v>
      </c>
      <c r="L106" t="str" cm="1">
        <f t="array" aca="1" ref="L10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7" spans="1:12">
      <c r="A107" t="s">
        <v>1993</v>
      </c>
      <c r="B107" s="15" t="s">
        <v>2018</v>
      </c>
      <c r="C107" s="15" t="s">
        <v>2019</v>
      </c>
      <c r="D107" t="s">
        <v>98</v>
      </c>
      <c r="E107">
        <v>2</v>
      </c>
      <c r="F107" s="1"/>
      <c r="G107" s="1"/>
      <c r="H107">
        <f ca="1">IF(T_LEAVE[[#This Row],[EMPLOYEE]]="","",MATCH(T_LEAVE[[#This Row],[EMPLOYEE]],L_EMPLABELS,0))</f>
        <v>368</v>
      </c>
      <c r="I107">
        <f ca="1">IF(T_LEAVE[[#This Row],[EMPLOYEE]]="","",MATCH(T_LEAVE[[#This Row],[LEAVE TYPE]],L_LEAVETYPES,0))</f>
        <v>7</v>
      </c>
      <c r="J107" t="str" cm="1">
        <f t="array" aca="1" ref="J107" ca="1">IFERROR(INDEX(T_LEAVE_TYPES[SYMBOL],T_LEAVE[[#This Row],[LEAVE TYPE SYS ID]]),"")</f>
        <v>C</v>
      </c>
      <c r="K107">
        <f ca="1">IF(T_LEAVE[[#This Row],[EMPLOYEE]]="","",IF(T_LEAVE[[#This Row],[ERROR]]="",0,1))</f>
        <v>0</v>
      </c>
      <c r="L107" t="str" cm="1">
        <f t="array" aca="1" ref="L10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8" spans="1:12">
      <c r="A108" t="s">
        <v>2020</v>
      </c>
      <c r="B108" s="15" t="s">
        <v>1958</v>
      </c>
      <c r="C108" s="15" t="s">
        <v>1959</v>
      </c>
      <c r="D108" t="s">
        <v>98</v>
      </c>
      <c r="E108">
        <v>2</v>
      </c>
      <c r="F108" s="1"/>
      <c r="G108" s="1"/>
      <c r="H108">
        <f ca="1">IF(T_LEAVE[[#This Row],[EMPLOYEE]]="","",MATCH(T_LEAVE[[#This Row],[EMPLOYEE]],L_EMPLABELS,0))</f>
        <v>84</v>
      </c>
      <c r="I108">
        <f ca="1">IF(T_LEAVE[[#This Row],[EMPLOYEE]]="","",MATCH(T_LEAVE[[#This Row],[LEAVE TYPE]],L_LEAVETYPES,0))</f>
        <v>7</v>
      </c>
      <c r="J108" t="str" cm="1">
        <f t="array" aca="1" ref="J108" ca="1">IFERROR(INDEX(T_LEAVE_TYPES[SYMBOL],T_LEAVE[[#This Row],[LEAVE TYPE SYS ID]]),"")</f>
        <v>C</v>
      </c>
      <c r="K108">
        <f ca="1">IF(T_LEAVE[[#This Row],[EMPLOYEE]]="","",IF(T_LEAVE[[#This Row],[ERROR]]="",0,1))</f>
        <v>0</v>
      </c>
      <c r="L108" t="str" cm="1">
        <f t="array" aca="1" ref="L10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9" spans="1:12">
      <c r="A109" t="s">
        <v>2020</v>
      </c>
      <c r="B109" s="15" t="s">
        <v>1915</v>
      </c>
      <c r="C109" s="15" t="s">
        <v>1915</v>
      </c>
      <c r="D109" t="s">
        <v>98</v>
      </c>
      <c r="E109">
        <v>1</v>
      </c>
      <c r="F109" s="1"/>
      <c r="G109" s="1"/>
      <c r="H109">
        <f ca="1">IF(T_LEAVE[[#This Row],[EMPLOYEE]]="","",MATCH(T_LEAVE[[#This Row],[EMPLOYEE]],L_EMPLABELS,0))</f>
        <v>84</v>
      </c>
      <c r="I109">
        <f ca="1">IF(T_LEAVE[[#This Row],[EMPLOYEE]]="","",MATCH(T_LEAVE[[#This Row],[LEAVE TYPE]],L_LEAVETYPES,0))</f>
        <v>7</v>
      </c>
      <c r="J109" t="str" cm="1">
        <f t="array" aca="1" ref="J109" ca="1">IFERROR(INDEX(T_LEAVE_TYPES[SYMBOL],T_LEAVE[[#This Row],[LEAVE TYPE SYS ID]]),"")</f>
        <v>C</v>
      </c>
      <c r="K109">
        <f ca="1">IF(T_LEAVE[[#This Row],[EMPLOYEE]]="","",IF(T_LEAVE[[#This Row],[ERROR]]="",0,1))</f>
        <v>0</v>
      </c>
      <c r="L109" t="str" cm="1">
        <f t="array" aca="1" ref="L10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0" spans="1:12">
      <c r="A110" t="s">
        <v>2020</v>
      </c>
      <c r="B110" s="15" t="s">
        <v>2021</v>
      </c>
      <c r="C110" s="15" t="s">
        <v>2021</v>
      </c>
      <c r="D110" t="s">
        <v>98</v>
      </c>
      <c r="E110">
        <v>1</v>
      </c>
      <c r="F110" s="1"/>
      <c r="G110" s="1"/>
      <c r="H110">
        <f ca="1">IF(T_LEAVE[[#This Row],[EMPLOYEE]]="","",MATCH(T_LEAVE[[#This Row],[EMPLOYEE]],L_EMPLABELS,0))</f>
        <v>84</v>
      </c>
      <c r="I110">
        <f ca="1">IF(T_LEAVE[[#This Row],[EMPLOYEE]]="","",MATCH(T_LEAVE[[#This Row],[LEAVE TYPE]],L_LEAVETYPES,0))</f>
        <v>7</v>
      </c>
      <c r="J110" t="str" cm="1">
        <f t="array" aca="1" ref="J110" ca="1">IFERROR(INDEX(T_LEAVE_TYPES[SYMBOL],T_LEAVE[[#This Row],[LEAVE TYPE SYS ID]]),"")</f>
        <v>C</v>
      </c>
      <c r="K110">
        <f ca="1">IF(T_LEAVE[[#This Row],[EMPLOYEE]]="","",IF(T_LEAVE[[#This Row],[ERROR]]="",0,1))</f>
        <v>0</v>
      </c>
      <c r="L110" t="str" cm="1">
        <f t="array" aca="1" ref="L11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1" spans="1:12">
      <c r="A111" t="s">
        <v>1917</v>
      </c>
      <c r="B111" s="15" t="s">
        <v>1990</v>
      </c>
      <c r="C111" s="15" t="s">
        <v>1990</v>
      </c>
      <c r="D111" t="s">
        <v>98</v>
      </c>
      <c r="E111">
        <v>1</v>
      </c>
      <c r="F111" s="1"/>
      <c r="G111" s="1"/>
      <c r="H111">
        <f ca="1">IF(T_LEAVE[[#This Row],[EMPLOYEE]]="","",MATCH(T_LEAVE[[#This Row],[EMPLOYEE]],L_EMPLABELS,0))</f>
        <v>551</v>
      </c>
      <c r="I111">
        <f ca="1">IF(T_LEAVE[[#This Row],[EMPLOYEE]]="","",MATCH(T_LEAVE[[#This Row],[LEAVE TYPE]],L_LEAVETYPES,0))</f>
        <v>7</v>
      </c>
      <c r="J111" t="str" cm="1">
        <f t="array" aca="1" ref="J111" ca="1">IFERROR(INDEX(T_LEAVE_TYPES[SYMBOL],T_LEAVE[[#This Row],[LEAVE TYPE SYS ID]]),"")</f>
        <v>C</v>
      </c>
      <c r="K111">
        <f ca="1">IF(T_LEAVE[[#This Row],[EMPLOYEE]]="","",IF(T_LEAVE[[#This Row],[ERROR]]="",0,1))</f>
        <v>0</v>
      </c>
      <c r="L111" t="str" cm="1">
        <f t="array" aca="1" ref="L11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2" spans="1:12">
      <c r="A112" t="s">
        <v>1995</v>
      </c>
      <c r="B112" s="15" t="s">
        <v>2022</v>
      </c>
      <c r="C112" s="15" t="s">
        <v>2022</v>
      </c>
      <c r="D112" t="s">
        <v>92</v>
      </c>
      <c r="E112">
        <v>1</v>
      </c>
      <c r="F112" s="1"/>
      <c r="G112" s="1"/>
      <c r="H112">
        <f ca="1">IF(T_LEAVE[[#This Row],[EMPLOYEE]]="","",MATCH(T_LEAVE[[#This Row],[EMPLOYEE]],L_EMPLABELS,0))</f>
        <v>408</v>
      </c>
      <c r="I112">
        <f ca="1">IF(T_LEAVE[[#This Row],[EMPLOYEE]]="","",MATCH(T_LEAVE[[#This Row],[LEAVE TYPE]],L_LEAVETYPES,0))</f>
        <v>6</v>
      </c>
      <c r="J112" t="str" cm="1">
        <f t="array" aca="1" ref="J112" ca="1">IFERROR(INDEX(T_LEAVE_TYPES[SYMBOL],T_LEAVE[[#This Row],[LEAVE TYPE SYS ID]]),"")</f>
        <v>PR</v>
      </c>
      <c r="K112">
        <f ca="1">IF(T_LEAVE[[#This Row],[EMPLOYEE]]="","",IF(T_LEAVE[[#This Row],[ERROR]]="",0,1))</f>
        <v>0</v>
      </c>
      <c r="L112" t="str" cm="1">
        <f t="array" aca="1" ref="L11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3" spans="1:12">
      <c r="A113" t="s">
        <v>2020</v>
      </c>
      <c r="B113" s="15" t="s">
        <v>2023</v>
      </c>
      <c r="C113" s="15" t="s">
        <v>2023</v>
      </c>
      <c r="D113" t="s">
        <v>98</v>
      </c>
      <c r="E113">
        <v>1</v>
      </c>
      <c r="F113" s="1"/>
      <c r="G113" s="1"/>
      <c r="H113">
        <f ca="1">IF(T_LEAVE[[#This Row],[EMPLOYEE]]="","",MATCH(T_LEAVE[[#This Row],[EMPLOYEE]],L_EMPLABELS,0))</f>
        <v>84</v>
      </c>
      <c r="I113">
        <f ca="1">IF(T_LEAVE[[#This Row],[EMPLOYEE]]="","",MATCH(T_LEAVE[[#This Row],[LEAVE TYPE]],L_LEAVETYPES,0))</f>
        <v>7</v>
      </c>
      <c r="J113" t="str" cm="1">
        <f t="array" aca="1" ref="J113" ca="1">IFERROR(INDEX(T_LEAVE_TYPES[SYMBOL],T_LEAVE[[#This Row],[LEAVE TYPE SYS ID]]),"")</f>
        <v>C</v>
      </c>
      <c r="K113">
        <f ca="1">IF(T_LEAVE[[#This Row],[EMPLOYEE]]="","",IF(T_LEAVE[[#This Row],[ERROR]]="",0,1))</f>
        <v>0</v>
      </c>
      <c r="L113" t="str" cm="1">
        <f t="array" aca="1" ref="L11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4" spans="1:12">
      <c r="A114" t="s">
        <v>2003</v>
      </c>
      <c r="B114" s="15" t="s">
        <v>2022</v>
      </c>
      <c r="C114" s="15" t="s">
        <v>2022</v>
      </c>
      <c r="D114" t="s">
        <v>98</v>
      </c>
      <c r="E114">
        <v>1</v>
      </c>
      <c r="F114" s="1"/>
      <c r="G114" s="1"/>
      <c r="H114">
        <f ca="1">IF(T_LEAVE[[#This Row],[EMPLOYEE]]="","",MATCH(T_LEAVE[[#This Row],[EMPLOYEE]],L_EMPLABELS,0))</f>
        <v>459</v>
      </c>
      <c r="I114">
        <f ca="1">IF(T_LEAVE[[#This Row],[EMPLOYEE]]="","",MATCH(T_LEAVE[[#This Row],[LEAVE TYPE]],L_LEAVETYPES,0))</f>
        <v>7</v>
      </c>
      <c r="J114" t="str" cm="1">
        <f t="array" aca="1" ref="J114" ca="1">IFERROR(INDEX(T_LEAVE_TYPES[SYMBOL],T_LEAVE[[#This Row],[LEAVE TYPE SYS ID]]),"")</f>
        <v>C</v>
      </c>
      <c r="K114">
        <f ca="1">IF(T_LEAVE[[#This Row],[EMPLOYEE]]="","",IF(T_LEAVE[[#This Row],[ERROR]]="",0,1))</f>
        <v>0</v>
      </c>
      <c r="L114" t="str" cm="1">
        <f t="array" aca="1" ref="L11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5" spans="1:12">
      <c r="A115" t="s">
        <v>1909</v>
      </c>
      <c r="B115" s="15" t="s">
        <v>2024</v>
      </c>
      <c r="C115" s="15" t="s">
        <v>2024</v>
      </c>
      <c r="D115" t="s">
        <v>92</v>
      </c>
      <c r="E115">
        <v>1</v>
      </c>
      <c r="F115" s="1"/>
      <c r="G115" s="1"/>
      <c r="H115">
        <f ca="1">IF(T_LEAVE[[#This Row],[EMPLOYEE]]="","",MATCH(T_LEAVE[[#This Row],[EMPLOYEE]],L_EMPLABELS,0))</f>
        <v>214</v>
      </c>
      <c r="I115">
        <f ca="1">IF(T_LEAVE[[#This Row],[EMPLOYEE]]="","",MATCH(T_LEAVE[[#This Row],[LEAVE TYPE]],L_LEAVETYPES,0))</f>
        <v>6</v>
      </c>
      <c r="J115" t="str" cm="1">
        <f t="array" aca="1" ref="J115" ca="1">IFERROR(INDEX(T_LEAVE_TYPES[SYMBOL],T_LEAVE[[#This Row],[LEAVE TYPE SYS ID]]),"")</f>
        <v>PR</v>
      </c>
      <c r="K115">
        <f ca="1">IF(T_LEAVE[[#This Row],[EMPLOYEE]]="","",IF(T_LEAVE[[#This Row],[ERROR]]="",0,1))</f>
        <v>0</v>
      </c>
      <c r="L115" t="str" cm="1">
        <f t="array" aca="1" ref="L11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6" spans="1:12">
      <c r="A116" t="s">
        <v>1971</v>
      </c>
      <c r="B116" s="15" t="s">
        <v>2025</v>
      </c>
      <c r="C116" s="15" t="s">
        <v>2025</v>
      </c>
      <c r="D116" t="s">
        <v>98</v>
      </c>
      <c r="E116">
        <v>1</v>
      </c>
      <c r="F116" s="1"/>
      <c r="G116" s="1"/>
      <c r="H116">
        <f ca="1">IF(T_LEAVE[[#This Row],[EMPLOYEE]]="","",MATCH(T_LEAVE[[#This Row],[EMPLOYEE]],L_EMPLABELS,0))</f>
        <v>452</v>
      </c>
      <c r="I116">
        <f ca="1">IF(T_LEAVE[[#This Row],[EMPLOYEE]]="","",MATCH(T_LEAVE[[#This Row],[LEAVE TYPE]],L_LEAVETYPES,0))</f>
        <v>7</v>
      </c>
      <c r="J116" t="str" cm="1">
        <f t="array" aca="1" ref="J116" ca="1">IFERROR(INDEX(T_LEAVE_TYPES[SYMBOL],T_LEAVE[[#This Row],[LEAVE TYPE SYS ID]]),"")</f>
        <v>C</v>
      </c>
      <c r="K116">
        <f ca="1">IF(T_LEAVE[[#This Row],[EMPLOYEE]]="","",IF(T_LEAVE[[#This Row],[ERROR]]="",0,1))</f>
        <v>0</v>
      </c>
      <c r="L116" t="str" cm="1">
        <f t="array" aca="1" ref="L11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7" spans="1:12">
      <c r="A117" t="s">
        <v>2020</v>
      </c>
      <c r="B117" s="15" t="s">
        <v>2026</v>
      </c>
      <c r="C117" s="15" t="s">
        <v>2026</v>
      </c>
      <c r="D117" t="s">
        <v>98</v>
      </c>
      <c r="E117">
        <v>1</v>
      </c>
      <c r="F117" s="1"/>
      <c r="G117" s="1"/>
      <c r="H117">
        <f ca="1">IF(T_LEAVE[[#This Row],[EMPLOYEE]]="","",MATCH(T_LEAVE[[#This Row],[EMPLOYEE]],L_EMPLABELS,0))</f>
        <v>84</v>
      </c>
      <c r="I117">
        <f ca="1">IF(T_LEAVE[[#This Row],[EMPLOYEE]]="","",MATCH(T_LEAVE[[#This Row],[LEAVE TYPE]],L_LEAVETYPES,0))</f>
        <v>7</v>
      </c>
      <c r="J117" t="str" cm="1">
        <f t="array" aca="1" ref="J117" ca="1">IFERROR(INDEX(T_LEAVE_TYPES[SYMBOL],T_LEAVE[[#This Row],[LEAVE TYPE SYS ID]]),"")</f>
        <v>C</v>
      </c>
      <c r="K117">
        <f ca="1">IF(T_LEAVE[[#This Row],[EMPLOYEE]]="","",IF(T_LEAVE[[#This Row],[ERROR]]="",0,1))</f>
        <v>0</v>
      </c>
      <c r="L117" t="str" cm="1">
        <f t="array" aca="1" ref="L11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8" spans="1:12">
      <c r="A118" t="s">
        <v>1906</v>
      </c>
      <c r="B118" s="15" t="s">
        <v>2025</v>
      </c>
      <c r="C118" s="15" t="s">
        <v>2025</v>
      </c>
      <c r="D118" t="s">
        <v>98</v>
      </c>
      <c r="E118">
        <v>1</v>
      </c>
      <c r="F118" s="1"/>
      <c r="G118" s="1"/>
      <c r="H118">
        <f ca="1">IF(T_LEAVE[[#This Row],[EMPLOYEE]]="","",MATCH(T_LEAVE[[#This Row],[EMPLOYEE]],L_EMPLABELS,0))</f>
        <v>509</v>
      </c>
      <c r="I118">
        <f ca="1">IF(T_LEAVE[[#This Row],[EMPLOYEE]]="","",MATCH(T_LEAVE[[#This Row],[LEAVE TYPE]],L_LEAVETYPES,0))</f>
        <v>7</v>
      </c>
      <c r="J118" t="str" cm="1">
        <f t="array" aca="1" ref="J118" ca="1">IFERROR(INDEX(T_LEAVE_TYPES[SYMBOL],T_LEAVE[[#This Row],[LEAVE TYPE SYS ID]]),"")</f>
        <v>C</v>
      </c>
      <c r="K118">
        <f ca="1">IF(T_LEAVE[[#This Row],[EMPLOYEE]]="","",IF(T_LEAVE[[#This Row],[ERROR]]="",0,1))</f>
        <v>0</v>
      </c>
      <c r="L118" t="str" cm="1">
        <f t="array" aca="1" ref="L11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9" spans="1:12">
      <c r="A119" t="s">
        <v>2027</v>
      </c>
      <c r="B119" s="15" t="s">
        <v>2028</v>
      </c>
      <c r="C119" s="15" t="s">
        <v>2028</v>
      </c>
      <c r="D119" t="s">
        <v>92</v>
      </c>
      <c r="E119">
        <v>1</v>
      </c>
      <c r="F119" s="1"/>
      <c r="G119" s="1"/>
      <c r="H119">
        <f ca="1">IF(T_LEAVE[[#This Row],[EMPLOYEE]]="","",MATCH(T_LEAVE[[#This Row],[EMPLOYEE]],L_EMPLABELS,0))</f>
        <v>101</v>
      </c>
      <c r="I119">
        <f ca="1">IF(T_LEAVE[[#This Row],[EMPLOYEE]]="","",MATCH(T_LEAVE[[#This Row],[LEAVE TYPE]],L_LEAVETYPES,0))</f>
        <v>6</v>
      </c>
      <c r="J119" t="str" cm="1">
        <f t="array" aca="1" ref="J119" ca="1">IFERROR(INDEX(T_LEAVE_TYPES[SYMBOL],T_LEAVE[[#This Row],[LEAVE TYPE SYS ID]]),"")</f>
        <v>PR</v>
      </c>
      <c r="K119">
        <f ca="1">IF(T_LEAVE[[#This Row],[EMPLOYEE]]="","",IF(T_LEAVE[[#This Row],[ERROR]]="",0,1))</f>
        <v>0</v>
      </c>
      <c r="L119" t="str" cm="1">
        <f t="array" aca="1" ref="L11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0" spans="1:12">
      <c r="A120" t="s">
        <v>2004</v>
      </c>
      <c r="B120" s="15" t="s">
        <v>2029</v>
      </c>
      <c r="C120" s="15" t="s">
        <v>2029</v>
      </c>
      <c r="D120" t="s">
        <v>98</v>
      </c>
      <c r="E120">
        <v>1</v>
      </c>
      <c r="F120" s="1"/>
      <c r="G120" s="1"/>
      <c r="H120">
        <f ca="1">IF(T_LEAVE[[#This Row],[EMPLOYEE]]="","",MATCH(T_LEAVE[[#This Row],[EMPLOYEE]],L_EMPLABELS,0))</f>
        <v>400</v>
      </c>
      <c r="I120">
        <f ca="1">IF(T_LEAVE[[#This Row],[EMPLOYEE]]="","",MATCH(T_LEAVE[[#This Row],[LEAVE TYPE]],L_LEAVETYPES,0))</f>
        <v>7</v>
      </c>
      <c r="J120" t="str" cm="1">
        <f t="array" aca="1" ref="J120" ca="1">IFERROR(INDEX(T_LEAVE_TYPES[SYMBOL],T_LEAVE[[#This Row],[LEAVE TYPE SYS ID]]),"")</f>
        <v>C</v>
      </c>
      <c r="K120">
        <f ca="1">IF(T_LEAVE[[#This Row],[EMPLOYEE]]="","",IF(T_LEAVE[[#This Row],[ERROR]]="",0,1))</f>
        <v>0</v>
      </c>
      <c r="L120" t="str" cm="1">
        <f t="array" aca="1" ref="L12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1" spans="1:12">
      <c r="A121" t="s">
        <v>2030</v>
      </c>
      <c r="B121" s="15" t="s">
        <v>2024</v>
      </c>
      <c r="C121" s="15" t="s">
        <v>1983</v>
      </c>
      <c r="D121" t="s">
        <v>92</v>
      </c>
      <c r="E121">
        <v>22</v>
      </c>
      <c r="F121" s="1"/>
      <c r="G121" s="1"/>
      <c r="H121">
        <f ca="1">IF(T_LEAVE[[#This Row],[EMPLOYEE]]="","",MATCH(T_LEAVE[[#This Row],[EMPLOYEE]],L_EMPLABELS,0))</f>
        <v>314</v>
      </c>
      <c r="I121">
        <f ca="1">IF(T_LEAVE[[#This Row],[EMPLOYEE]]="","",MATCH(T_LEAVE[[#This Row],[LEAVE TYPE]],L_LEAVETYPES,0))</f>
        <v>6</v>
      </c>
      <c r="J121" t="str" cm="1">
        <f t="array" aca="1" ref="J121" ca="1">IFERROR(INDEX(T_LEAVE_TYPES[SYMBOL],T_LEAVE[[#This Row],[LEAVE TYPE SYS ID]]),"")</f>
        <v>PR</v>
      </c>
      <c r="K121">
        <f ca="1">IF(T_LEAVE[[#This Row],[EMPLOYEE]]="","",IF(T_LEAVE[[#This Row],[ERROR]]="",0,1))</f>
        <v>0</v>
      </c>
      <c r="L121" t="str" cm="1">
        <f t="array" aca="1" ref="L12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2" spans="1:12">
      <c r="A122" t="s">
        <v>2020</v>
      </c>
      <c r="B122" s="15" t="s">
        <v>2031</v>
      </c>
      <c r="C122" s="15" t="s">
        <v>2032</v>
      </c>
      <c r="D122" t="s">
        <v>98</v>
      </c>
      <c r="E122">
        <v>2</v>
      </c>
      <c r="F122" s="1"/>
      <c r="G122" s="1"/>
      <c r="H122">
        <f ca="1">IF(T_LEAVE[[#This Row],[EMPLOYEE]]="","",MATCH(T_LEAVE[[#This Row],[EMPLOYEE]],L_EMPLABELS,0))</f>
        <v>84</v>
      </c>
      <c r="I122">
        <f ca="1">IF(T_LEAVE[[#This Row],[EMPLOYEE]]="","",MATCH(T_LEAVE[[#This Row],[LEAVE TYPE]],L_LEAVETYPES,0))</f>
        <v>7</v>
      </c>
      <c r="J122" t="str" cm="1">
        <f t="array" aca="1" ref="J122" ca="1">IFERROR(INDEX(T_LEAVE_TYPES[SYMBOL],T_LEAVE[[#This Row],[LEAVE TYPE SYS ID]]),"")</f>
        <v>C</v>
      </c>
      <c r="K122">
        <f ca="1">IF(T_LEAVE[[#This Row],[EMPLOYEE]]="","",IF(T_LEAVE[[#This Row],[ERROR]]="",0,1))</f>
        <v>0</v>
      </c>
      <c r="L122" t="str" cm="1">
        <f t="array" aca="1" ref="L12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3" spans="1:12">
      <c r="A123" t="s">
        <v>2033</v>
      </c>
      <c r="B123" s="15" t="s">
        <v>1921</v>
      </c>
      <c r="C123" s="15" t="s">
        <v>1921</v>
      </c>
      <c r="D123" t="s">
        <v>98</v>
      </c>
      <c r="E123">
        <v>1</v>
      </c>
      <c r="F123" s="1"/>
      <c r="G123" s="1"/>
      <c r="H123">
        <f ca="1">IF(T_LEAVE[[#This Row],[EMPLOYEE]]="","",MATCH(T_LEAVE[[#This Row],[EMPLOYEE]],L_EMPLABELS,0))</f>
        <v>437</v>
      </c>
      <c r="I123">
        <f ca="1">IF(T_LEAVE[[#This Row],[EMPLOYEE]]="","",MATCH(T_LEAVE[[#This Row],[LEAVE TYPE]],L_LEAVETYPES,0))</f>
        <v>7</v>
      </c>
      <c r="J123" t="str" cm="1">
        <f t="array" aca="1" ref="J123" ca="1">IFERROR(INDEX(T_LEAVE_TYPES[SYMBOL],T_LEAVE[[#This Row],[LEAVE TYPE SYS ID]]),"")</f>
        <v>C</v>
      </c>
      <c r="K123">
        <f ca="1">IF(T_LEAVE[[#This Row],[EMPLOYEE]]="","",IF(T_LEAVE[[#This Row],[ERROR]]="",0,1))</f>
        <v>0</v>
      </c>
      <c r="L123" t="str" cm="1">
        <f t="array" aca="1" ref="L12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4" spans="1:12">
      <c r="A124" t="s">
        <v>2005</v>
      </c>
      <c r="B124" s="15" t="s">
        <v>2034</v>
      </c>
      <c r="C124" s="15" t="s">
        <v>2034</v>
      </c>
      <c r="D124" t="s">
        <v>98</v>
      </c>
      <c r="E124">
        <v>1</v>
      </c>
      <c r="F124" s="1"/>
      <c r="G124" s="1"/>
      <c r="H124">
        <f ca="1">IF(T_LEAVE[[#This Row],[EMPLOYEE]]="","",MATCH(T_LEAVE[[#This Row],[EMPLOYEE]],L_EMPLABELS,0))</f>
        <v>384</v>
      </c>
      <c r="I124">
        <f ca="1">IF(T_LEAVE[[#This Row],[EMPLOYEE]]="","",MATCH(T_LEAVE[[#This Row],[LEAVE TYPE]],L_LEAVETYPES,0))</f>
        <v>7</v>
      </c>
      <c r="J124" t="str" cm="1">
        <f t="array" aca="1" ref="J124" ca="1">IFERROR(INDEX(T_LEAVE_TYPES[SYMBOL],T_LEAVE[[#This Row],[LEAVE TYPE SYS ID]]),"")</f>
        <v>C</v>
      </c>
      <c r="K124">
        <f ca="1">IF(T_LEAVE[[#This Row],[EMPLOYEE]]="","",IF(T_LEAVE[[#This Row],[ERROR]]="",0,1))</f>
        <v>0</v>
      </c>
      <c r="L124" t="str" cm="1">
        <f t="array" aca="1" ref="L12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5" spans="1:12">
      <c r="A125" t="s">
        <v>2033</v>
      </c>
      <c r="B125" s="15" t="s">
        <v>2035</v>
      </c>
      <c r="C125" s="15" t="s">
        <v>2035</v>
      </c>
      <c r="D125" t="s">
        <v>98</v>
      </c>
      <c r="E125">
        <v>1</v>
      </c>
      <c r="F125" s="1"/>
      <c r="G125" s="1"/>
      <c r="H125">
        <f ca="1">IF(T_LEAVE[[#This Row],[EMPLOYEE]]="","",MATCH(T_LEAVE[[#This Row],[EMPLOYEE]],L_EMPLABELS,0))</f>
        <v>437</v>
      </c>
      <c r="I125">
        <f ca="1">IF(T_LEAVE[[#This Row],[EMPLOYEE]]="","",MATCH(T_LEAVE[[#This Row],[LEAVE TYPE]],L_LEAVETYPES,0))</f>
        <v>7</v>
      </c>
      <c r="J125" t="str" cm="1">
        <f t="array" aca="1" ref="J125" ca="1">IFERROR(INDEX(T_LEAVE_TYPES[SYMBOL],T_LEAVE[[#This Row],[LEAVE TYPE SYS ID]]),"")</f>
        <v>C</v>
      </c>
      <c r="K125">
        <f ca="1">IF(T_LEAVE[[#This Row],[EMPLOYEE]]="","",IF(T_LEAVE[[#This Row],[ERROR]]="",0,1))</f>
        <v>0</v>
      </c>
      <c r="L125" t="str" cm="1">
        <f t="array" aca="1" ref="L12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6" spans="1:12">
      <c r="A126" t="s">
        <v>2004</v>
      </c>
      <c r="B126" s="15" t="s">
        <v>2036</v>
      </c>
      <c r="C126" s="15" t="s">
        <v>2036</v>
      </c>
      <c r="D126" t="s">
        <v>92</v>
      </c>
      <c r="E126">
        <v>1</v>
      </c>
      <c r="F126" s="1"/>
      <c r="G126" s="1"/>
      <c r="H126">
        <f ca="1">IF(T_LEAVE[[#This Row],[EMPLOYEE]]="","",MATCH(T_LEAVE[[#This Row],[EMPLOYEE]],L_EMPLABELS,0))</f>
        <v>400</v>
      </c>
      <c r="I126">
        <f ca="1">IF(T_LEAVE[[#This Row],[EMPLOYEE]]="","",MATCH(T_LEAVE[[#This Row],[LEAVE TYPE]],L_LEAVETYPES,0))</f>
        <v>6</v>
      </c>
      <c r="J126" t="str" cm="1">
        <f t="array" aca="1" ref="J126" ca="1">IFERROR(INDEX(T_LEAVE_TYPES[SYMBOL],T_LEAVE[[#This Row],[LEAVE TYPE SYS ID]]),"")</f>
        <v>PR</v>
      </c>
      <c r="K126">
        <f ca="1">IF(T_LEAVE[[#This Row],[EMPLOYEE]]="","",IF(T_LEAVE[[#This Row],[ERROR]]="",0,1))</f>
        <v>0</v>
      </c>
      <c r="L126" t="str" cm="1">
        <f t="array" aca="1" ref="L12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7" spans="1:12">
      <c r="A127" t="s">
        <v>1910</v>
      </c>
      <c r="B127" s="15" t="s">
        <v>1962</v>
      </c>
      <c r="C127" s="15" t="s">
        <v>1962</v>
      </c>
      <c r="D127" t="s">
        <v>98</v>
      </c>
      <c r="E127">
        <v>1</v>
      </c>
      <c r="F127" s="1"/>
      <c r="G127" s="1"/>
      <c r="H127">
        <f ca="1">IF(T_LEAVE[[#This Row],[EMPLOYEE]]="","",MATCH(T_LEAVE[[#This Row],[EMPLOYEE]],L_EMPLABELS,0))</f>
        <v>493</v>
      </c>
      <c r="I127">
        <f ca="1">IF(T_LEAVE[[#This Row],[EMPLOYEE]]="","",MATCH(T_LEAVE[[#This Row],[LEAVE TYPE]],L_LEAVETYPES,0))</f>
        <v>7</v>
      </c>
      <c r="J127" t="str" cm="1">
        <f t="array" aca="1" ref="J127" ca="1">IFERROR(INDEX(T_LEAVE_TYPES[SYMBOL],T_LEAVE[[#This Row],[LEAVE TYPE SYS ID]]),"")</f>
        <v>C</v>
      </c>
      <c r="K127">
        <f ca="1">IF(T_LEAVE[[#This Row],[EMPLOYEE]]="","",IF(T_LEAVE[[#This Row],[ERROR]]="",0,1))</f>
        <v>0</v>
      </c>
      <c r="L127" t="str" cm="1">
        <f t="array" aca="1" ref="L12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8" spans="1:12">
      <c r="A128" t="s">
        <v>2033</v>
      </c>
      <c r="B128" s="15" t="s">
        <v>1922</v>
      </c>
      <c r="C128" s="15" t="s">
        <v>2029</v>
      </c>
      <c r="D128" t="s">
        <v>98</v>
      </c>
      <c r="E128">
        <v>2</v>
      </c>
      <c r="F128" s="1"/>
      <c r="G128" s="1"/>
      <c r="H128">
        <f ca="1">IF(T_LEAVE[[#This Row],[EMPLOYEE]]="","",MATCH(T_LEAVE[[#This Row],[EMPLOYEE]],L_EMPLABELS,0))</f>
        <v>437</v>
      </c>
      <c r="I128">
        <f ca="1">IF(T_LEAVE[[#This Row],[EMPLOYEE]]="","",MATCH(T_LEAVE[[#This Row],[LEAVE TYPE]],L_LEAVETYPES,0))</f>
        <v>7</v>
      </c>
      <c r="J128" t="str" cm="1">
        <f t="array" aca="1" ref="J128" ca="1">IFERROR(INDEX(T_LEAVE_TYPES[SYMBOL],T_LEAVE[[#This Row],[LEAVE TYPE SYS ID]]),"")</f>
        <v>C</v>
      </c>
      <c r="K128">
        <f ca="1">IF(T_LEAVE[[#This Row],[EMPLOYEE]]="","",IF(T_LEAVE[[#This Row],[ERROR]]="",0,1))</f>
        <v>0</v>
      </c>
      <c r="L128" t="str" cm="1">
        <f t="array" aca="1" ref="L12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9" spans="1:12">
      <c r="A129" t="s">
        <v>2008</v>
      </c>
      <c r="B129" s="15" t="s">
        <v>2002</v>
      </c>
      <c r="C129" s="15" t="s">
        <v>2002</v>
      </c>
      <c r="D129" t="s">
        <v>98</v>
      </c>
      <c r="E129">
        <v>1</v>
      </c>
      <c r="F129" s="1"/>
      <c r="G129" s="1"/>
      <c r="H129">
        <f ca="1">IF(T_LEAVE[[#This Row],[EMPLOYEE]]="","",MATCH(T_LEAVE[[#This Row],[EMPLOYEE]],L_EMPLABELS,0))</f>
        <v>498</v>
      </c>
      <c r="I129">
        <f ca="1">IF(T_LEAVE[[#This Row],[EMPLOYEE]]="","",MATCH(T_LEAVE[[#This Row],[LEAVE TYPE]],L_LEAVETYPES,0))</f>
        <v>7</v>
      </c>
      <c r="J129" t="str" cm="1">
        <f t="array" aca="1" ref="J129" ca="1">IFERROR(INDEX(T_LEAVE_TYPES[SYMBOL],T_LEAVE[[#This Row],[LEAVE TYPE SYS ID]]),"")</f>
        <v>C</v>
      </c>
      <c r="K129">
        <f ca="1">IF(T_LEAVE[[#This Row],[EMPLOYEE]]="","",IF(T_LEAVE[[#This Row],[ERROR]]="",0,1))</f>
        <v>0</v>
      </c>
      <c r="L129" t="str" cm="1">
        <f t="array" aca="1" ref="L12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0" spans="1:12">
      <c r="A130" t="s">
        <v>2008</v>
      </c>
      <c r="B130" s="15" t="s">
        <v>1962</v>
      </c>
      <c r="C130" s="15" t="s">
        <v>1962</v>
      </c>
      <c r="D130" t="s">
        <v>98</v>
      </c>
      <c r="E130">
        <v>1</v>
      </c>
      <c r="F130" s="1"/>
      <c r="G130" s="1"/>
      <c r="H130">
        <f ca="1">IF(T_LEAVE[[#This Row],[EMPLOYEE]]="","",MATCH(T_LEAVE[[#This Row],[EMPLOYEE]],L_EMPLABELS,0))</f>
        <v>498</v>
      </c>
      <c r="I130">
        <f ca="1">IF(T_LEAVE[[#This Row],[EMPLOYEE]]="","",MATCH(T_LEAVE[[#This Row],[LEAVE TYPE]],L_LEAVETYPES,0))</f>
        <v>7</v>
      </c>
      <c r="J130" t="str" cm="1">
        <f t="array" aca="1" ref="J130" ca="1">IFERROR(INDEX(T_LEAVE_TYPES[SYMBOL],T_LEAVE[[#This Row],[LEAVE TYPE SYS ID]]),"")</f>
        <v>C</v>
      </c>
      <c r="K130">
        <f ca="1">IF(T_LEAVE[[#This Row],[EMPLOYEE]]="","",IF(T_LEAVE[[#This Row],[ERROR]]="",0,1))</f>
        <v>0</v>
      </c>
      <c r="L130" t="str" cm="1">
        <f t="array" aca="1" ref="L13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1" spans="1:12">
      <c r="A131" t="s">
        <v>1986</v>
      </c>
      <c r="B131" s="15" t="s">
        <v>2002</v>
      </c>
      <c r="C131" s="15" t="s">
        <v>2002</v>
      </c>
      <c r="D131" t="s">
        <v>98</v>
      </c>
      <c r="E131">
        <v>1</v>
      </c>
      <c r="F131" s="1"/>
      <c r="G131" s="1"/>
      <c r="H131">
        <f ca="1">IF(T_LEAVE[[#This Row],[EMPLOYEE]]="","",MATCH(T_LEAVE[[#This Row],[EMPLOYEE]],L_EMPLABELS,0))</f>
        <v>499</v>
      </c>
      <c r="I131">
        <f ca="1">IF(T_LEAVE[[#This Row],[EMPLOYEE]]="","",MATCH(T_LEAVE[[#This Row],[LEAVE TYPE]],L_LEAVETYPES,0))</f>
        <v>7</v>
      </c>
      <c r="J131" t="str" cm="1">
        <f t="array" aca="1" ref="J131" ca="1">IFERROR(INDEX(T_LEAVE_TYPES[SYMBOL],T_LEAVE[[#This Row],[LEAVE TYPE SYS ID]]),"")</f>
        <v>C</v>
      </c>
      <c r="K131">
        <f ca="1">IF(T_LEAVE[[#This Row],[EMPLOYEE]]="","",IF(T_LEAVE[[#This Row],[ERROR]]="",0,1))</f>
        <v>0</v>
      </c>
      <c r="L131" t="str" cm="1">
        <f t="array" aca="1" ref="L13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2" spans="1:12">
      <c r="A132" t="s">
        <v>2037</v>
      </c>
      <c r="B132" s="15" t="s">
        <v>2036</v>
      </c>
      <c r="C132" s="15" t="s">
        <v>1990</v>
      </c>
      <c r="D132" t="s">
        <v>98</v>
      </c>
      <c r="E132">
        <v>5</v>
      </c>
      <c r="F132" s="1"/>
      <c r="G132" s="1"/>
      <c r="H132">
        <f ca="1">IF(T_LEAVE[[#This Row],[EMPLOYEE]]="","",MATCH(T_LEAVE[[#This Row],[EMPLOYEE]],L_EMPLABELS,0))</f>
        <v>517</v>
      </c>
      <c r="I132">
        <f ca="1">IF(T_LEAVE[[#This Row],[EMPLOYEE]]="","",MATCH(T_LEAVE[[#This Row],[LEAVE TYPE]],L_LEAVETYPES,0))</f>
        <v>7</v>
      </c>
      <c r="J132" t="str" cm="1">
        <f t="array" aca="1" ref="J132" ca="1">IFERROR(INDEX(T_LEAVE_TYPES[SYMBOL],T_LEAVE[[#This Row],[LEAVE TYPE SYS ID]]),"")</f>
        <v>C</v>
      </c>
      <c r="K132">
        <f ca="1">IF(T_LEAVE[[#This Row],[EMPLOYEE]]="","",IF(T_LEAVE[[#This Row],[ERROR]]="",0,1))</f>
        <v>0</v>
      </c>
      <c r="L132" t="str" cm="1">
        <f t="array" aca="1" ref="L13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3" spans="1:12">
      <c r="A133" t="s">
        <v>1950</v>
      </c>
      <c r="B133" s="15" t="s">
        <v>2025</v>
      </c>
      <c r="C133" s="15" t="s">
        <v>2025</v>
      </c>
      <c r="D133" t="s">
        <v>98</v>
      </c>
      <c r="E133">
        <v>1</v>
      </c>
      <c r="F133" s="1"/>
      <c r="G133" s="1"/>
      <c r="H133">
        <f ca="1">IF(T_LEAVE[[#This Row],[EMPLOYEE]]="","",MATCH(T_LEAVE[[#This Row],[EMPLOYEE]],L_EMPLABELS,0))</f>
        <v>290</v>
      </c>
      <c r="I133">
        <f ca="1">IF(T_LEAVE[[#This Row],[EMPLOYEE]]="","",MATCH(T_LEAVE[[#This Row],[LEAVE TYPE]],L_LEAVETYPES,0))</f>
        <v>7</v>
      </c>
      <c r="J133" t="str" cm="1">
        <f t="array" aca="1" ref="J133" ca="1">IFERROR(INDEX(T_LEAVE_TYPES[SYMBOL],T_LEAVE[[#This Row],[LEAVE TYPE SYS ID]]),"")</f>
        <v>C</v>
      </c>
      <c r="K133">
        <f ca="1">IF(T_LEAVE[[#This Row],[EMPLOYEE]]="","",IF(T_LEAVE[[#This Row],[ERROR]]="",0,1))</f>
        <v>0</v>
      </c>
      <c r="L133" t="str" cm="1">
        <f t="array" aca="1" ref="L13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4" spans="1:12">
      <c r="A134" t="s">
        <v>2038</v>
      </c>
      <c r="B134" s="15" t="s">
        <v>2025</v>
      </c>
      <c r="C134" s="15" t="s">
        <v>2025</v>
      </c>
      <c r="D134" t="s">
        <v>98</v>
      </c>
      <c r="E134">
        <v>1</v>
      </c>
      <c r="F134" s="1"/>
      <c r="G134" s="1"/>
      <c r="H134">
        <f ca="1">IF(T_LEAVE[[#This Row],[EMPLOYEE]]="","",MATCH(T_LEAVE[[#This Row],[EMPLOYEE]],L_EMPLABELS,0))</f>
        <v>363</v>
      </c>
      <c r="I134">
        <f ca="1">IF(T_LEAVE[[#This Row],[EMPLOYEE]]="","",MATCH(T_LEAVE[[#This Row],[LEAVE TYPE]],L_LEAVETYPES,0))</f>
        <v>7</v>
      </c>
      <c r="J134" t="str" cm="1">
        <f t="array" aca="1" ref="J134" ca="1">IFERROR(INDEX(T_LEAVE_TYPES[SYMBOL],T_LEAVE[[#This Row],[LEAVE TYPE SYS ID]]),"")</f>
        <v>C</v>
      </c>
      <c r="K134">
        <f ca="1">IF(T_LEAVE[[#This Row],[EMPLOYEE]]="","",IF(T_LEAVE[[#This Row],[ERROR]]="",0,1))</f>
        <v>0</v>
      </c>
      <c r="L134" t="str" cm="1">
        <f t="array" aca="1" ref="L13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5" spans="1:12">
      <c r="A135" t="s">
        <v>1982</v>
      </c>
      <c r="B135" s="15" t="s">
        <v>2036</v>
      </c>
      <c r="C135" s="15" t="s">
        <v>2024</v>
      </c>
      <c r="D135" t="s">
        <v>92</v>
      </c>
      <c r="E135">
        <v>2</v>
      </c>
      <c r="F135" s="1"/>
      <c r="G135" s="1"/>
      <c r="H135">
        <f ca="1">IF(T_LEAVE[[#This Row],[EMPLOYEE]]="","",MATCH(T_LEAVE[[#This Row],[EMPLOYEE]],L_EMPLABELS,0))</f>
        <v>353</v>
      </c>
      <c r="I135">
        <f ca="1">IF(T_LEAVE[[#This Row],[EMPLOYEE]]="","",MATCH(T_LEAVE[[#This Row],[LEAVE TYPE]],L_LEAVETYPES,0))</f>
        <v>6</v>
      </c>
      <c r="J135" t="str" cm="1">
        <f t="array" aca="1" ref="J135" ca="1">IFERROR(INDEX(T_LEAVE_TYPES[SYMBOL],T_LEAVE[[#This Row],[LEAVE TYPE SYS ID]]),"")</f>
        <v>PR</v>
      </c>
      <c r="K135">
        <f ca="1">IF(T_LEAVE[[#This Row],[EMPLOYEE]]="","",IF(T_LEAVE[[#This Row],[ERROR]]="",0,1))</f>
        <v>0</v>
      </c>
      <c r="L135" t="str" cm="1">
        <f t="array" aca="1" ref="L13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6" spans="1:12">
      <c r="A136" t="s">
        <v>2003</v>
      </c>
      <c r="B136" s="15" t="s">
        <v>2025</v>
      </c>
      <c r="C136" s="15" t="s">
        <v>2025</v>
      </c>
      <c r="D136" t="s">
        <v>98</v>
      </c>
      <c r="E136">
        <v>1</v>
      </c>
      <c r="F136" s="1"/>
      <c r="G136" s="1"/>
      <c r="H136">
        <f ca="1">IF(T_LEAVE[[#This Row],[EMPLOYEE]]="","",MATCH(T_LEAVE[[#This Row],[EMPLOYEE]],L_EMPLABELS,0))</f>
        <v>459</v>
      </c>
      <c r="I136">
        <f ca="1">IF(T_LEAVE[[#This Row],[EMPLOYEE]]="","",MATCH(T_LEAVE[[#This Row],[LEAVE TYPE]],L_LEAVETYPES,0))</f>
        <v>7</v>
      </c>
      <c r="J136" t="str" cm="1">
        <f t="array" aca="1" ref="J136" ca="1">IFERROR(INDEX(T_LEAVE_TYPES[SYMBOL],T_LEAVE[[#This Row],[LEAVE TYPE SYS ID]]),"")</f>
        <v>C</v>
      </c>
      <c r="K136">
        <f ca="1">IF(T_LEAVE[[#This Row],[EMPLOYEE]]="","",IF(T_LEAVE[[#This Row],[ERROR]]="",0,1))</f>
        <v>0</v>
      </c>
      <c r="L136" t="str" cm="1">
        <f t="array" aca="1" ref="L13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7" spans="1:12">
      <c r="A137" t="s">
        <v>1909</v>
      </c>
      <c r="B137" s="15" t="s">
        <v>2039</v>
      </c>
      <c r="C137" s="15" t="s">
        <v>2039</v>
      </c>
      <c r="D137" t="s">
        <v>92</v>
      </c>
      <c r="E137">
        <v>1</v>
      </c>
      <c r="F137" s="1"/>
      <c r="G137" s="1"/>
      <c r="H137">
        <f ca="1">IF(T_LEAVE[[#This Row],[EMPLOYEE]]="","",MATCH(T_LEAVE[[#This Row],[EMPLOYEE]],L_EMPLABELS,0))</f>
        <v>214</v>
      </c>
      <c r="I137">
        <f ca="1">IF(T_LEAVE[[#This Row],[EMPLOYEE]]="","",MATCH(T_LEAVE[[#This Row],[LEAVE TYPE]],L_LEAVETYPES,0))</f>
        <v>6</v>
      </c>
      <c r="J137" t="str" cm="1">
        <f t="array" aca="1" ref="J137" ca="1">IFERROR(INDEX(T_LEAVE_TYPES[SYMBOL],T_LEAVE[[#This Row],[LEAVE TYPE SYS ID]]),"")</f>
        <v>PR</v>
      </c>
      <c r="K137">
        <f ca="1">IF(T_LEAVE[[#This Row],[EMPLOYEE]]="","",IF(T_LEAVE[[#This Row],[ERROR]]="",0,1))</f>
        <v>0</v>
      </c>
      <c r="L137" t="str" cm="1">
        <f t="array" aca="1" ref="L13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8" spans="1:12">
      <c r="A138" t="s">
        <v>1978</v>
      </c>
      <c r="B138" s="15" t="s">
        <v>2025</v>
      </c>
      <c r="C138" s="15" t="s">
        <v>2025</v>
      </c>
      <c r="D138" t="s">
        <v>92</v>
      </c>
      <c r="E138">
        <v>1</v>
      </c>
      <c r="F138" s="1"/>
      <c r="G138" s="1"/>
      <c r="H138">
        <f ca="1">IF(T_LEAVE[[#This Row],[EMPLOYEE]]="","",MATCH(T_LEAVE[[#This Row],[EMPLOYEE]],L_EMPLABELS,0))</f>
        <v>351</v>
      </c>
      <c r="I138">
        <f ca="1">IF(T_LEAVE[[#This Row],[EMPLOYEE]]="","",MATCH(T_LEAVE[[#This Row],[LEAVE TYPE]],L_LEAVETYPES,0))</f>
        <v>6</v>
      </c>
      <c r="J138" t="str" cm="1">
        <f t="array" aca="1" ref="J138" ca="1">IFERROR(INDEX(T_LEAVE_TYPES[SYMBOL],T_LEAVE[[#This Row],[LEAVE TYPE SYS ID]]),"")</f>
        <v>PR</v>
      </c>
      <c r="K138">
        <f ca="1">IF(T_LEAVE[[#This Row],[EMPLOYEE]]="","",IF(T_LEAVE[[#This Row],[ERROR]]="",0,1))</f>
        <v>0</v>
      </c>
      <c r="L138" t="str" cm="1">
        <f t="array" aca="1" ref="L13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9" spans="1:12">
      <c r="A139" t="s">
        <v>1909</v>
      </c>
      <c r="B139" s="15" t="s">
        <v>2040</v>
      </c>
      <c r="C139" s="15" t="s">
        <v>2041</v>
      </c>
      <c r="D139" t="s">
        <v>92</v>
      </c>
      <c r="E139">
        <v>4</v>
      </c>
      <c r="F139" s="1"/>
      <c r="G139" s="1"/>
      <c r="H139">
        <f ca="1">IF(T_LEAVE[[#This Row],[EMPLOYEE]]="","",MATCH(T_LEAVE[[#This Row],[EMPLOYEE]],L_EMPLABELS,0))</f>
        <v>214</v>
      </c>
      <c r="I139">
        <f ca="1">IF(T_LEAVE[[#This Row],[EMPLOYEE]]="","",MATCH(T_LEAVE[[#This Row],[LEAVE TYPE]],L_LEAVETYPES,0))</f>
        <v>6</v>
      </c>
      <c r="J139" t="str" cm="1">
        <f t="array" aca="1" ref="J139" ca="1">IFERROR(INDEX(T_LEAVE_TYPES[SYMBOL],T_LEAVE[[#This Row],[LEAVE TYPE SYS ID]]),"")</f>
        <v>PR</v>
      </c>
      <c r="K139">
        <f ca="1">IF(T_LEAVE[[#This Row],[EMPLOYEE]]="","",IF(T_LEAVE[[#This Row],[ERROR]]="",0,1))</f>
        <v>0</v>
      </c>
      <c r="L139" t="str" cm="1">
        <f t="array" aca="1" ref="L13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0" spans="1:12">
      <c r="A140" t="s">
        <v>1909</v>
      </c>
      <c r="B140" s="15" t="s">
        <v>2042</v>
      </c>
      <c r="C140" s="15" t="s">
        <v>2042</v>
      </c>
      <c r="D140" t="s">
        <v>98</v>
      </c>
      <c r="E140">
        <v>1</v>
      </c>
      <c r="F140" s="1"/>
      <c r="G140" s="1"/>
      <c r="H140">
        <f ca="1">IF(T_LEAVE[[#This Row],[EMPLOYEE]]="","",MATCH(T_LEAVE[[#This Row],[EMPLOYEE]],L_EMPLABELS,0))</f>
        <v>214</v>
      </c>
      <c r="I140">
        <f ca="1">IF(T_LEAVE[[#This Row],[EMPLOYEE]]="","",MATCH(T_LEAVE[[#This Row],[LEAVE TYPE]],L_LEAVETYPES,0))</f>
        <v>7</v>
      </c>
      <c r="J140" t="str" cm="1">
        <f t="array" aca="1" ref="J140" ca="1">IFERROR(INDEX(T_LEAVE_TYPES[SYMBOL],T_LEAVE[[#This Row],[LEAVE TYPE SYS ID]]),"")</f>
        <v>C</v>
      </c>
      <c r="K140">
        <f ca="1">IF(T_LEAVE[[#This Row],[EMPLOYEE]]="","",IF(T_LEAVE[[#This Row],[ERROR]]="",0,1))</f>
        <v>0</v>
      </c>
      <c r="L140" t="str" cm="1">
        <f t="array" aca="1" ref="L14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1" spans="1:12">
      <c r="A141" t="s">
        <v>1909</v>
      </c>
      <c r="B141" s="15" t="s">
        <v>2043</v>
      </c>
      <c r="C141" s="15" t="s">
        <v>2043</v>
      </c>
      <c r="D141" t="s">
        <v>98</v>
      </c>
      <c r="E141">
        <v>1</v>
      </c>
      <c r="F141" s="1"/>
      <c r="G141" s="1"/>
      <c r="H141">
        <f ca="1">IF(T_LEAVE[[#This Row],[EMPLOYEE]]="","",MATCH(T_LEAVE[[#This Row],[EMPLOYEE]],L_EMPLABELS,0))</f>
        <v>214</v>
      </c>
      <c r="I141">
        <f ca="1">IF(T_LEAVE[[#This Row],[EMPLOYEE]]="","",MATCH(T_LEAVE[[#This Row],[LEAVE TYPE]],L_LEAVETYPES,0))</f>
        <v>7</v>
      </c>
      <c r="J141" t="str" cm="1">
        <f t="array" aca="1" ref="J141" ca="1">IFERROR(INDEX(T_LEAVE_TYPES[SYMBOL],T_LEAVE[[#This Row],[LEAVE TYPE SYS ID]]),"")</f>
        <v>C</v>
      </c>
      <c r="K141">
        <f ca="1">IF(T_LEAVE[[#This Row],[EMPLOYEE]]="","",IF(T_LEAVE[[#This Row],[ERROR]]="",0,1))</f>
        <v>0</v>
      </c>
      <c r="L141" t="str" cm="1">
        <f t="array" aca="1" ref="L14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2" spans="1:12">
      <c r="A142" t="s">
        <v>1909</v>
      </c>
      <c r="B142" s="15" t="s">
        <v>2044</v>
      </c>
      <c r="C142" s="15" t="s">
        <v>2044</v>
      </c>
      <c r="D142" t="s">
        <v>98</v>
      </c>
      <c r="E142">
        <v>1</v>
      </c>
      <c r="F142" s="1"/>
      <c r="G142" s="1"/>
      <c r="H142">
        <f ca="1">IF(T_LEAVE[[#This Row],[EMPLOYEE]]="","",MATCH(T_LEAVE[[#This Row],[EMPLOYEE]],L_EMPLABELS,0))</f>
        <v>214</v>
      </c>
      <c r="I142">
        <f ca="1">IF(T_LEAVE[[#This Row],[EMPLOYEE]]="","",MATCH(T_LEAVE[[#This Row],[LEAVE TYPE]],L_LEAVETYPES,0))</f>
        <v>7</v>
      </c>
      <c r="J142" t="str" cm="1">
        <f t="array" aca="1" ref="J142" ca="1">IFERROR(INDEX(T_LEAVE_TYPES[SYMBOL],T_LEAVE[[#This Row],[LEAVE TYPE SYS ID]]),"")</f>
        <v>C</v>
      </c>
      <c r="K142">
        <f ca="1">IF(T_LEAVE[[#This Row],[EMPLOYEE]]="","",IF(T_LEAVE[[#This Row],[ERROR]]="",0,1))</f>
        <v>0</v>
      </c>
      <c r="L142" t="str" cm="1">
        <f t="array" aca="1" ref="L14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3" spans="1:12">
      <c r="A143" t="s">
        <v>1909</v>
      </c>
      <c r="B143" s="15" t="s">
        <v>2045</v>
      </c>
      <c r="C143" s="15" t="s">
        <v>2045</v>
      </c>
      <c r="D143" t="s">
        <v>98</v>
      </c>
      <c r="E143">
        <v>1</v>
      </c>
      <c r="F143" s="1"/>
      <c r="G143" s="1"/>
      <c r="H143">
        <f ca="1">IF(T_LEAVE[[#This Row],[EMPLOYEE]]="","",MATCH(T_LEAVE[[#This Row],[EMPLOYEE]],L_EMPLABELS,0))</f>
        <v>214</v>
      </c>
      <c r="I143">
        <f ca="1">IF(T_LEAVE[[#This Row],[EMPLOYEE]]="","",MATCH(T_LEAVE[[#This Row],[LEAVE TYPE]],L_LEAVETYPES,0))</f>
        <v>7</v>
      </c>
      <c r="J143" t="str" cm="1">
        <f t="array" aca="1" ref="J143" ca="1">IFERROR(INDEX(T_LEAVE_TYPES[SYMBOL],T_LEAVE[[#This Row],[LEAVE TYPE SYS ID]]),"")</f>
        <v>C</v>
      </c>
      <c r="K143">
        <f ca="1">IF(T_LEAVE[[#This Row],[EMPLOYEE]]="","",IF(T_LEAVE[[#This Row],[ERROR]]="",0,1))</f>
        <v>0</v>
      </c>
      <c r="L143" t="str" cm="1">
        <f t="array" aca="1" ref="L14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4" spans="1:12">
      <c r="A144" t="s">
        <v>1909</v>
      </c>
      <c r="B144" s="15" t="s">
        <v>2046</v>
      </c>
      <c r="C144" s="15" t="s">
        <v>2046</v>
      </c>
      <c r="D144" t="s">
        <v>98</v>
      </c>
      <c r="E144">
        <v>1</v>
      </c>
      <c r="F144" s="1"/>
      <c r="G144" s="1"/>
      <c r="H144">
        <f ca="1">IF(T_LEAVE[[#This Row],[EMPLOYEE]]="","",MATCH(T_LEAVE[[#This Row],[EMPLOYEE]],L_EMPLABELS,0))</f>
        <v>214</v>
      </c>
      <c r="I144">
        <f ca="1">IF(T_LEAVE[[#This Row],[EMPLOYEE]]="","",MATCH(T_LEAVE[[#This Row],[LEAVE TYPE]],L_LEAVETYPES,0))</f>
        <v>7</v>
      </c>
      <c r="J144" t="str" cm="1">
        <f t="array" aca="1" ref="J144" ca="1">IFERROR(INDEX(T_LEAVE_TYPES[SYMBOL],T_LEAVE[[#This Row],[LEAVE TYPE SYS ID]]),"")</f>
        <v>C</v>
      </c>
      <c r="K144">
        <f ca="1">IF(T_LEAVE[[#This Row],[EMPLOYEE]]="","",IF(T_LEAVE[[#This Row],[ERROR]]="",0,1))</f>
        <v>0</v>
      </c>
      <c r="L144" t="str" cm="1">
        <f t="array" aca="1" ref="L14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5" spans="1:12">
      <c r="A145" t="s">
        <v>1909</v>
      </c>
      <c r="B145" s="15" t="s">
        <v>2047</v>
      </c>
      <c r="C145" s="15" t="s">
        <v>2047</v>
      </c>
      <c r="D145" t="s">
        <v>98</v>
      </c>
      <c r="E145">
        <v>1</v>
      </c>
      <c r="F145" s="1"/>
      <c r="G145" s="1"/>
      <c r="H145">
        <f ca="1">IF(T_LEAVE[[#This Row],[EMPLOYEE]]="","",MATCH(T_LEAVE[[#This Row],[EMPLOYEE]],L_EMPLABELS,0))</f>
        <v>214</v>
      </c>
      <c r="I145">
        <f ca="1">IF(T_LEAVE[[#This Row],[EMPLOYEE]]="","",MATCH(T_LEAVE[[#This Row],[LEAVE TYPE]],L_LEAVETYPES,0))</f>
        <v>7</v>
      </c>
      <c r="J145" t="str" cm="1">
        <f t="array" aca="1" ref="J145" ca="1">IFERROR(INDEX(T_LEAVE_TYPES[SYMBOL],T_LEAVE[[#This Row],[LEAVE TYPE SYS ID]]),"")</f>
        <v>C</v>
      </c>
      <c r="K145">
        <f ca="1">IF(T_LEAVE[[#This Row],[EMPLOYEE]]="","",IF(T_LEAVE[[#This Row],[ERROR]]="",0,1))</f>
        <v>0</v>
      </c>
      <c r="L145" t="str" cm="1">
        <f t="array" aca="1" ref="L14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6" spans="1:12">
      <c r="A146" t="s">
        <v>1906</v>
      </c>
      <c r="B146" s="15" t="s">
        <v>2048</v>
      </c>
      <c r="C146" s="15" t="s">
        <v>2048</v>
      </c>
      <c r="D146" t="s">
        <v>98</v>
      </c>
      <c r="E146">
        <v>1</v>
      </c>
      <c r="F146" s="1"/>
      <c r="G146" s="1"/>
      <c r="H146">
        <f ca="1">IF(T_LEAVE[[#This Row],[EMPLOYEE]]="","",MATCH(T_LEAVE[[#This Row],[EMPLOYEE]],L_EMPLABELS,0))</f>
        <v>509</v>
      </c>
      <c r="I146">
        <f ca="1">IF(T_LEAVE[[#This Row],[EMPLOYEE]]="","",MATCH(T_LEAVE[[#This Row],[LEAVE TYPE]],L_LEAVETYPES,0))</f>
        <v>7</v>
      </c>
      <c r="J146" t="str" cm="1">
        <f t="array" aca="1" ref="J146" ca="1">IFERROR(INDEX(T_LEAVE_TYPES[SYMBOL],T_LEAVE[[#This Row],[LEAVE TYPE SYS ID]]),"")</f>
        <v>C</v>
      </c>
      <c r="K146">
        <f ca="1">IF(T_LEAVE[[#This Row],[EMPLOYEE]]="","",IF(T_LEAVE[[#This Row],[ERROR]]="",0,1))</f>
        <v>0</v>
      </c>
      <c r="L146" t="str" cm="1">
        <f t="array" aca="1" ref="L14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7" spans="1:12">
      <c r="A147" t="s">
        <v>2033</v>
      </c>
      <c r="B147" s="15" t="s">
        <v>2049</v>
      </c>
      <c r="C147" s="15" t="s">
        <v>1939</v>
      </c>
      <c r="D147" t="s">
        <v>98</v>
      </c>
      <c r="E147">
        <v>2</v>
      </c>
      <c r="F147" s="1"/>
      <c r="G147" s="1"/>
      <c r="H147">
        <f ca="1">IF(T_LEAVE[[#This Row],[EMPLOYEE]]="","",MATCH(T_LEAVE[[#This Row],[EMPLOYEE]],L_EMPLABELS,0))</f>
        <v>437</v>
      </c>
      <c r="I147">
        <f ca="1">IF(T_LEAVE[[#This Row],[EMPLOYEE]]="","",MATCH(T_LEAVE[[#This Row],[LEAVE TYPE]],L_LEAVETYPES,0))</f>
        <v>7</v>
      </c>
      <c r="J147" t="str" cm="1">
        <f t="array" aca="1" ref="J147" ca="1">IFERROR(INDEX(T_LEAVE_TYPES[SYMBOL],T_LEAVE[[#This Row],[LEAVE TYPE SYS ID]]),"")</f>
        <v>C</v>
      </c>
      <c r="K147">
        <f ca="1">IF(T_LEAVE[[#This Row],[EMPLOYEE]]="","",IF(T_LEAVE[[#This Row],[ERROR]]="",0,1))</f>
        <v>0</v>
      </c>
      <c r="L147" t="str" cm="1">
        <f t="array" aca="1" ref="L14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8" spans="1:12">
      <c r="A148" t="s">
        <v>2050</v>
      </c>
      <c r="B148" s="15" t="s">
        <v>1939</v>
      </c>
      <c r="C148" s="15" t="s">
        <v>1939</v>
      </c>
      <c r="D148" t="s">
        <v>92</v>
      </c>
      <c r="E148">
        <v>1</v>
      </c>
      <c r="F148" s="1"/>
      <c r="G148" s="1"/>
      <c r="H148">
        <f ca="1">IF(T_LEAVE[[#This Row],[EMPLOYEE]]="","",MATCH(T_LEAVE[[#This Row],[EMPLOYEE]],L_EMPLABELS,0))</f>
        <v>433</v>
      </c>
      <c r="I148">
        <f ca="1">IF(T_LEAVE[[#This Row],[EMPLOYEE]]="","",MATCH(T_LEAVE[[#This Row],[LEAVE TYPE]],L_LEAVETYPES,0))</f>
        <v>6</v>
      </c>
      <c r="J148" t="str" cm="1">
        <f t="array" aca="1" ref="J148" ca="1">IFERROR(INDEX(T_LEAVE_TYPES[SYMBOL],T_LEAVE[[#This Row],[LEAVE TYPE SYS ID]]),"")</f>
        <v>PR</v>
      </c>
      <c r="K148">
        <f ca="1">IF(T_LEAVE[[#This Row],[EMPLOYEE]]="","",IF(T_LEAVE[[#This Row],[ERROR]]="",0,1))</f>
        <v>0</v>
      </c>
      <c r="L148" t="str" cm="1">
        <f t="array" aca="1" ref="L14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9" spans="1:12">
      <c r="A149" t="s">
        <v>2037</v>
      </c>
      <c r="B149" s="15" t="s">
        <v>2029</v>
      </c>
      <c r="C149" s="15" t="s">
        <v>2029</v>
      </c>
      <c r="D149" t="s">
        <v>98</v>
      </c>
      <c r="E149">
        <v>1</v>
      </c>
      <c r="F149" s="1"/>
      <c r="G149" s="1"/>
      <c r="H149">
        <f ca="1">IF(T_LEAVE[[#This Row],[EMPLOYEE]]="","",MATCH(T_LEAVE[[#This Row],[EMPLOYEE]],L_EMPLABELS,0))</f>
        <v>517</v>
      </c>
      <c r="I149">
        <f ca="1">IF(T_LEAVE[[#This Row],[EMPLOYEE]]="","",MATCH(T_LEAVE[[#This Row],[LEAVE TYPE]],L_LEAVETYPES,0))</f>
        <v>7</v>
      </c>
      <c r="J149" t="str" cm="1">
        <f t="array" aca="1" ref="J149" ca="1">IFERROR(INDEX(T_LEAVE_TYPES[SYMBOL],T_LEAVE[[#This Row],[LEAVE TYPE SYS ID]]),"")</f>
        <v>C</v>
      </c>
      <c r="K149">
        <f ca="1">IF(T_LEAVE[[#This Row],[EMPLOYEE]]="","",IF(T_LEAVE[[#This Row],[ERROR]]="",0,1))</f>
        <v>0</v>
      </c>
      <c r="L149" t="str" cm="1">
        <f t="array" aca="1" ref="L14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0" spans="1:12">
      <c r="A150" t="s">
        <v>2033</v>
      </c>
      <c r="B150" s="15" t="s">
        <v>2051</v>
      </c>
      <c r="C150" s="15" t="s">
        <v>2052</v>
      </c>
      <c r="D150" t="s">
        <v>92</v>
      </c>
      <c r="E150">
        <v>8</v>
      </c>
      <c r="F150" s="1"/>
      <c r="G150" s="1"/>
      <c r="H150">
        <f ca="1">IF(T_LEAVE[[#This Row],[EMPLOYEE]]="","",MATCH(T_LEAVE[[#This Row],[EMPLOYEE]],L_EMPLABELS,0))</f>
        <v>437</v>
      </c>
      <c r="I150">
        <f ca="1">IF(T_LEAVE[[#This Row],[EMPLOYEE]]="","",MATCH(T_LEAVE[[#This Row],[LEAVE TYPE]],L_LEAVETYPES,0))</f>
        <v>6</v>
      </c>
      <c r="J150" t="str" cm="1">
        <f t="array" aca="1" ref="J150" ca="1">IFERROR(INDEX(T_LEAVE_TYPES[SYMBOL],T_LEAVE[[#This Row],[LEAVE TYPE SYS ID]]),"")</f>
        <v>PR</v>
      </c>
      <c r="K150">
        <f ca="1">IF(T_LEAVE[[#This Row],[EMPLOYEE]]="","",IF(T_LEAVE[[#This Row],[ERROR]]="",0,1))</f>
        <v>0</v>
      </c>
      <c r="L150" t="str" cm="1">
        <f t="array" aca="1" ref="L15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1" spans="1:12">
      <c r="A151" t="s">
        <v>2033</v>
      </c>
      <c r="B151" s="15" t="s">
        <v>2053</v>
      </c>
      <c r="C151" s="15" t="s">
        <v>2053</v>
      </c>
      <c r="D151" t="s">
        <v>98</v>
      </c>
      <c r="E151">
        <v>1</v>
      </c>
      <c r="F151" s="1"/>
      <c r="G151" s="1"/>
      <c r="H151">
        <f ca="1">IF(T_LEAVE[[#This Row],[EMPLOYEE]]="","",MATCH(T_LEAVE[[#This Row],[EMPLOYEE]],L_EMPLABELS,0))</f>
        <v>437</v>
      </c>
      <c r="I151">
        <f ca="1">IF(T_LEAVE[[#This Row],[EMPLOYEE]]="","",MATCH(T_LEAVE[[#This Row],[LEAVE TYPE]],L_LEAVETYPES,0))</f>
        <v>7</v>
      </c>
      <c r="J151" t="str" cm="1">
        <f t="array" aca="1" ref="J151" ca="1">IFERROR(INDEX(T_LEAVE_TYPES[SYMBOL],T_LEAVE[[#This Row],[LEAVE TYPE SYS ID]]),"")</f>
        <v>C</v>
      </c>
      <c r="K151">
        <f ca="1">IF(T_LEAVE[[#This Row],[EMPLOYEE]]="","",IF(T_LEAVE[[#This Row],[ERROR]]="",0,1))</f>
        <v>0</v>
      </c>
      <c r="L151" t="str" cm="1">
        <f t="array" aca="1" ref="L15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2" spans="1:12">
      <c r="A152" t="s">
        <v>2000</v>
      </c>
      <c r="B152" s="15" t="s">
        <v>2054</v>
      </c>
      <c r="C152" s="15" t="s">
        <v>2054</v>
      </c>
      <c r="D152" t="s">
        <v>98</v>
      </c>
      <c r="E152">
        <v>1</v>
      </c>
      <c r="F152" s="1"/>
      <c r="G152" s="1"/>
      <c r="H152">
        <f ca="1">IF(T_LEAVE[[#This Row],[EMPLOYEE]]="","",MATCH(T_LEAVE[[#This Row],[EMPLOYEE]],L_EMPLABELS,0))</f>
        <v>540</v>
      </c>
      <c r="I152">
        <f ca="1">IF(T_LEAVE[[#This Row],[EMPLOYEE]]="","",MATCH(T_LEAVE[[#This Row],[LEAVE TYPE]],L_LEAVETYPES,0))</f>
        <v>7</v>
      </c>
      <c r="J152" t="str" cm="1">
        <f t="array" aca="1" ref="J152" ca="1">IFERROR(INDEX(T_LEAVE_TYPES[SYMBOL],T_LEAVE[[#This Row],[LEAVE TYPE SYS ID]]),"")</f>
        <v>C</v>
      </c>
      <c r="K152">
        <f ca="1">IF(T_LEAVE[[#This Row],[EMPLOYEE]]="","",IF(T_LEAVE[[#This Row],[ERROR]]="",0,1))</f>
        <v>0</v>
      </c>
      <c r="L152" t="str" cm="1">
        <f t="array" aca="1" ref="L15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3" spans="1:12">
      <c r="A153" t="s">
        <v>1981</v>
      </c>
      <c r="B153" s="15" t="s">
        <v>2055</v>
      </c>
      <c r="C153" s="15" t="s">
        <v>2013</v>
      </c>
      <c r="D153" t="s">
        <v>98</v>
      </c>
      <c r="E153">
        <v>2</v>
      </c>
      <c r="F153" s="1"/>
      <c r="G153" s="1"/>
      <c r="H153">
        <f ca="1">IF(T_LEAVE[[#This Row],[EMPLOYEE]]="","",MATCH(T_LEAVE[[#This Row],[EMPLOYEE]],L_EMPLABELS,0))</f>
        <v>366</v>
      </c>
      <c r="I153">
        <f ca="1">IF(T_LEAVE[[#This Row],[EMPLOYEE]]="","",MATCH(T_LEAVE[[#This Row],[LEAVE TYPE]],L_LEAVETYPES,0))</f>
        <v>7</v>
      </c>
      <c r="J153" t="str" cm="1">
        <f t="array" aca="1" ref="J153" ca="1">IFERROR(INDEX(T_LEAVE_TYPES[SYMBOL],T_LEAVE[[#This Row],[LEAVE TYPE SYS ID]]),"")</f>
        <v>C</v>
      </c>
      <c r="K153">
        <f ca="1">IF(T_LEAVE[[#This Row],[EMPLOYEE]]="","",IF(T_LEAVE[[#This Row],[ERROR]]="",0,1))</f>
        <v>0</v>
      </c>
      <c r="L153" t="str" cm="1">
        <f t="array" aca="1" ref="L15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4" spans="1:12">
      <c r="A154" t="s">
        <v>1995</v>
      </c>
      <c r="B154" s="15" t="s">
        <v>2056</v>
      </c>
      <c r="C154" s="15" t="s">
        <v>2056</v>
      </c>
      <c r="D154" t="s">
        <v>92</v>
      </c>
      <c r="E154">
        <v>1</v>
      </c>
      <c r="F154" s="1"/>
      <c r="G154" s="1"/>
      <c r="H154">
        <f ca="1">IF(T_LEAVE[[#This Row],[EMPLOYEE]]="","",MATCH(T_LEAVE[[#This Row],[EMPLOYEE]],L_EMPLABELS,0))</f>
        <v>408</v>
      </c>
      <c r="I154">
        <f ca="1">IF(T_LEAVE[[#This Row],[EMPLOYEE]]="","",MATCH(T_LEAVE[[#This Row],[LEAVE TYPE]],L_LEAVETYPES,0))</f>
        <v>6</v>
      </c>
      <c r="J154" t="str" cm="1">
        <f t="array" aca="1" ref="J154" ca="1">IFERROR(INDEX(T_LEAVE_TYPES[SYMBOL],T_LEAVE[[#This Row],[LEAVE TYPE SYS ID]]),"")</f>
        <v>PR</v>
      </c>
      <c r="K154">
        <f ca="1">IF(T_LEAVE[[#This Row],[EMPLOYEE]]="","",IF(T_LEAVE[[#This Row],[ERROR]]="",0,1))</f>
        <v>0</v>
      </c>
      <c r="L154" t="str" cm="1">
        <f t="array" aca="1" ref="L15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5" spans="1:12">
      <c r="A155" t="s">
        <v>1995</v>
      </c>
      <c r="B155" s="15" t="s">
        <v>2057</v>
      </c>
      <c r="C155" s="15" t="s">
        <v>1992</v>
      </c>
      <c r="D155" t="s">
        <v>98</v>
      </c>
      <c r="E155">
        <v>3</v>
      </c>
      <c r="F155" s="1"/>
      <c r="G155" s="1"/>
      <c r="H155">
        <f ca="1">IF(T_LEAVE[[#This Row],[EMPLOYEE]]="","",MATCH(T_LEAVE[[#This Row],[EMPLOYEE]],L_EMPLABELS,0))</f>
        <v>408</v>
      </c>
      <c r="I155">
        <f ca="1">IF(T_LEAVE[[#This Row],[EMPLOYEE]]="","",MATCH(T_LEAVE[[#This Row],[LEAVE TYPE]],L_LEAVETYPES,0))</f>
        <v>7</v>
      </c>
      <c r="J155" t="str" cm="1">
        <f t="array" aca="1" ref="J155" ca="1">IFERROR(INDEX(T_LEAVE_TYPES[SYMBOL],T_LEAVE[[#This Row],[LEAVE TYPE SYS ID]]),"")</f>
        <v>C</v>
      </c>
      <c r="K155">
        <f ca="1">IF(T_LEAVE[[#This Row],[EMPLOYEE]]="","",IF(T_LEAVE[[#This Row],[ERROR]]="",0,1))</f>
        <v>0</v>
      </c>
      <c r="L155" t="str" cm="1">
        <f t="array" aca="1" ref="L15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6" spans="1:12">
      <c r="A156" t="s">
        <v>1995</v>
      </c>
      <c r="B156" s="15" t="s">
        <v>2058</v>
      </c>
      <c r="C156" s="15" t="s">
        <v>2058</v>
      </c>
      <c r="D156" t="s">
        <v>98</v>
      </c>
      <c r="E156">
        <v>1</v>
      </c>
      <c r="F156" s="1"/>
      <c r="G156" s="1"/>
      <c r="H156">
        <f ca="1">IF(T_LEAVE[[#This Row],[EMPLOYEE]]="","",MATCH(T_LEAVE[[#This Row],[EMPLOYEE]],L_EMPLABELS,0))</f>
        <v>408</v>
      </c>
      <c r="I156">
        <f ca="1">IF(T_LEAVE[[#This Row],[EMPLOYEE]]="","",MATCH(T_LEAVE[[#This Row],[LEAVE TYPE]],L_LEAVETYPES,0))</f>
        <v>7</v>
      </c>
      <c r="J156" t="str" cm="1">
        <f t="array" aca="1" ref="J156" ca="1">IFERROR(INDEX(T_LEAVE_TYPES[SYMBOL],T_LEAVE[[#This Row],[LEAVE TYPE SYS ID]]),"")</f>
        <v>C</v>
      </c>
      <c r="K156">
        <f ca="1">IF(T_LEAVE[[#This Row],[EMPLOYEE]]="","",IF(T_LEAVE[[#This Row],[ERROR]]="",0,1))</f>
        <v>0</v>
      </c>
      <c r="L156" t="str" cm="1">
        <f t="array" aca="1" ref="L15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7" spans="1:12">
      <c r="A157" t="s">
        <v>1995</v>
      </c>
      <c r="B157" s="15" t="s">
        <v>2059</v>
      </c>
      <c r="C157" s="15" t="s">
        <v>2059</v>
      </c>
      <c r="D157" t="s">
        <v>98</v>
      </c>
      <c r="E157">
        <v>1</v>
      </c>
      <c r="F157" s="1"/>
      <c r="G157" s="1"/>
      <c r="H157">
        <f ca="1">IF(T_LEAVE[[#This Row],[EMPLOYEE]]="","",MATCH(T_LEAVE[[#This Row],[EMPLOYEE]],L_EMPLABELS,0))</f>
        <v>408</v>
      </c>
      <c r="I157">
        <f ca="1">IF(T_LEAVE[[#This Row],[EMPLOYEE]]="","",MATCH(T_LEAVE[[#This Row],[LEAVE TYPE]],L_LEAVETYPES,0))</f>
        <v>7</v>
      </c>
      <c r="J157" t="str" cm="1">
        <f t="array" aca="1" ref="J157" ca="1">IFERROR(INDEX(T_LEAVE_TYPES[SYMBOL],T_LEAVE[[#This Row],[LEAVE TYPE SYS ID]]),"")</f>
        <v>C</v>
      </c>
      <c r="K157">
        <f ca="1">IF(T_LEAVE[[#This Row],[EMPLOYEE]]="","",IF(T_LEAVE[[#This Row],[ERROR]]="",0,1))</f>
        <v>0</v>
      </c>
      <c r="L157" t="str" cm="1">
        <f t="array" aca="1" ref="L15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8" spans="1:12">
      <c r="A158" t="s">
        <v>1995</v>
      </c>
      <c r="B158" s="15" t="s">
        <v>1926</v>
      </c>
      <c r="C158" s="15" t="s">
        <v>1926</v>
      </c>
      <c r="D158" t="s">
        <v>92</v>
      </c>
      <c r="E158">
        <v>1</v>
      </c>
      <c r="F158" s="1"/>
      <c r="G158" s="1"/>
      <c r="H158">
        <f ca="1">IF(T_LEAVE[[#This Row],[EMPLOYEE]]="","",MATCH(T_LEAVE[[#This Row],[EMPLOYEE]],L_EMPLABELS,0))</f>
        <v>408</v>
      </c>
      <c r="I158">
        <f ca="1">IF(T_LEAVE[[#This Row],[EMPLOYEE]]="","",MATCH(T_LEAVE[[#This Row],[LEAVE TYPE]],L_LEAVETYPES,0))</f>
        <v>6</v>
      </c>
      <c r="J158" t="str" cm="1">
        <f t="array" aca="1" ref="J158" ca="1">IFERROR(INDEX(T_LEAVE_TYPES[SYMBOL],T_LEAVE[[#This Row],[LEAVE TYPE SYS ID]]),"")</f>
        <v>PR</v>
      </c>
      <c r="K158">
        <f ca="1">IF(T_LEAVE[[#This Row],[EMPLOYEE]]="","",IF(T_LEAVE[[#This Row],[ERROR]]="",0,1))</f>
        <v>0</v>
      </c>
      <c r="L158" t="str" cm="1">
        <f t="array" aca="1" ref="L15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9" spans="1:12">
      <c r="A159" t="s">
        <v>2033</v>
      </c>
      <c r="B159" s="15" t="s">
        <v>1932</v>
      </c>
      <c r="C159" s="15" t="s">
        <v>2060</v>
      </c>
      <c r="D159" t="s">
        <v>92</v>
      </c>
      <c r="E159">
        <v>5</v>
      </c>
      <c r="F159" s="1"/>
      <c r="G159" s="1"/>
      <c r="H159">
        <f ca="1">IF(T_LEAVE[[#This Row],[EMPLOYEE]]="","",MATCH(T_LEAVE[[#This Row],[EMPLOYEE]],L_EMPLABELS,0))</f>
        <v>437</v>
      </c>
      <c r="I159">
        <f ca="1">IF(T_LEAVE[[#This Row],[EMPLOYEE]]="","",MATCH(T_LEAVE[[#This Row],[LEAVE TYPE]],L_LEAVETYPES,0))</f>
        <v>6</v>
      </c>
      <c r="J159" t="str" cm="1">
        <f t="array" aca="1" ref="J159" ca="1">IFERROR(INDEX(T_LEAVE_TYPES[SYMBOL],T_LEAVE[[#This Row],[LEAVE TYPE SYS ID]]),"")</f>
        <v>PR</v>
      </c>
      <c r="K159">
        <f ca="1">IF(T_LEAVE[[#This Row],[EMPLOYEE]]="","",IF(T_LEAVE[[#This Row],[ERROR]]="",0,1))</f>
        <v>0</v>
      </c>
      <c r="L159" t="str" cm="1">
        <f t="array" aca="1" ref="L15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0" spans="1:12">
      <c r="A160" t="s">
        <v>2033</v>
      </c>
      <c r="B160" s="15" t="s">
        <v>2061</v>
      </c>
      <c r="C160" s="15" t="s">
        <v>2061</v>
      </c>
      <c r="D160" t="s">
        <v>98</v>
      </c>
      <c r="E160">
        <v>1</v>
      </c>
      <c r="F160" s="1"/>
      <c r="G160" s="1"/>
      <c r="H160">
        <f ca="1">IF(T_LEAVE[[#This Row],[EMPLOYEE]]="","",MATCH(T_LEAVE[[#This Row],[EMPLOYEE]],L_EMPLABELS,0))</f>
        <v>437</v>
      </c>
      <c r="I160">
        <f ca="1">IF(T_LEAVE[[#This Row],[EMPLOYEE]]="","",MATCH(T_LEAVE[[#This Row],[LEAVE TYPE]],L_LEAVETYPES,0))</f>
        <v>7</v>
      </c>
      <c r="J160" t="str" cm="1">
        <f t="array" aca="1" ref="J160" ca="1">IFERROR(INDEX(T_LEAVE_TYPES[SYMBOL],T_LEAVE[[#This Row],[LEAVE TYPE SYS ID]]),"")</f>
        <v>C</v>
      </c>
      <c r="K160">
        <f ca="1">IF(T_LEAVE[[#This Row],[EMPLOYEE]]="","",IF(T_LEAVE[[#This Row],[ERROR]]="",0,1))</f>
        <v>0</v>
      </c>
      <c r="L160" t="str" cm="1">
        <f t="array" aca="1" ref="L16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1" spans="1:12">
      <c r="A161" t="s">
        <v>2033</v>
      </c>
      <c r="B161" s="15" t="s">
        <v>2062</v>
      </c>
      <c r="C161" s="15" t="s">
        <v>2062</v>
      </c>
      <c r="D161" t="s">
        <v>92</v>
      </c>
      <c r="E161">
        <v>1</v>
      </c>
      <c r="F161" s="1"/>
      <c r="G161" s="1"/>
      <c r="H161">
        <f ca="1">IF(T_LEAVE[[#This Row],[EMPLOYEE]]="","",MATCH(T_LEAVE[[#This Row],[EMPLOYEE]],L_EMPLABELS,0))</f>
        <v>437</v>
      </c>
      <c r="I161">
        <f ca="1">IF(T_LEAVE[[#This Row],[EMPLOYEE]]="","",MATCH(T_LEAVE[[#This Row],[LEAVE TYPE]],L_LEAVETYPES,0))</f>
        <v>6</v>
      </c>
      <c r="J161" t="str" cm="1">
        <f t="array" aca="1" ref="J161" ca="1">IFERROR(INDEX(T_LEAVE_TYPES[SYMBOL],T_LEAVE[[#This Row],[LEAVE TYPE SYS ID]]),"")</f>
        <v>PR</v>
      </c>
      <c r="K161">
        <f ca="1">IF(T_LEAVE[[#This Row],[EMPLOYEE]]="","",IF(T_LEAVE[[#This Row],[ERROR]]="",0,1))</f>
        <v>0</v>
      </c>
      <c r="L161" t="str" cm="1">
        <f t="array" aca="1" ref="L16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2" spans="1:12">
      <c r="A162" t="s">
        <v>1978</v>
      </c>
      <c r="B162" s="15" t="s">
        <v>2054</v>
      </c>
      <c r="C162" s="15" t="s">
        <v>2054</v>
      </c>
      <c r="D162" t="s">
        <v>98</v>
      </c>
      <c r="E162">
        <v>1</v>
      </c>
      <c r="F162" s="1"/>
      <c r="G162" s="1"/>
      <c r="H162">
        <f ca="1">IF(T_LEAVE[[#This Row],[EMPLOYEE]]="","",MATCH(T_LEAVE[[#This Row],[EMPLOYEE]],L_EMPLABELS,0))</f>
        <v>351</v>
      </c>
      <c r="I162">
        <f ca="1">IF(T_LEAVE[[#This Row],[EMPLOYEE]]="","",MATCH(T_LEAVE[[#This Row],[LEAVE TYPE]],L_LEAVETYPES,0))</f>
        <v>7</v>
      </c>
      <c r="J162" t="str" cm="1">
        <f t="array" aca="1" ref="J162" ca="1">IFERROR(INDEX(T_LEAVE_TYPES[SYMBOL],T_LEAVE[[#This Row],[LEAVE TYPE SYS ID]]),"")</f>
        <v>C</v>
      </c>
      <c r="K162">
        <f ca="1">IF(T_LEAVE[[#This Row],[EMPLOYEE]]="","",IF(T_LEAVE[[#This Row],[ERROR]]="",0,1))</f>
        <v>0</v>
      </c>
      <c r="L162" t="str" cm="1">
        <f t="array" aca="1" ref="L16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3" spans="1:12">
      <c r="A163" t="s">
        <v>2027</v>
      </c>
      <c r="B163" s="28" t="s">
        <v>2016</v>
      </c>
      <c r="C163" s="15" t="s">
        <v>2016</v>
      </c>
      <c r="D163" t="s">
        <v>92</v>
      </c>
      <c r="E163">
        <v>1</v>
      </c>
      <c r="F163" s="1"/>
      <c r="G163" s="1"/>
      <c r="H163">
        <f ca="1">IF(T_LEAVE[[#This Row],[EMPLOYEE]]="","",MATCH(T_LEAVE[[#This Row],[EMPLOYEE]],L_EMPLABELS,0))</f>
        <v>101</v>
      </c>
      <c r="I163">
        <f ca="1">IF(T_LEAVE[[#This Row],[EMPLOYEE]]="","",MATCH(T_LEAVE[[#This Row],[LEAVE TYPE]],L_LEAVETYPES,0))</f>
        <v>6</v>
      </c>
      <c r="J163" t="str" cm="1">
        <f t="array" aca="1" ref="J163" ca="1">IFERROR(INDEX(T_LEAVE_TYPES[SYMBOL],T_LEAVE[[#This Row],[LEAVE TYPE SYS ID]]),"")</f>
        <v>PR</v>
      </c>
      <c r="K163">
        <f ca="1">IF(T_LEAVE[[#This Row],[EMPLOYEE]]="","",IF(T_LEAVE[[#This Row],[ERROR]]="",0,1))</f>
        <v>0</v>
      </c>
      <c r="L163" t="str" cm="1">
        <f t="array" aca="1" ref="L16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4" spans="1:12">
      <c r="A164" t="s">
        <v>1982</v>
      </c>
      <c r="B164" s="15" t="s">
        <v>2063</v>
      </c>
      <c r="C164" s="15" t="s">
        <v>2063</v>
      </c>
      <c r="D164" t="s">
        <v>98</v>
      </c>
      <c r="E164">
        <v>1</v>
      </c>
      <c r="F164" s="1"/>
      <c r="G164" s="1"/>
      <c r="H164">
        <f ca="1">IF(T_LEAVE[[#This Row],[EMPLOYEE]]="","",MATCH(T_LEAVE[[#This Row],[EMPLOYEE]],L_EMPLABELS,0))</f>
        <v>353</v>
      </c>
      <c r="I164">
        <f ca="1">IF(T_LEAVE[[#This Row],[EMPLOYEE]]="","",MATCH(T_LEAVE[[#This Row],[LEAVE TYPE]],L_LEAVETYPES,0))</f>
        <v>7</v>
      </c>
      <c r="J164" t="str" cm="1">
        <f t="array" aca="1" ref="J164" ca="1">IFERROR(INDEX(T_LEAVE_TYPES[SYMBOL],T_LEAVE[[#This Row],[LEAVE TYPE SYS ID]]),"")</f>
        <v>C</v>
      </c>
      <c r="K164">
        <f ca="1">IF(T_LEAVE[[#This Row],[EMPLOYEE]]="","",IF(T_LEAVE[[#This Row],[ERROR]]="",0,1))</f>
        <v>0</v>
      </c>
      <c r="L164" t="str" cm="1">
        <f t="array" aca="1" ref="L16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5" spans="1:12">
      <c r="A165" t="s">
        <v>2008</v>
      </c>
      <c r="B165" s="15" t="s">
        <v>1924</v>
      </c>
      <c r="C165" s="15" t="s">
        <v>1924</v>
      </c>
      <c r="D165" t="s">
        <v>98</v>
      </c>
      <c r="E165">
        <v>1</v>
      </c>
      <c r="F165" s="1"/>
      <c r="G165" s="1"/>
      <c r="H165">
        <f ca="1">IF(T_LEAVE[[#This Row],[EMPLOYEE]]="","",MATCH(T_LEAVE[[#This Row],[EMPLOYEE]],L_EMPLABELS,0))</f>
        <v>498</v>
      </c>
      <c r="I165">
        <f ca="1">IF(T_LEAVE[[#This Row],[EMPLOYEE]]="","",MATCH(T_LEAVE[[#This Row],[LEAVE TYPE]],L_LEAVETYPES,0))</f>
        <v>7</v>
      </c>
      <c r="J165" t="str" cm="1">
        <f t="array" aca="1" ref="J165" ca="1">IFERROR(INDEX(T_LEAVE_TYPES[SYMBOL],T_LEAVE[[#This Row],[LEAVE TYPE SYS ID]]),"")</f>
        <v>C</v>
      </c>
      <c r="K165">
        <f ca="1">IF(T_LEAVE[[#This Row],[EMPLOYEE]]="","",IF(T_LEAVE[[#This Row],[ERROR]]="",0,1))</f>
        <v>0</v>
      </c>
      <c r="L165" t="str" cm="1">
        <f t="array" aca="1" ref="L16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6" spans="1:12">
      <c r="A166" t="s">
        <v>2064</v>
      </c>
      <c r="B166" s="15" t="s">
        <v>2065</v>
      </c>
      <c r="C166" s="15" t="s">
        <v>1991</v>
      </c>
      <c r="D166" t="s">
        <v>92</v>
      </c>
      <c r="E166">
        <v>3</v>
      </c>
      <c r="F166" s="1"/>
      <c r="G166" s="1"/>
      <c r="H166">
        <f ca="1">IF(T_LEAVE[[#This Row],[EMPLOYEE]]="","",MATCH(T_LEAVE[[#This Row],[EMPLOYEE]],L_EMPLABELS,0))</f>
        <v>210</v>
      </c>
      <c r="I166">
        <f ca="1">IF(T_LEAVE[[#This Row],[EMPLOYEE]]="","",MATCH(T_LEAVE[[#This Row],[LEAVE TYPE]],L_LEAVETYPES,0))</f>
        <v>6</v>
      </c>
      <c r="J166" t="str" cm="1">
        <f t="array" aca="1" ref="J166" ca="1">IFERROR(INDEX(T_LEAVE_TYPES[SYMBOL],T_LEAVE[[#This Row],[LEAVE TYPE SYS ID]]),"")</f>
        <v>PR</v>
      </c>
      <c r="K166">
        <f ca="1">IF(T_LEAVE[[#This Row],[EMPLOYEE]]="","",IF(T_LEAVE[[#This Row],[ERROR]]="",0,1))</f>
        <v>0</v>
      </c>
      <c r="L166" t="str" cm="1">
        <f t="array" aca="1" ref="L16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7" spans="1:12">
      <c r="A167" t="s">
        <v>2064</v>
      </c>
      <c r="B167" s="15" t="s">
        <v>2055</v>
      </c>
      <c r="C167" s="15" t="s">
        <v>2055</v>
      </c>
      <c r="D167" t="s">
        <v>98</v>
      </c>
      <c r="E167">
        <v>1</v>
      </c>
      <c r="F167" s="1"/>
      <c r="G167" s="1"/>
      <c r="H167">
        <f ca="1">IF(T_LEAVE[[#This Row],[EMPLOYEE]]="","",MATCH(T_LEAVE[[#This Row],[EMPLOYEE]],L_EMPLABELS,0))</f>
        <v>210</v>
      </c>
      <c r="I167">
        <f ca="1">IF(T_LEAVE[[#This Row],[EMPLOYEE]]="","",MATCH(T_LEAVE[[#This Row],[LEAVE TYPE]],L_LEAVETYPES,0))</f>
        <v>7</v>
      </c>
      <c r="J167" t="str" cm="1">
        <f t="array" aca="1" ref="J167" ca="1">IFERROR(INDEX(T_LEAVE_TYPES[SYMBOL],T_LEAVE[[#This Row],[LEAVE TYPE SYS ID]]),"")</f>
        <v>C</v>
      </c>
      <c r="K167">
        <f ca="1">IF(T_LEAVE[[#This Row],[EMPLOYEE]]="","",IF(T_LEAVE[[#This Row],[ERROR]]="",0,1))</f>
        <v>0</v>
      </c>
      <c r="L167" t="str" cm="1">
        <f t="array" aca="1" ref="L16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8" spans="1:12">
      <c r="A168" t="s">
        <v>2004</v>
      </c>
      <c r="B168" s="15" t="s">
        <v>2066</v>
      </c>
      <c r="C168" s="15" t="s">
        <v>2013</v>
      </c>
      <c r="D168" t="s">
        <v>98</v>
      </c>
      <c r="E168">
        <v>3</v>
      </c>
      <c r="F168" s="1"/>
      <c r="G168" s="1"/>
      <c r="H168">
        <f ca="1">IF(T_LEAVE[[#This Row],[EMPLOYEE]]="","",MATCH(T_LEAVE[[#This Row],[EMPLOYEE]],L_EMPLABELS,0))</f>
        <v>400</v>
      </c>
      <c r="I168">
        <f ca="1">IF(T_LEAVE[[#This Row],[EMPLOYEE]]="","",MATCH(T_LEAVE[[#This Row],[LEAVE TYPE]],L_LEAVETYPES,0))</f>
        <v>7</v>
      </c>
      <c r="J168" t="str" cm="1">
        <f t="array" aca="1" ref="J168" ca="1">IFERROR(INDEX(T_LEAVE_TYPES[SYMBOL],T_LEAVE[[#This Row],[LEAVE TYPE SYS ID]]),"")</f>
        <v>C</v>
      </c>
      <c r="K168">
        <f ca="1">IF(T_LEAVE[[#This Row],[EMPLOYEE]]="","",IF(T_LEAVE[[#This Row],[ERROR]]="",0,1))</f>
        <v>0</v>
      </c>
      <c r="L168" t="str" cm="1">
        <f t="array" aca="1" ref="L16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9" spans="1:12">
      <c r="A169" t="s">
        <v>2050</v>
      </c>
      <c r="B169" s="15" t="s">
        <v>2067</v>
      </c>
      <c r="C169" s="15" t="s">
        <v>2067</v>
      </c>
      <c r="D169" t="s">
        <v>98</v>
      </c>
      <c r="E169">
        <v>1</v>
      </c>
      <c r="F169" s="1"/>
      <c r="G169" s="1"/>
      <c r="H169">
        <f ca="1">IF(T_LEAVE[[#This Row],[EMPLOYEE]]="","",MATCH(T_LEAVE[[#This Row],[EMPLOYEE]],L_EMPLABELS,0))</f>
        <v>433</v>
      </c>
      <c r="I169">
        <f ca="1">IF(T_LEAVE[[#This Row],[EMPLOYEE]]="","",MATCH(T_LEAVE[[#This Row],[LEAVE TYPE]],L_LEAVETYPES,0))</f>
        <v>7</v>
      </c>
      <c r="J169" t="str" cm="1">
        <f t="array" aca="1" ref="J169" ca="1">IFERROR(INDEX(T_LEAVE_TYPES[SYMBOL],T_LEAVE[[#This Row],[LEAVE TYPE SYS ID]]),"")</f>
        <v>C</v>
      </c>
      <c r="K169">
        <f ca="1">IF(T_LEAVE[[#This Row],[EMPLOYEE]]="","",IF(T_LEAVE[[#This Row],[ERROR]]="",0,1))</f>
        <v>0</v>
      </c>
      <c r="L169" t="str" cm="1">
        <f t="array" aca="1" ref="L16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0" spans="1:12">
      <c r="A170" t="s">
        <v>2050</v>
      </c>
      <c r="B170" s="15" t="s">
        <v>1926</v>
      </c>
      <c r="C170" s="15" t="s">
        <v>1926</v>
      </c>
      <c r="D170" t="s">
        <v>98</v>
      </c>
      <c r="E170">
        <v>1</v>
      </c>
      <c r="F170" s="1"/>
      <c r="G170" s="1"/>
      <c r="H170">
        <f ca="1">IF(T_LEAVE[[#This Row],[EMPLOYEE]]="","",MATCH(T_LEAVE[[#This Row],[EMPLOYEE]],L_EMPLABELS,0))</f>
        <v>433</v>
      </c>
      <c r="I170">
        <f ca="1">IF(T_LEAVE[[#This Row],[EMPLOYEE]]="","",MATCH(T_LEAVE[[#This Row],[LEAVE TYPE]],L_LEAVETYPES,0))</f>
        <v>7</v>
      </c>
      <c r="J170" t="str" cm="1">
        <f t="array" aca="1" ref="J170" ca="1">IFERROR(INDEX(T_LEAVE_TYPES[SYMBOL],T_LEAVE[[#This Row],[LEAVE TYPE SYS ID]]),"")</f>
        <v>C</v>
      </c>
      <c r="K170">
        <f ca="1">IF(T_LEAVE[[#This Row],[EMPLOYEE]]="","",IF(T_LEAVE[[#This Row],[ERROR]]="",0,1))</f>
        <v>0</v>
      </c>
      <c r="L170" t="str" cm="1">
        <f t="array" aca="1" ref="L17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1" spans="1:12">
      <c r="A171" t="s">
        <v>1906</v>
      </c>
      <c r="B171" s="15" t="s">
        <v>2068</v>
      </c>
      <c r="C171" s="15" t="s">
        <v>2068</v>
      </c>
      <c r="D171" t="s">
        <v>92</v>
      </c>
      <c r="E171">
        <v>0.5</v>
      </c>
      <c r="F171" s="1"/>
      <c r="G171" s="1"/>
      <c r="H171">
        <f ca="1">IF(T_LEAVE[[#This Row],[EMPLOYEE]]="","",MATCH(T_LEAVE[[#This Row],[EMPLOYEE]],L_EMPLABELS,0))</f>
        <v>509</v>
      </c>
      <c r="I171">
        <f ca="1">IF(T_LEAVE[[#This Row],[EMPLOYEE]]="","",MATCH(T_LEAVE[[#This Row],[LEAVE TYPE]],L_LEAVETYPES,0))</f>
        <v>6</v>
      </c>
      <c r="J171" t="str" cm="1">
        <f t="array" aca="1" ref="J171" ca="1">IFERROR(INDEX(T_LEAVE_TYPES[SYMBOL],T_LEAVE[[#This Row],[LEAVE TYPE SYS ID]]),"")</f>
        <v>PR</v>
      </c>
      <c r="K171">
        <f ca="1">IF(T_LEAVE[[#This Row],[EMPLOYEE]]="","",IF(T_LEAVE[[#This Row],[ERROR]]="",0,1))</f>
        <v>0</v>
      </c>
      <c r="L171" t="str" cm="1">
        <f t="array" aca="1" ref="L17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2" spans="1:12">
      <c r="A172" t="s">
        <v>2037</v>
      </c>
      <c r="B172" s="15" t="s">
        <v>2069</v>
      </c>
      <c r="C172" s="15" t="s">
        <v>2069</v>
      </c>
      <c r="D172" t="s">
        <v>98</v>
      </c>
      <c r="E172">
        <v>1</v>
      </c>
      <c r="F172" s="1"/>
      <c r="G172" s="1"/>
      <c r="H172">
        <f ca="1">IF(T_LEAVE[[#This Row],[EMPLOYEE]]="","",MATCH(T_LEAVE[[#This Row],[EMPLOYEE]],L_EMPLABELS,0))</f>
        <v>517</v>
      </c>
      <c r="I172">
        <f ca="1">IF(T_LEAVE[[#This Row],[EMPLOYEE]]="","",MATCH(T_LEAVE[[#This Row],[LEAVE TYPE]],L_LEAVETYPES,0))</f>
        <v>7</v>
      </c>
      <c r="J172" t="str" cm="1">
        <f t="array" aca="1" ref="J172" ca="1">IFERROR(INDEX(T_LEAVE_TYPES[SYMBOL],T_LEAVE[[#This Row],[LEAVE TYPE SYS ID]]),"")</f>
        <v>C</v>
      </c>
      <c r="K172">
        <f ca="1">IF(T_LEAVE[[#This Row],[EMPLOYEE]]="","",IF(T_LEAVE[[#This Row],[ERROR]]="",0,1))</f>
        <v>0</v>
      </c>
      <c r="L172" t="str" cm="1">
        <f t="array" aca="1" ref="L17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3" spans="1:12">
      <c r="A173" t="s">
        <v>1917</v>
      </c>
      <c r="B173" s="15" t="s">
        <v>2070</v>
      </c>
      <c r="C173" s="15" t="s">
        <v>2070</v>
      </c>
      <c r="D173" t="s">
        <v>98</v>
      </c>
      <c r="E173">
        <v>1</v>
      </c>
      <c r="F173" s="1"/>
      <c r="G173" s="1"/>
      <c r="H173">
        <f ca="1">IF(T_LEAVE[[#This Row],[EMPLOYEE]]="","",MATCH(T_LEAVE[[#This Row],[EMPLOYEE]],L_EMPLABELS,0))</f>
        <v>551</v>
      </c>
      <c r="I173">
        <f ca="1">IF(T_LEAVE[[#This Row],[EMPLOYEE]]="","",MATCH(T_LEAVE[[#This Row],[LEAVE TYPE]],L_LEAVETYPES,0))</f>
        <v>7</v>
      </c>
      <c r="J173" t="str" cm="1">
        <f t="array" aca="1" ref="J173" ca="1">IFERROR(INDEX(T_LEAVE_TYPES[SYMBOL],T_LEAVE[[#This Row],[LEAVE TYPE SYS ID]]),"")</f>
        <v>C</v>
      </c>
      <c r="K173">
        <f ca="1">IF(T_LEAVE[[#This Row],[EMPLOYEE]]="","",IF(T_LEAVE[[#This Row],[ERROR]]="",0,1))</f>
        <v>0</v>
      </c>
      <c r="L173" t="str" cm="1">
        <f t="array" aca="1" ref="L17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4" spans="1:12">
      <c r="A174" t="s">
        <v>2003</v>
      </c>
      <c r="B174" s="15" t="s">
        <v>2071</v>
      </c>
      <c r="C174" s="15" t="s">
        <v>2071</v>
      </c>
      <c r="D174" t="s">
        <v>98</v>
      </c>
      <c r="E174">
        <v>1</v>
      </c>
      <c r="F174" s="1"/>
      <c r="G174" s="1"/>
      <c r="H174">
        <f ca="1">IF(T_LEAVE[[#This Row],[EMPLOYEE]]="","",MATCH(T_LEAVE[[#This Row],[EMPLOYEE]],L_EMPLABELS,0))</f>
        <v>459</v>
      </c>
      <c r="I174">
        <f ca="1">IF(T_LEAVE[[#This Row],[EMPLOYEE]]="","",MATCH(T_LEAVE[[#This Row],[LEAVE TYPE]],L_LEAVETYPES,0))</f>
        <v>7</v>
      </c>
      <c r="J174" t="str" cm="1">
        <f t="array" aca="1" ref="J174" ca="1">IFERROR(INDEX(T_LEAVE_TYPES[SYMBOL],T_LEAVE[[#This Row],[LEAVE TYPE SYS ID]]),"")</f>
        <v>C</v>
      </c>
      <c r="K174">
        <f ca="1">IF(T_LEAVE[[#This Row],[EMPLOYEE]]="","",IF(T_LEAVE[[#This Row],[ERROR]]="",0,1))</f>
        <v>0</v>
      </c>
      <c r="L174" t="str" cm="1">
        <f t="array" aca="1" ref="L17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5" spans="1:12">
      <c r="A175" t="s">
        <v>2038</v>
      </c>
      <c r="B175" s="15" t="s">
        <v>2071</v>
      </c>
      <c r="C175" s="15" t="s">
        <v>2071</v>
      </c>
      <c r="D175" t="s">
        <v>98</v>
      </c>
      <c r="E175">
        <v>1</v>
      </c>
      <c r="F175" s="1"/>
      <c r="G175" s="1"/>
      <c r="H175">
        <f ca="1">IF(T_LEAVE[[#This Row],[EMPLOYEE]]="","",MATCH(T_LEAVE[[#This Row],[EMPLOYEE]],L_EMPLABELS,0))</f>
        <v>363</v>
      </c>
      <c r="I175">
        <f ca="1">IF(T_LEAVE[[#This Row],[EMPLOYEE]]="","",MATCH(T_LEAVE[[#This Row],[LEAVE TYPE]],L_LEAVETYPES,0))</f>
        <v>7</v>
      </c>
      <c r="J175" t="str" cm="1">
        <f t="array" aca="1" ref="J175" ca="1">IFERROR(INDEX(T_LEAVE_TYPES[SYMBOL],T_LEAVE[[#This Row],[LEAVE TYPE SYS ID]]),"")</f>
        <v>C</v>
      </c>
      <c r="K175">
        <f ca="1">IF(T_LEAVE[[#This Row],[EMPLOYEE]]="","",IF(T_LEAVE[[#This Row],[ERROR]]="",0,1))</f>
        <v>0</v>
      </c>
      <c r="L175" t="str" cm="1">
        <f t="array" aca="1" ref="L17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6" spans="1:12">
      <c r="A176" t="s">
        <v>2008</v>
      </c>
      <c r="B176" s="15" t="s">
        <v>2069</v>
      </c>
      <c r="C176" s="15" t="s">
        <v>2069</v>
      </c>
      <c r="D176" t="s">
        <v>98</v>
      </c>
      <c r="E176">
        <v>1</v>
      </c>
      <c r="F176" s="1"/>
      <c r="G176" s="1"/>
      <c r="H176">
        <f ca="1">IF(T_LEAVE[[#This Row],[EMPLOYEE]]="","",MATCH(T_LEAVE[[#This Row],[EMPLOYEE]],L_EMPLABELS,0))</f>
        <v>498</v>
      </c>
      <c r="I176">
        <f ca="1">IF(T_LEAVE[[#This Row],[EMPLOYEE]]="","",MATCH(T_LEAVE[[#This Row],[LEAVE TYPE]],L_LEAVETYPES,0))</f>
        <v>7</v>
      </c>
      <c r="J176" t="str" cm="1">
        <f t="array" aca="1" ref="J176" ca="1">IFERROR(INDEX(T_LEAVE_TYPES[SYMBOL],T_LEAVE[[#This Row],[LEAVE TYPE SYS ID]]),"")</f>
        <v>C</v>
      </c>
      <c r="K176">
        <f ca="1">IF(T_LEAVE[[#This Row],[EMPLOYEE]]="","",IF(T_LEAVE[[#This Row],[ERROR]]="",0,1))</f>
        <v>0</v>
      </c>
      <c r="L176" t="str" cm="1">
        <f t="array" aca="1" ref="L17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7" spans="1:12">
      <c r="A177" t="s">
        <v>1976</v>
      </c>
      <c r="B177" s="15" t="s">
        <v>2072</v>
      </c>
      <c r="C177" s="15" t="s">
        <v>2072</v>
      </c>
      <c r="D177" t="s">
        <v>98</v>
      </c>
      <c r="E177">
        <v>0.5</v>
      </c>
      <c r="F177" s="1"/>
      <c r="G177" s="1"/>
      <c r="H177">
        <f ca="1">IF(T_LEAVE[[#This Row],[EMPLOYEE]]="","",MATCH(T_LEAVE[[#This Row],[EMPLOYEE]],L_EMPLABELS,0))</f>
        <v>167</v>
      </c>
      <c r="I177">
        <f ca="1">IF(T_LEAVE[[#This Row],[EMPLOYEE]]="","",MATCH(T_LEAVE[[#This Row],[LEAVE TYPE]],L_LEAVETYPES,0))</f>
        <v>7</v>
      </c>
      <c r="J177" t="str" cm="1">
        <f t="array" aca="1" ref="J177" ca="1">IFERROR(INDEX(T_LEAVE_TYPES[SYMBOL],T_LEAVE[[#This Row],[LEAVE TYPE SYS ID]]),"")</f>
        <v>C</v>
      </c>
      <c r="K177">
        <f ca="1">IF(T_LEAVE[[#This Row],[EMPLOYEE]]="","",IF(T_LEAVE[[#This Row],[ERROR]]="",0,1))</f>
        <v>0</v>
      </c>
      <c r="L177" t="str" cm="1">
        <f t="array" aca="1" ref="L17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8" spans="1:12">
      <c r="A178" t="s">
        <v>1977</v>
      </c>
      <c r="B178" s="15" t="s">
        <v>2059</v>
      </c>
      <c r="C178" s="15" t="s">
        <v>2059</v>
      </c>
      <c r="D178" t="s">
        <v>98</v>
      </c>
      <c r="E178">
        <v>1</v>
      </c>
      <c r="F178" s="1"/>
      <c r="G178" s="1"/>
      <c r="H178">
        <f ca="1">IF(T_LEAVE[[#This Row],[EMPLOYEE]]="","",MATCH(T_LEAVE[[#This Row],[EMPLOYEE]],L_EMPLABELS,0))</f>
        <v>449</v>
      </c>
      <c r="I178">
        <f ca="1">IF(T_LEAVE[[#This Row],[EMPLOYEE]]="","",MATCH(T_LEAVE[[#This Row],[LEAVE TYPE]],L_LEAVETYPES,0))</f>
        <v>7</v>
      </c>
      <c r="J178" t="str" cm="1">
        <f t="array" aca="1" ref="J178" ca="1">IFERROR(INDEX(T_LEAVE_TYPES[SYMBOL],T_LEAVE[[#This Row],[LEAVE TYPE SYS ID]]),"")</f>
        <v>C</v>
      </c>
      <c r="K178">
        <f ca="1">IF(T_LEAVE[[#This Row],[EMPLOYEE]]="","",IF(T_LEAVE[[#This Row],[ERROR]]="",0,1))</f>
        <v>0</v>
      </c>
      <c r="L178" t="str" cm="1">
        <f t="array" aca="1" ref="L17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9" spans="1:12">
      <c r="A179" t="s">
        <v>1978</v>
      </c>
      <c r="B179" s="15" t="s">
        <v>2059</v>
      </c>
      <c r="C179" s="15" t="s">
        <v>2059</v>
      </c>
      <c r="D179" t="s">
        <v>98</v>
      </c>
      <c r="E179">
        <v>1</v>
      </c>
      <c r="F179" s="1"/>
      <c r="G179" s="1"/>
      <c r="H179">
        <f ca="1">IF(T_LEAVE[[#This Row],[EMPLOYEE]]="","",MATCH(T_LEAVE[[#This Row],[EMPLOYEE]],L_EMPLABELS,0))</f>
        <v>351</v>
      </c>
      <c r="I179">
        <f ca="1">IF(T_LEAVE[[#This Row],[EMPLOYEE]]="","",MATCH(T_LEAVE[[#This Row],[LEAVE TYPE]],L_LEAVETYPES,0))</f>
        <v>7</v>
      </c>
      <c r="J179" t="str" cm="1">
        <f t="array" aca="1" ref="J179" ca="1">IFERROR(INDEX(T_LEAVE_TYPES[SYMBOL],T_LEAVE[[#This Row],[LEAVE TYPE SYS ID]]),"")</f>
        <v>C</v>
      </c>
      <c r="K179">
        <f ca="1">IF(T_LEAVE[[#This Row],[EMPLOYEE]]="","",IF(T_LEAVE[[#This Row],[ERROR]]="",0,1))</f>
        <v>0</v>
      </c>
      <c r="L179" t="str" cm="1">
        <f t="array" aca="1" ref="L17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0" spans="1:12">
      <c r="A180" t="s">
        <v>1977</v>
      </c>
      <c r="B180" s="15" t="s">
        <v>2059</v>
      </c>
      <c r="C180" s="15" t="s">
        <v>2059</v>
      </c>
      <c r="D180" t="s">
        <v>103</v>
      </c>
      <c r="E180">
        <v>1</v>
      </c>
      <c r="F180" s="1"/>
      <c r="G180" s="1"/>
      <c r="H180">
        <f ca="1">IF(T_LEAVE[[#This Row],[EMPLOYEE]]="","",MATCH(T_LEAVE[[#This Row],[EMPLOYEE]],L_EMPLABELS,0))</f>
        <v>449</v>
      </c>
      <c r="I180">
        <f ca="1">IF(T_LEAVE[[#This Row],[EMPLOYEE]]="","",MATCH(T_LEAVE[[#This Row],[LEAVE TYPE]],L_LEAVETYPES,0))</f>
        <v>8</v>
      </c>
      <c r="J180" t="str" cm="1">
        <f t="array" aca="1" ref="J180" ca="1">IFERROR(INDEX(T_LEAVE_TYPES[SYMBOL],T_LEAVE[[#This Row],[LEAVE TYPE SYS ID]]),"")</f>
        <v>LOP</v>
      </c>
      <c r="K180">
        <f ca="1">IF(T_LEAVE[[#This Row],[EMPLOYEE]]="","",IF(T_LEAVE[[#This Row],[ERROR]]="",0,1))</f>
        <v>0</v>
      </c>
      <c r="L180" t="str" cm="1">
        <f t="array" aca="1" ref="L18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1" spans="1:12">
      <c r="A181" t="s">
        <v>2027</v>
      </c>
      <c r="B181" s="15" t="s">
        <v>2073</v>
      </c>
      <c r="C181" s="15" t="s">
        <v>2073</v>
      </c>
      <c r="D181" t="s">
        <v>98</v>
      </c>
      <c r="E181">
        <v>1</v>
      </c>
      <c r="F181" s="1"/>
      <c r="G181" s="1"/>
      <c r="H181">
        <f ca="1">IF(T_LEAVE[[#This Row],[EMPLOYEE]]="","",MATCH(T_LEAVE[[#This Row],[EMPLOYEE]],L_EMPLABELS,0))</f>
        <v>101</v>
      </c>
      <c r="I181">
        <f ca="1">IF(T_LEAVE[[#This Row],[EMPLOYEE]]="","",MATCH(T_LEAVE[[#This Row],[LEAVE TYPE]],L_LEAVETYPES,0))</f>
        <v>7</v>
      </c>
      <c r="J181" t="str" cm="1">
        <f t="array" aca="1" ref="J181" ca="1">IFERROR(INDEX(T_LEAVE_TYPES[SYMBOL],T_LEAVE[[#This Row],[LEAVE TYPE SYS ID]]),"")</f>
        <v>C</v>
      </c>
      <c r="K181">
        <f ca="1">IF(T_LEAVE[[#This Row],[EMPLOYEE]]="","",IF(T_LEAVE[[#This Row],[ERROR]]="",0,1))</f>
        <v>0</v>
      </c>
      <c r="L181" t="str" cm="1">
        <f t="array" aca="1" ref="L18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2" spans="1:12">
      <c r="A182" t="s">
        <v>1981</v>
      </c>
      <c r="B182" s="15" t="s">
        <v>2072</v>
      </c>
      <c r="C182" s="15" t="s">
        <v>2072</v>
      </c>
      <c r="D182" t="s">
        <v>98</v>
      </c>
      <c r="E182">
        <v>1</v>
      </c>
      <c r="F182" s="1"/>
      <c r="G182" s="1"/>
      <c r="H182">
        <f ca="1">IF(T_LEAVE[[#This Row],[EMPLOYEE]]="","",MATCH(T_LEAVE[[#This Row],[EMPLOYEE]],L_EMPLABELS,0))</f>
        <v>366</v>
      </c>
      <c r="I182">
        <f ca="1">IF(T_LEAVE[[#This Row],[EMPLOYEE]]="","",MATCH(T_LEAVE[[#This Row],[LEAVE TYPE]],L_LEAVETYPES,0))</f>
        <v>7</v>
      </c>
      <c r="J182" t="str" cm="1">
        <f t="array" aca="1" ref="J182" ca="1">IFERROR(INDEX(T_LEAVE_TYPES[SYMBOL],T_LEAVE[[#This Row],[LEAVE TYPE SYS ID]]),"")</f>
        <v>C</v>
      </c>
      <c r="K182">
        <f ca="1">IF(T_LEAVE[[#This Row],[EMPLOYEE]]="","",IF(T_LEAVE[[#This Row],[ERROR]]="",0,1))</f>
        <v>0</v>
      </c>
      <c r="L182" t="str" cm="1">
        <f t="array" aca="1" ref="L18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3" spans="1:12">
      <c r="A183" t="s">
        <v>2038</v>
      </c>
      <c r="B183" s="15" t="s">
        <v>2074</v>
      </c>
      <c r="C183" s="15" t="s">
        <v>2074</v>
      </c>
      <c r="D183" t="s">
        <v>98</v>
      </c>
      <c r="E183">
        <v>1</v>
      </c>
      <c r="F183" s="1"/>
      <c r="G183" s="1"/>
      <c r="H183">
        <f ca="1">IF(T_LEAVE[[#This Row],[EMPLOYEE]]="","",MATCH(T_LEAVE[[#This Row],[EMPLOYEE]],L_EMPLABELS,0))</f>
        <v>363</v>
      </c>
      <c r="I183">
        <f ca="1">IF(T_LEAVE[[#This Row],[EMPLOYEE]]="","",MATCH(T_LEAVE[[#This Row],[LEAVE TYPE]],L_LEAVETYPES,0))</f>
        <v>7</v>
      </c>
      <c r="J183" t="str" cm="1">
        <f t="array" aca="1" ref="J183" ca="1">IFERROR(INDEX(T_LEAVE_TYPES[SYMBOL],T_LEAVE[[#This Row],[LEAVE TYPE SYS ID]]),"")</f>
        <v>C</v>
      </c>
      <c r="K183">
        <f ca="1">IF(T_LEAVE[[#This Row],[EMPLOYEE]]="","",IF(T_LEAVE[[#This Row],[ERROR]]="",0,1))</f>
        <v>0</v>
      </c>
      <c r="L183" t="str" cm="1">
        <f t="array" aca="1" ref="L18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4" spans="1:12">
      <c r="A184" t="s">
        <v>1910</v>
      </c>
      <c r="B184" s="15" t="s">
        <v>2007</v>
      </c>
      <c r="C184" s="15" t="s">
        <v>2007</v>
      </c>
      <c r="D184" t="s">
        <v>98</v>
      </c>
      <c r="E184">
        <v>1</v>
      </c>
      <c r="F184" s="1"/>
      <c r="G184" s="1"/>
      <c r="H184">
        <f ca="1">IF(T_LEAVE[[#This Row],[EMPLOYEE]]="","",MATCH(T_LEAVE[[#This Row],[EMPLOYEE]],L_EMPLABELS,0))</f>
        <v>493</v>
      </c>
      <c r="I184">
        <f ca="1">IF(T_LEAVE[[#This Row],[EMPLOYEE]]="","",MATCH(T_LEAVE[[#This Row],[LEAVE TYPE]],L_LEAVETYPES,0))</f>
        <v>7</v>
      </c>
      <c r="J184" t="str" cm="1">
        <f t="array" aca="1" ref="J184" ca="1">IFERROR(INDEX(T_LEAVE_TYPES[SYMBOL],T_LEAVE[[#This Row],[LEAVE TYPE SYS ID]]),"")</f>
        <v>C</v>
      </c>
      <c r="K184">
        <f ca="1">IF(T_LEAVE[[#This Row],[EMPLOYEE]]="","",IF(T_LEAVE[[#This Row],[ERROR]]="",0,1))</f>
        <v>0</v>
      </c>
      <c r="L184" t="str" cm="1">
        <f t="array" aca="1" ref="L18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5" spans="1:12">
      <c r="A185" t="s">
        <v>2004</v>
      </c>
      <c r="B185" s="15" t="s">
        <v>2074</v>
      </c>
      <c r="C185" s="15" t="s">
        <v>2075</v>
      </c>
      <c r="D185" t="s">
        <v>92</v>
      </c>
      <c r="E185">
        <v>3</v>
      </c>
      <c r="F185" s="1"/>
      <c r="G185" s="1"/>
      <c r="H185">
        <f ca="1">IF(T_LEAVE[[#This Row],[EMPLOYEE]]="","",MATCH(T_LEAVE[[#This Row],[EMPLOYEE]],L_EMPLABELS,0))</f>
        <v>400</v>
      </c>
      <c r="I185">
        <f ca="1">IF(T_LEAVE[[#This Row],[EMPLOYEE]]="","",MATCH(T_LEAVE[[#This Row],[LEAVE TYPE]],L_LEAVETYPES,0))</f>
        <v>6</v>
      </c>
      <c r="J185" t="str" cm="1">
        <f t="array" aca="1" ref="J185" ca="1">IFERROR(INDEX(T_LEAVE_TYPES[SYMBOL],T_LEAVE[[#This Row],[LEAVE TYPE SYS ID]]),"")</f>
        <v>PR</v>
      </c>
      <c r="K185">
        <f ca="1">IF(T_LEAVE[[#This Row],[EMPLOYEE]]="","",IF(T_LEAVE[[#This Row],[ERROR]]="",0,1))</f>
        <v>0</v>
      </c>
      <c r="L185" t="str" cm="1">
        <f t="array" aca="1" ref="L18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6" spans="1:12">
      <c r="A186" t="s">
        <v>1906</v>
      </c>
      <c r="B186" s="15" t="s">
        <v>2076</v>
      </c>
      <c r="C186" s="15" t="s">
        <v>2076</v>
      </c>
      <c r="D186" t="s">
        <v>98</v>
      </c>
      <c r="E186">
        <v>1</v>
      </c>
      <c r="F186" s="1"/>
      <c r="G186" s="1"/>
      <c r="H186">
        <f ca="1">IF(T_LEAVE[[#This Row],[EMPLOYEE]]="","",MATCH(T_LEAVE[[#This Row],[EMPLOYEE]],L_EMPLABELS,0))</f>
        <v>509</v>
      </c>
      <c r="I186">
        <f ca="1">IF(T_LEAVE[[#This Row],[EMPLOYEE]]="","",MATCH(T_LEAVE[[#This Row],[LEAVE TYPE]],L_LEAVETYPES,0))</f>
        <v>7</v>
      </c>
      <c r="J186" t="str" cm="1">
        <f t="array" aca="1" ref="J186" ca="1">IFERROR(INDEX(T_LEAVE_TYPES[SYMBOL],T_LEAVE[[#This Row],[LEAVE TYPE SYS ID]]),"")</f>
        <v>C</v>
      </c>
      <c r="K186">
        <f ca="1">IF(T_LEAVE[[#This Row],[EMPLOYEE]]="","",IF(T_LEAVE[[#This Row],[ERROR]]="",0,1))</f>
        <v>0</v>
      </c>
      <c r="L186" t="str" cm="1">
        <f t="array" aca="1" ref="L18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7" spans="1:12">
      <c r="A187" t="s">
        <v>1986</v>
      </c>
      <c r="B187" s="15" t="s">
        <v>2042</v>
      </c>
      <c r="C187" s="15" t="s">
        <v>2077</v>
      </c>
      <c r="D187" t="s">
        <v>98</v>
      </c>
      <c r="E187">
        <v>2</v>
      </c>
      <c r="F187" s="1"/>
      <c r="G187" s="1"/>
      <c r="H187">
        <f ca="1">IF(T_LEAVE[[#This Row],[EMPLOYEE]]="","",MATCH(T_LEAVE[[#This Row],[EMPLOYEE]],L_EMPLABELS,0))</f>
        <v>499</v>
      </c>
      <c r="I187">
        <f ca="1">IF(T_LEAVE[[#This Row],[EMPLOYEE]]="","",MATCH(T_LEAVE[[#This Row],[LEAVE TYPE]],L_LEAVETYPES,0))</f>
        <v>7</v>
      </c>
      <c r="J187" t="str" cm="1">
        <f t="array" aca="1" ref="J187" ca="1">IFERROR(INDEX(T_LEAVE_TYPES[SYMBOL],T_LEAVE[[#This Row],[LEAVE TYPE SYS ID]]),"")</f>
        <v>C</v>
      </c>
      <c r="K187">
        <f ca="1">IF(T_LEAVE[[#This Row],[EMPLOYEE]]="","",IF(T_LEAVE[[#This Row],[ERROR]]="",0,1))</f>
        <v>0</v>
      </c>
      <c r="L187" t="str" cm="1">
        <f t="array" aca="1" ref="L18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8" spans="1:12">
      <c r="A188" t="s">
        <v>1919</v>
      </c>
      <c r="B188" s="15" t="s">
        <v>2056</v>
      </c>
      <c r="C188" s="15" t="s">
        <v>2007</v>
      </c>
      <c r="D188" t="s">
        <v>92</v>
      </c>
      <c r="E188">
        <v>4</v>
      </c>
      <c r="F188" s="1"/>
      <c r="G188" s="1"/>
      <c r="H188">
        <f ca="1">IF(T_LEAVE[[#This Row],[EMPLOYEE]]="","",MATCH(T_LEAVE[[#This Row],[EMPLOYEE]],L_EMPLABELS,0))</f>
        <v>99</v>
      </c>
      <c r="I188">
        <f ca="1">IF(T_LEAVE[[#This Row],[EMPLOYEE]]="","",MATCH(T_LEAVE[[#This Row],[LEAVE TYPE]],L_LEAVETYPES,0))</f>
        <v>6</v>
      </c>
      <c r="J188" t="str" cm="1">
        <f t="array" aca="1" ref="J188" ca="1">IFERROR(INDEX(T_LEAVE_TYPES[SYMBOL],T_LEAVE[[#This Row],[LEAVE TYPE SYS ID]]),"")</f>
        <v>PR</v>
      </c>
      <c r="K188">
        <f ca="1">IF(T_LEAVE[[#This Row],[EMPLOYEE]]="","",IF(T_LEAVE[[#This Row],[ERROR]]="",0,1))</f>
        <v>0</v>
      </c>
      <c r="L188" t="str" cm="1">
        <f t="array" aca="1" ref="L18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9" spans="1:12">
      <c r="A189" t="s">
        <v>1947</v>
      </c>
      <c r="B189" s="15" t="s">
        <v>2077</v>
      </c>
      <c r="C189" s="15" t="s">
        <v>2077</v>
      </c>
      <c r="D189" t="s">
        <v>98</v>
      </c>
      <c r="E189">
        <v>1</v>
      </c>
      <c r="F189" s="1"/>
      <c r="G189" s="1"/>
      <c r="H189">
        <f ca="1">IF(T_LEAVE[[#This Row],[EMPLOYEE]]="","",MATCH(T_LEAVE[[#This Row],[EMPLOYEE]],L_EMPLABELS,0))</f>
        <v>410</v>
      </c>
      <c r="I189">
        <f ca="1">IF(T_LEAVE[[#This Row],[EMPLOYEE]]="","",MATCH(T_LEAVE[[#This Row],[LEAVE TYPE]],L_LEAVETYPES,0))</f>
        <v>7</v>
      </c>
      <c r="J189" t="str" cm="1">
        <f t="array" aca="1" ref="J189" ca="1">IFERROR(INDEX(T_LEAVE_TYPES[SYMBOL],T_LEAVE[[#This Row],[LEAVE TYPE SYS ID]]),"")</f>
        <v>C</v>
      </c>
      <c r="K189">
        <f ca="1">IF(T_LEAVE[[#This Row],[EMPLOYEE]]="","",IF(T_LEAVE[[#This Row],[ERROR]]="",0,1))</f>
        <v>0</v>
      </c>
      <c r="L189" t="str" cm="1">
        <f t="array" aca="1" ref="L18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0" spans="1:12">
      <c r="A190" t="s">
        <v>1977</v>
      </c>
      <c r="B190" s="15" t="s">
        <v>2078</v>
      </c>
      <c r="C190" s="15" t="s">
        <v>2058</v>
      </c>
      <c r="D190" t="s">
        <v>92</v>
      </c>
      <c r="E190">
        <v>2</v>
      </c>
      <c r="F190" s="1"/>
      <c r="G190" s="1"/>
      <c r="H190">
        <f ca="1">IF(T_LEAVE[[#This Row],[EMPLOYEE]]="","",MATCH(T_LEAVE[[#This Row],[EMPLOYEE]],L_EMPLABELS,0))</f>
        <v>449</v>
      </c>
      <c r="I190">
        <f ca="1">IF(T_LEAVE[[#This Row],[EMPLOYEE]]="","",MATCH(T_LEAVE[[#This Row],[LEAVE TYPE]],L_LEAVETYPES,0))</f>
        <v>6</v>
      </c>
      <c r="J190" t="str" cm="1">
        <f t="array" aca="1" ref="J190" ca="1">IFERROR(INDEX(T_LEAVE_TYPES[SYMBOL],T_LEAVE[[#This Row],[LEAVE TYPE SYS ID]]),"")</f>
        <v>PR</v>
      </c>
      <c r="K190">
        <f ca="1">IF(T_LEAVE[[#This Row],[EMPLOYEE]]="","",IF(T_LEAVE[[#This Row],[ERROR]]="",0,1))</f>
        <v>0</v>
      </c>
      <c r="L190" t="str" cm="1">
        <f t="array" aca="1" ref="L19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1" spans="1:12">
      <c r="A191" t="s">
        <v>1987</v>
      </c>
      <c r="B191" s="15" t="s">
        <v>2079</v>
      </c>
      <c r="C191" s="15" t="s">
        <v>2079</v>
      </c>
      <c r="D191" t="s">
        <v>98</v>
      </c>
      <c r="E191">
        <v>1</v>
      </c>
      <c r="F191" s="1"/>
      <c r="G191" s="1"/>
      <c r="H191">
        <f ca="1">IF(T_LEAVE[[#This Row],[EMPLOYEE]]="","",MATCH(T_LEAVE[[#This Row],[EMPLOYEE]],L_EMPLABELS,0))</f>
        <v>538</v>
      </c>
      <c r="I191">
        <f ca="1">IF(T_LEAVE[[#This Row],[EMPLOYEE]]="","",MATCH(T_LEAVE[[#This Row],[LEAVE TYPE]],L_LEAVETYPES,0))</f>
        <v>7</v>
      </c>
      <c r="J191" t="str" cm="1">
        <f t="array" aca="1" ref="J191" ca="1">IFERROR(INDEX(T_LEAVE_TYPES[SYMBOL],T_LEAVE[[#This Row],[LEAVE TYPE SYS ID]]),"")</f>
        <v>C</v>
      </c>
      <c r="K191">
        <f ca="1">IF(T_LEAVE[[#This Row],[EMPLOYEE]]="","",IF(T_LEAVE[[#This Row],[ERROR]]="",0,1))</f>
        <v>0</v>
      </c>
      <c r="L191" t="str" cm="1">
        <f t="array" aca="1" ref="L19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2" spans="1:12">
      <c r="A192" t="s">
        <v>2050</v>
      </c>
      <c r="B192" s="15" t="s">
        <v>1941</v>
      </c>
      <c r="C192" s="15" t="s">
        <v>1941</v>
      </c>
      <c r="D192" t="s">
        <v>92</v>
      </c>
      <c r="E192">
        <v>1</v>
      </c>
      <c r="F192" s="1"/>
      <c r="G192" s="1"/>
      <c r="H192">
        <f ca="1">IF(T_LEAVE[[#This Row],[EMPLOYEE]]="","",MATCH(T_LEAVE[[#This Row],[EMPLOYEE]],L_EMPLABELS,0))</f>
        <v>433</v>
      </c>
      <c r="I192">
        <f ca="1">IF(T_LEAVE[[#This Row],[EMPLOYEE]]="","",MATCH(T_LEAVE[[#This Row],[LEAVE TYPE]],L_LEAVETYPES,0))</f>
        <v>6</v>
      </c>
      <c r="J192" t="str" cm="1">
        <f t="array" aca="1" ref="J192" ca="1">IFERROR(INDEX(T_LEAVE_TYPES[SYMBOL],T_LEAVE[[#This Row],[LEAVE TYPE SYS ID]]),"")</f>
        <v>PR</v>
      </c>
      <c r="K192">
        <f ca="1">IF(T_LEAVE[[#This Row],[EMPLOYEE]]="","",IF(T_LEAVE[[#This Row],[ERROR]]="",0,1))</f>
        <v>0</v>
      </c>
      <c r="L192" t="str" cm="1">
        <f t="array" aca="1" ref="L19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3" spans="1:12">
      <c r="A193" t="s">
        <v>1976</v>
      </c>
      <c r="B193" s="15" t="s">
        <v>2080</v>
      </c>
      <c r="C193" s="15" t="s">
        <v>2080</v>
      </c>
      <c r="D193" t="s">
        <v>98</v>
      </c>
      <c r="E193">
        <v>1</v>
      </c>
      <c r="F193" s="1"/>
      <c r="G193" s="1"/>
      <c r="H193">
        <f ca="1">IF(T_LEAVE[[#This Row],[EMPLOYEE]]="","",MATCH(T_LEAVE[[#This Row],[EMPLOYEE]],L_EMPLABELS,0))</f>
        <v>167</v>
      </c>
      <c r="I193">
        <f ca="1">IF(T_LEAVE[[#This Row],[EMPLOYEE]]="","",MATCH(T_LEAVE[[#This Row],[LEAVE TYPE]],L_LEAVETYPES,0))</f>
        <v>7</v>
      </c>
      <c r="J193" t="str" cm="1">
        <f t="array" aca="1" ref="J193" ca="1">IFERROR(INDEX(T_LEAVE_TYPES[SYMBOL],T_LEAVE[[#This Row],[LEAVE TYPE SYS ID]]),"")</f>
        <v>C</v>
      </c>
      <c r="K193">
        <f ca="1">IF(T_LEAVE[[#This Row],[EMPLOYEE]]="","",IF(T_LEAVE[[#This Row],[ERROR]]="",0,1))</f>
        <v>0</v>
      </c>
      <c r="L193" t="str" cm="1">
        <f t="array" aca="1" ref="L19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4" spans="1:12">
      <c r="A194" t="s">
        <v>1976</v>
      </c>
      <c r="B194" s="15" t="s">
        <v>1992</v>
      </c>
      <c r="C194" s="15" t="s">
        <v>1992</v>
      </c>
      <c r="D194" t="s">
        <v>98</v>
      </c>
      <c r="E194">
        <v>1</v>
      </c>
      <c r="F194" s="1"/>
      <c r="G194" s="1"/>
      <c r="H194">
        <f ca="1">IF(T_LEAVE[[#This Row],[EMPLOYEE]]="","",MATCH(T_LEAVE[[#This Row],[EMPLOYEE]],L_EMPLABELS,0))</f>
        <v>167</v>
      </c>
      <c r="I194">
        <f ca="1">IF(T_LEAVE[[#This Row],[EMPLOYEE]]="","",MATCH(T_LEAVE[[#This Row],[LEAVE TYPE]],L_LEAVETYPES,0))</f>
        <v>7</v>
      </c>
      <c r="J194" t="str" cm="1">
        <f t="array" aca="1" ref="J194" ca="1">IFERROR(INDEX(T_LEAVE_TYPES[SYMBOL],T_LEAVE[[#This Row],[LEAVE TYPE SYS ID]]),"")</f>
        <v>C</v>
      </c>
      <c r="K194">
        <f ca="1">IF(T_LEAVE[[#This Row],[EMPLOYEE]]="","",IF(T_LEAVE[[#This Row],[ERROR]]="",0,1))</f>
        <v>0</v>
      </c>
      <c r="L194" t="str" cm="1">
        <f t="array" aca="1" ref="L19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5" spans="1:12">
      <c r="A195" t="s">
        <v>2050</v>
      </c>
      <c r="B195" s="15" t="s">
        <v>2044</v>
      </c>
      <c r="C195" s="15" t="s">
        <v>2044</v>
      </c>
      <c r="D195" t="s">
        <v>98</v>
      </c>
      <c r="E195">
        <v>1</v>
      </c>
      <c r="F195" s="1"/>
      <c r="G195" s="1"/>
      <c r="H195">
        <f ca="1">IF(T_LEAVE[[#This Row],[EMPLOYEE]]="","",MATCH(T_LEAVE[[#This Row],[EMPLOYEE]],L_EMPLABELS,0))</f>
        <v>433</v>
      </c>
      <c r="I195">
        <f ca="1">IF(T_LEAVE[[#This Row],[EMPLOYEE]]="","",MATCH(T_LEAVE[[#This Row],[LEAVE TYPE]],L_LEAVETYPES,0))</f>
        <v>7</v>
      </c>
      <c r="J195" t="str" cm="1">
        <f t="array" aca="1" ref="J195" ca="1">IFERROR(INDEX(T_LEAVE_TYPES[SYMBOL],T_LEAVE[[#This Row],[LEAVE TYPE SYS ID]]),"")</f>
        <v>C</v>
      </c>
      <c r="K195">
        <f ca="1">IF(T_LEAVE[[#This Row],[EMPLOYEE]]="","",IF(T_LEAVE[[#This Row],[ERROR]]="",0,1))</f>
        <v>0</v>
      </c>
      <c r="L195" t="str" cm="1">
        <f t="array" aca="1" ref="L19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6" spans="1:12">
      <c r="A196" t="s">
        <v>1981</v>
      </c>
      <c r="B196" s="15" t="s">
        <v>2081</v>
      </c>
      <c r="C196" s="15" t="s">
        <v>2082</v>
      </c>
      <c r="D196" t="s">
        <v>92</v>
      </c>
      <c r="E196">
        <v>2</v>
      </c>
      <c r="F196" s="1"/>
      <c r="G196" s="1"/>
      <c r="H196">
        <f ca="1">IF(T_LEAVE[[#This Row],[EMPLOYEE]]="","",MATCH(T_LEAVE[[#This Row],[EMPLOYEE]],L_EMPLABELS,0))</f>
        <v>366</v>
      </c>
      <c r="I196">
        <f ca="1">IF(T_LEAVE[[#This Row],[EMPLOYEE]]="","",MATCH(T_LEAVE[[#This Row],[LEAVE TYPE]],L_LEAVETYPES,0))</f>
        <v>6</v>
      </c>
      <c r="J196" t="str" cm="1">
        <f t="array" aca="1" ref="J196" ca="1">IFERROR(INDEX(T_LEAVE_TYPES[SYMBOL],T_LEAVE[[#This Row],[LEAVE TYPE SYS ID]]),"")</f>
        <v>PR</v>
      </c>
      <c r="K196">
        <f ca="1">IF(T_LEAVE[[#This Row],[EMPLOYEE]]="","",IF(T_LEAVE[[#This Row],[ERROR]]="",0,1))</f>
        <v>0</v>
      </c>
      <c r="L196" t="str" cm="1">
        <f t="array" aca="1" ref="L19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7" spans="1:12">
      <c r="A197" t="s">
        <v>1981</v>
      </c>
      <c r="B197" s="15" t="s">
        <v>2080</v>
      </c>
      <c r="C197" s="15" t="s">
        <v>2080</v>
      </c>
      <c r="D197" t="s">
        <v>98</v>
      </c>
      <c r="E197">
        <v>1</v>
      </c>
      <c r="F197" s="1"/>
      <c r="G197" s="1"/>
      <c r="H197">
        <f ca="1">IF(T_LEAVE[[#This Row],[EMPLOYEE]]="","",MATCH(T_LEAVE[[#This Row],[EMPLOYEE]],L_EMPLABELS,0))</f>
        <v>366</v>
      </c>
      <c r="I197">
        <f ca="1">IF(T_LEAVE[[#This Row],[EMPLOYEE]]="","",MATCH(T_LEAVE[[#This Row],[LEAVE TYPE]],L_LEAVETYPES,0))</f>
        <v>7</v>
      </c>
      <c r="J197" t="str" cm="1">
        <f t="array" aca="1" ref="J197" ca="1">IFERROR(INDEX(T_LEAVE_TYPES[SYMBOL],T_LEAVE[[#This Row],[LEAVE TYPE SYS ID]]),"")</f>
        <v>C</v>
      </c>
      <c r="K197">
        <f ca="1">IF(T_LEAVE[[#This Row],[EMPLOYEE]]="","",IF(T_LEAVE[[#This Row],[ERROR]]="",0,1))</f>
        <v>0</v>
      </c>
      <c r="L197" t="str" cm="1">
        <f t="array" aca="1" ref="L19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8" spans="1:12">
      <c r="A198" t="s">
        <v>1981</v>
      </c>
      <c r="B198" s="15" t="s">
        <v>2083</v>
      </c>
      <c r="C198" s="15" t="s">
        <v>2083</v>
      </c>
      <c r="D198" t="s">
        <v>98</v>
      </c>
      <c r="E198">
        <v>1</v>
      </c>
      <c r="F198" s="1"/>
      <c r="G198" s="1"/>
      <c r="H198">
        <f ca="1">IF(T_LEAVE[[#This Row],[EMPLOYEE]]="","",MATCH(T_LEAVE[[#This Row],[EMPLOYEE]],L_EMPLABELS,0))</f>
        <v>366</v>
      </c>
      <c r="I198">
        <f ca="1">IF(T_LEAVE[[#This Row],[EMPLOYEE]]="","",MATCH(T_LEAVE[[#This Row],[LEAVE TYPE]],L_LEAVETYPES,0))</f>
        <v>7</v>
      </c>
      <c r="J198" t="str" cm="1">
        <f t="array" aca="1" ref="J198" ca="1">IFERROR(INDEX(T_LEAVE_TYPES[SYMBOL],T_LEAVE[[#This Row],[LEAVE TYPE SYS ID]]),"")</f>
        <v>C</v>
      </c>
      <c r="K198">
        <f ca="1">IF(T_LEAVE[[#This Row],[EMPLOYEE]]="","",IF(T_LEAVE[[#This Row],[ERROR]]="",0,1))</f>
        <v>0</v>
      </c>
      <c r="L198" t="str" cm="1">
        <f t="array" aca="1" ref="L19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9" spans="1:12">
      <c r="A199" t="s">
        <v>1949</v>
      </c>
      <c r="B199" s="15" t="s">
        <v>2057</v>
      </c>
      <c r="C199" s="15" t="s">
        <v>2080</v>
      </c>
      <c r="D199" t="s">
        <v>98</v>
      </c>
      <c r="E199">
        <v>4</v>
      </c>
      <c r="F199" s="1"/>
      <c r="G199" s="1"/>
      <c r="H199">
        <f ca="1">IF(T_LEAVE[[#This Row],[EMPLOYEE]]="","",MATCH(T_LEAVE[[#This Row],[EMPLOYEE]],L_EMPLABELS,0))</f>
        <v>326</v>
      </c>
      <c r="I199">
        <f ca="1">IF(T_LEAVE[[#This Row],[EMPLOYEE]]="","",MATCH(T_LEAVE[[#This Row],[LEAVE TYPE]],L_LEAVETYPES,0))</f>
        <v>7</v>
      </c>
      <c r="J199" t="str" cm="1">
        <f t="array" aca="1" ref="J199" ca="1">IFERROR(INDEX(T_LEAVE_TYPES[SYMBOL],T_LEAVE[[#This Row],[LEAVE TYPE SYS ID]]),"")</f>
        <v>C</v>
      </c>
      <c r="K199">
        <f ca="1">IF(T_LEAVE[[#This Row],[EMPLOYEE]]="","",IF(T_LEAVE[[#This Row],[ERROR]]="",0,1))</f>
        <v>0</v>
      </c>
      <c r="L199" t="str" cm="1">
        <f t="array" aca="1" ref="L19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0" spans="1:12">
      <c r="A200" t="s">
        <v>1917</v>
      </c>
      <c r="B200" s="15" t="s">
        <v>1992</v>
      </c>
      <c r="C200" s="15" t="s">
        <v>2080</v>
      </c>
      <c r="D200" t="s">
        <v>92</v>
      </c>
      <c r="E200">
        <v>2</v>
      </c>
      <c r="F200" s="1"/>
      <c r="G200" s="1"/>
      <c r="H200">
        <f ca="1">IF(T_LEAVE[[#This Row],[EMPLOYEE]]="","",MATCH(T_LEAVE[[#This Row],[EMPLOYEE]],L_EMPLABELS,0))</f>
        <v>551</v>
      </c>
      <c r="I200">
        <f ca="1">IF(T_LEAVE[[#This Row],[EMPLOYEE]]="","",MATCH(T_LEAVE[[#This Row],[LEAVE TYPE]],L_LEAVETYPES,0))</f>
        <v>6</v>
      </c>
      <c r="J200" t="str" cm="1">
        <f t="array" aca="1" ref="J200" ca="1">IFERROR(INDEX(T_LEAVE_TYPES[SYMBOL],T_LEAVE[[#This Row],[LEAVE TYPE SYS ID]]),"")</f>
        <v>PR</v>
      </c>
      <c r="K200">
        <f ca="1">IF(T_LEAVE[[#This Row],[EMPLOYEE]]="","",IF(T_LEAVE[[#This Row],[ERROR]]="",0,1))</f>
        <v>0</v>
      </c>
      <c r="L200" t="str" cm="1">
        <f t="array" aca="1" ref="L20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1" spans="1:12">
      <c r="A201" t="s">
        <v>1971</v>
      </c>
      <c r="B201" s="15" t="s">
        <v>2084</v>
      </c>
      <c r="C201" s="15" t="s">
        <v>2085</v>
      </c>
      <c r="D201" t="s">
        <v>92</v>
      </c>
      <c r="E201">
        <v>5</v>
      </c>
      <c r="F201" s="1"/>
      <c r="G201" s="1"/>
      <c r="H201">
        <f ca="1">IF(T_LEAVE[[#This Row],[EMPLOYEE]]="","",MATCH(T_LEAVE[[#This Row],[EMPLOYEE]],L_EMPLABELS,0))</f>
        <v>452</v>
      </c>
      <c r="I201">
        <f ca="1">IF(T_LEAVE[[#This Row],[EMPLOYEE]]="","",MATCH(T_LEAVE[[#This Row],[LEAVE TYPE]],L_LEAVETYPES,0))</f>
        <v>6</v>
      </c>
      <c r="J201" t="str" cm="1">
        <f t="array" aca="1" ref="J201" ca="1">IFERROR(INDEX(T_LEAVE_TYPES[SYMBOL],T_LEAVE[[#This Row],[LEAVE TYPE SYS ID]]),"")</f>
        <v>PR</v>
      </c>
      <c r="K201">
        <f ca="1">IF(T_LEAVE[[#This Row],[EMPLOYEE]]="","",IF(T_LEAVE[[#This Row],[ERROR]]="",0,1))</f>
        <v>0</v>
      </c>
      <c r="L201" t="str" cm="1">
        <f t="array" aca="1" ref="L20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2" spans="1:12">
      <c r="A202" t="s">
        <v>1977</v>
      </c>
      <c r="B202" s="15" t="s">
        <v>2084</v>
      </c>
      <c r="C202" s="15" t="s">
        <v>2085</v>
      </c>
      <c r="D202" t="s">
        <v>92</v>
      </c>
      <c r="E202">
        <v>5</v>
      </c>
      <c r="F202" s="1"/>
      <c r="G202" s="1"/>
      <c r="H202">
        <f ca="1">IF(T_LEAVE[[#This Row],[EMPLOYEE]]="","",MATCH(T_LEAVE[[#This Row],[EMPLOYEE]],L_EMPLABELS,0))</f>
        <v>449</v>
      </c>
      <c r="I202">
        <f ca="1">IF(T_LEAVE[[#This Row],[EMPLOYEE]]="","",MATCH(T_LEAVE[[#This Row],[LEAVE TYPE]],L_LEAVETYPES,0))</f>
        <v>6</v>
      </c>
      <c r="J202" t="str" cm="1">
        <f t="array" aca="1" ref="J202" ca="1">IFERROR(INDEX(T_LEAVE_TYPES[SYMBOL],T_LEAVE[[#This Row],[LEAVE TYPE SYS ID]]),"")</f>
        <v>PR</v>
      </c>
      <c r="K202">
        <f ca="1">IF(T_LEAVE[[#This Row],[EMPLOYEE]]="","",IF(T_LEAVE[[#This Row],[ERROR]]="",0,1))</f>
        <v>0</v>
      </c>
      <c r="L202" t="str" cm="1">
        <f t="array" aca="1" ref="L20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3" spans="1:12">
      <c r="A203" t="s">
        <v>1981</v>
      </c>
      <c r="B203" s="15" t="s">
        <v>2085</v>
      </c>
      <c r="C203" s="15" t="s">
        <v>2085</v>
      </c>
      <c r="D203" t="s">
        <v>98</v>
      </c>
      <c r="E203">
        <v>1</v>
      </c>
      <c r="F203" s="1"/>
      <c r="G203" s="1"/>
      <c r="H203">
        <f ca="1">IF(T_LEAVE[[#This Row],[EMPLOYEE]]="","",MATCH(T_LEAVE[[#This Row],[EMPLOYEE]],L_EMPLABELS,0))</f>
        <v>366</v>
      </c>
      <c r="I203">
        <f ca="1">IF(T_LEAVE[[#This Row],[EMPLOYEE]]="","",MATCH(T_LEAVE[[#This Row],[LEAVE TYPE]],L_LEAVETYPES,0))</f>
        <v>7</v>
      </c>
      <c r="J203" t="str" cm="1">
        <f t="array" aca="1" ref="J203" ca="1">IFERROR(INDEX(T_LEAVE_TYPES[SYMBOL],T_LEAVE[[#This Row],[LEAVE TYPE SYS ID]]),"")</f>
        <v>C</v>
      </c>
      <c r="K203">
        <f ca="1">IF(T_LEAVE[[#This Row],[EMPLOYEE]]="","",IF(T_LEAVE[[#This Row],[ERROR]]="",0,1))</f>
        <v>0</v>
      </c>
      <c r="L203" t="str" cm="1">
        <f t="array" aca="1" ref="L20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4" spans="1:12">
      <c r="A204" t="s">
        <v>1986</v>
      </c>
      <c r="B204" s="15" t="s">
        <v>2086</v>
      </c>
      <c r="C204" s="15" t="s">
        <v>2086</v>
      </c>
      <c r="D204" t="s">
        <v>98</v>
      </c>
      <c r="E204">
        <v>1</v>
      </c>
      <c r="F204" s="1"/>
      <c r="G204" s="1"/>
      <c r="H204">
        <f ca="1">IF(T_LEAVE[[#This Row],[EMPLOYEE]]="","",MATCH(T_LEAVE[[#This Row],[EMPLOYEE]],L_EMPLABELS,0))</f>
        <v>499</v>
      </c>
      <c r="I204">
        <f ca="1">IF(T_LEAVE[[#This Row],[EMPLOYEE]]="","",MATCH(T_LEAVE[[#This Row],[LEAVE TYPE]],L_LEAVETYPES,0))</f>
        <v>7</v>
      </c>
      <c r="J204" t="str" cm="1">
        <f t="array" aca="1" ref="J204" ca="1">IFERROR(INDEX(T_LEAVE_TYPES[SYMBOL],T_LEAVE[[#This Row],[LEAVE TYPE SYS ID]]),"")</f>
        <v>C</v>
      </c>
      <c r="K204">
        <f ca="1">IF(T_LEAVE[[#This Row],[EMPLOYEE]]="","",IF(T_LEAVE[[#This Row],[ERROR]]="",0,1))</f>
        <v>0</v>
      </c>
      <c r="L204" t="str" cm="1">
        <f t="array" aca="1" ref="L20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5" spans="1:12">
      <c r="A205" t="s">
        <v>1995</v>
      </c>
      <c r="B205" s="15" t="s">
        <v>1942</v>
      </c>
      <c r="C205" s="15" t="s">
        <v>1942</v>
      </c>
      <c r="D205" t="s">
        <v>98</v>
      </c>
      <c r="E205">
        <v>1</v>
      </c>
      <c r="F205" s="1"/>
      <c r="G205" s="1"/>
      <c r="H205">
        <f ca="1">IF(T_LEAVE[[#This Row],[EMPLOYEE]]="","",MATCH(T_LEAVE[[#This Row],[EMPLOYEE]],L_EMPLABELS,0))</f>
        <v>408</v>
      </c>
      <c r="I205">
        <f ca="1">IF(T_LEAVE[[#This Row],[EMPLOYEE]]="","",MATCH(T_LEAVE[[#This Row],[LEAVE TYPE]],L_LEAVETYPES,0))</f>
        <v>7</v>
      </c>
      <c r="J205" t="str" cm="1">
        <f t="array" aca="1" ref="J205" ca="1">IFERROR(INDEX(T_LEAVE_TYPES[SYMBOL],T_LEAVE[[#This Row],[LEAVE TYPE SYS ID]]),"")</f>
        <v>C</v>
      </c>
      <c r="K205">
        <f ca="1">IF(T_LEAVE[[#This Row],[EMPLOYEE]]="","",IF(T_LEAVE[[#This Row],[ERROR]]="",0,1))</f>
        <v>0</v>
      </c>
      <c r="L205" t="str" cm="1">
        <f t="array" aca="1" ref="L20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6" spans="1:12">
      <c r="A206" t="s">
        <v>2030</v>
      </c>
      <c r="B206" s="15" t="s">
        <v>2087</v>
      </c>
      <c r="C206" s="15" t="s">
        <v>2036</v>
      </c>
      <c r="D206" t="s">
        <v>62</v>
      </c>
      <c r="E206">
        <v>182</v>
      </c>
      <c r="F206" s="1"/>
      <c r="G206" s="1"/>
      <c r="H206">
        <f ca="1">IF(T_LEAVE[[#This Row],[EMPLOYEE]]="","",MATCH(T_LEAVE[[#This Row],[EMPLOYEE]],L_EMPLABELS,0))</f>
        <v>314</v>
      </c>
      <c r="I206">
        <f ca="1">IF(T_LEAVE[[#This Row],[EMPLOYEE]]="","",MATCH(T_LEAVE[[#This Row],[LEAVE TYPE]],L_LEAVETYPES,0))</f>
        <v>3</v>
      </c>
      <c r="J206" t="str" cm="1">
        <f t="array" aca="1" ref="J206" ca="1">IFERROR(INDEX(T_LEAVE_TYPES[SYMBOL],T_LEAVE[[#This Row],[LEAVE TYPE SYS ID]]),"")</f>
        <v>M</v>
      </c>
      <c r="K206">
        <f ca="1">IF(T_LEAVE[[#This Row],[EMPLOYEE]]="","",IF(T_LEAVE[[#This Row],[ERROR]]="",0,1))</f>
        <v>0</v>
      </c>
      <c r="L206" t="str" cm="1">
        <f t="array" aca="1" ref="L20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7" spans="1:12">
      <c r="A207" t="s">
        <v>2030</v>
      </c>
      <c r="B207" s="15" t="s">
        <v>2088</v>
      </c>
      <c r="C207" s="15" t="s">
        <v>2089</v>
      </c>
      <c r="D207" t="s">
        <v>98</v>
      </c>
      <c r="E207">
        <v>2</v>
      </c>
      <c r="F207" s="1"/>
      <c r="G207" s="1"/>
      <c r="H207">
        <f ca="1">IF(T_LEAVE[[#This Row],[EMPLOYEE]]="","",MATCH(T_LEAVE[[#This Row],[EMPLOYEE]],L_EMPLABELS,0))</f>
        <v>314</v>
      </c>
      <c r="I207">
        <f ca="1">IF(T_LEAVE[[#This Row],[EMPLOYEE]]="","",MATCH(T_LEAVE[[#This Row],[LEAVE TYPE]],L_LEAVETYPES,0))</f>
        <v>7</v>
      </c>
      <c r="J207" t="str" cm="1">
        <f t="array" aca="1" ref="J207" ca="1">IFERROR(INDEX(T_LEAVE_TYPES[SYMBOL],T_LEAVE[[#This Row],[LEAVE TYPE SYS ID]]),"")</f>
        <v>C</v>
      </c>
      <c r="K207">
        <f ca="1">IF(T_LEAVE[[#This Row],[EMPLOYEE]]="","",IF(T_LEAVE[[#This Row],[ERROR]]="",0,1))</f>
        <v>0</v>
      </c>
      <c r="L207" t="str" cm="1">
        <f t="array" aca="1" ref="L20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8" spans="1:12">
      <c r="A208" t="s">
        <v>2090</v>
      </c>
      <c r="B208" s="15" t="s">
        <v>2091</v>
      </c>
      <c r="C208" s="15" t="s">
        <v>2091</v>
      </c>
      <c r="D208" t="s">
        <v>92</v>
      </c>
      <c r="E208">
        <v>1</v>
      </c>
      <c r="F208" s="1"/>
      <c r="G208" s="1"/>
      <c r="H208">
        <f ca="1">IF(T_LEAVE[[#This Row],[EMPLOYEE]]="","",MATCH(T_LEAVE[[#This Row],[EMPLOYEE]],L_EMPLABELS,0))</f>
        <v>338</v>
      </c>
      <c r="I208">
        <f ca="1">IF(T_LEAVE[[#This Row],[EMPLOYEE]]="","",MATCH(T_LEAVE[[#This Row],[LEAVE TYPE]],L_LEAVETYPES,0))</f>
        <v>6</v>
      </c>
      <c r="J208" t="str" cm="1">
        <f t="array" aca="1" ref="J208" ca="1">IFERROR(INDEX(T_LEAVE_TYPES[SYMBOL],T_LEAVE[[#This Row],[LEAVE TYPE SYS ID]]),"")</f>
        <v>PR</v>
      </c>
      <c r="K208">
        <f ca="1">IF(T_LEAVE[[#This Row],[EMPLOYEE]]="","",IF(T_LEAVE[[#This Row],[ERROR]]="",0,1))</f>
        <v>0</v>
      </c>
      <c r="L208" t="str" cm="1">
        <f t="array" aca="1" ref="L20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9" spans="1:12">
      <c r="A209" t="s">
        <v>2090</v>
      </c>
      <c r="B209" s="15" t="s">
        <v>1996</v>
      </c>
      <c r="C209" s="15" t="s">
        <v>1996</v>
      </c>
      <c r="D209" t="s">
        <v>98</v>
      </c>
      <c r="E209">
        <v>1</v>
      </c>
      <c r="F209" s="1"/>
      <c r="G209" s="1"/>
      <c r="H209">
        <f ca="1">IF(T_LEAVE[[#This Row],[EMPLOYEE]]="","",MATCH(T_LEAVE[[#This Row],[EMPLOYEE]],L_EMPLABELS,0))</f>
        <v>338</v>
      </c>
      <c r="I209">
        <f ca="1">IF(T_LEAVE[[#This Row],[EMPLOYEE]]="","",MATCH(T_LEAVE[[#This Row],[LEAVE TYPE]],L_LEAVETYPES,0))</f>
        <v>7</v>
      </c>
      <c r="J209" t="str" cm="1">
        <f t="array" aca="1" ref="J209" ca="1">IFERROR(INDEX(T_LEAVE_TYPES[SYMBOL],T_LEAVE[[#This Row],[LEAVE TYPE SYS ID]]),"")</f>
        <v>C</v>
      </c>
      <c r="K209">
        <f ca="1">IF(T_LEAVE[[#This Row],[EMPLOYEE]]="","",IF(T_LEAVE[[#This Row],[ERROR]]="",0,1))</f>
        <v>0</v>
      </c>
      <c r="L209" t="str" cm="1">
        <f t="array" aca="1" ref="L20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0" spans="1:12">
      <c r="A210" t="s">
        <v>2037</v>
      </c>
      <c r="B210" s="15" t="s">
        <v>2032</v>
      </c>
      <c r="C210" s="15" t="s">
        <v>2092</v>
      </c>
      <c r="D210" t="s">
        <v>73</v>
      </c>
      <c r="E210">
        <v>4</v>
      </c>
      <c r="F210" s="1"/>
      <c r="G210" s="1"/>
      <c r="H210">
        <f ca="1">IF(T_LEAVE[[#This Row],[EMPLOYEE]]="","",MATCH(T_LEAVE[[#This Row],[EMPLOYEE]],L_EMPLABELS,0))</f>
        <v>517</v>
      </c>
      <c r="I210">
        <f ca="1">IF(T_LEAVE[[#This Row],[EMPLOYEE]]="","",MATCH(T_LEAVE[[#This Row],[LEAVE TYPE]],L_LEAVETYPES,0))</f>
        <v>4</v>
      </c>
      <c r="J210" t="str" cm="1">
        <f t="array" aca="1" ref="J210" ca="1">IFERROR(INDEX(T_LEAVE_TYPES[SYMBOL],T_LEAVE[[#This Row],[LEAVE TYPE SYS ID]]),"")</f>
        <v>P</v>
      </c>
      <c r="K210">
        <f ca="1">IF(T_LEAVE[[#This Row],[EMPLOYEE]]="","",IF(T_LEAVE[[#This Row],[ERROR]]="",0,1))</f>
        <v>0</v>
      </c>
      <c r="L210" t="str" cm="1">
        <f t="array" aca="1" ref="L21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1" spans="1:12">
      <c r="A211" t="s">
        <v>2037</v>
      </c>
      <c r="B211" s="15" t="s">
        <v>2032</v>
      </c>
      <c r="C211" s="15" t="s">
        <v>2092</v>
      </c>
      <c r="D211" t="s">
        <v>73</v>
      </c>
      <c r="E211">
        <v>4</v>
      </c>
      <c r="F211" s="1"/>
      <c r="G211" s="1"/>
      <c r="H211">
        <f ca="1">IF(T_LEAVE[[#This Row],[EMPLOYEE]]="","",MATCH(T_LEAVE[[#This Row],[EMPLOYEE]],L_EMPLABELS,0))</f>
        <v>517</v>
      </c>
      <c r="I211">
        <f ca="1">IF(T_LEAVE[[#This Row],[EMPLOYEE]]="","",MATCH(T_LEAVE[[#This Row],[LEAVE TYPE]],L_LEAVETYPES,0))</f>
        <v>4</v>
      </c>
      <c r="J211" t="str" cm="1">
        <f t="array" aca="1" ref="J211" ca="1">IFERROR(INDEX(T_LEAVE_TYPES[SYMBOL],T_LEAVE[[#This Row],[LEAVE TYPE SYS ID]]),"")</f>
        <v>P</v>
      </c>
      <c r="K211">
        <f ca="1">IF(T_LEAVE[[#This Row],[EMPLOYEE]]="","",IF(T_LEAVE[[#This Row],[ERROR]]="",0,1))</f>
        <v>0</v>
      </c>
      <c r="L211" t="str" cm="1">
        <f t="array" aca="1" ref="L21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2" spans="1:12">
      <c r="A212" t="s">
        <v>2090</v>
      </c>
      <c r="B212" s="15" t="s">
        <v>1989</v>
      </c>
      <c r="C212" s="15" t="s">
        <v>1989</v>
      </c>
      <c r="D212" t="s">
        <v>98</v>
      </c>
      <c r="E212">
        <v>1</v>
      </c>
      <c r="F212" s="1"/>
      <c r="G212" s="1"/>
      <c r="H212">
        <f ca="1">IF(T_LEAVE[[#This Row],[EMPLOYEE]]="","",MATCH(T_LEAVE[[#This Row],[EMPLOYEE]],L_EMPLABELS,0))</f>
        <v>338</v>
      </c>
      <c r="I212">
        <f ca="1">IF(T_LEAVE[[#This Row],[EMPLOYEE]]="","",MATCH(T_LEAVE[[#This Row],[LEAVE TYPE]],L_LEAVETYPES,0))</f>
        <v>7</v>
      </c>
      <c r="J212" t="str" cm="1">
        <f t="array" aca="1" ref="J212" ca="1">IFERROR(INDEX(T_LEAVE_TYPES[SYMBOL],T_LEAVE[[#This Row],[LEAVE TYPE SYS ID]]),"")</f>
        <v>C</v>
      </c>
      <c r="K212">
        <f ca="1">IF(T_LEAVE[[#This Row],[EMPLOYEE]]="","",IF(T_LEAVE[[#This Row],[ERROR]]="",0,1))</f>
        <v>0</v>
      </c>
      <c r="L212" t="str" cm="1">
        <f t="array" aca="1" ref="L21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3" spans="1:12">
      <c r="A213" t="s">
        <v>2090</v>
      </c>
      <c r="B213" s="15" t="s">
        <v>1922</v>
      </c>
      <c r="C213" s="15" t="s">
        <v>2029</v>
      </c>
      <c r="D213" t="s">
        <v>98</v>
      </c>
      <c r="E213">
        <v>2</v>
      </c>
      <c r="F213" s="1"/>
      <c r="G213" s="1"/>
      <c r="H213">
        <f ca="1">IF(T_LEAVE[[#This Row],[EMPLOYEE]]="","",MATCH(T_LEAVE[[#This Row],[EMPLOYEE]],L_EMPLABELS,0))</f>
        <v>338</v>
      </c>
      <c r="I213">
        <f ca="1">IF(T_LEAVE[[#This Row],[EMPLOYEE]]="","",MATCH(T_LEAVE[[#This Row],[LEAVE TYPE]],L_LEAVETYPES,0))</f>
        <v>7</v>
      </c>
      <c r="J213" t="str" cm="1">
        <f t="array" aca="1" ref="J213" ca="1">IFERROR(INDEX(T_LEAVE_TYPES[SYMBOL],T_LEAVE[[#This Row],[LEAVE TYPE SYS ID]]),"")</f>
        <v>C</v>
      </c>
      <c r="K213">
        <f ca="1">IF(T_LEAVE[[#This Row],[EMPLOYEE]]="","",IF(T_LEAVE[[#This Row],[ERROR]]="",0,1))</f>
        <v>0</v>
      </c>
      <c r="L213" t="str" cm="1">
        <f t="array" aca="1" ref="L21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4" spans="1:12">
      <c r="A214" t="s">
        <v>2090</v>
      </c>
      <c r="B214" s="15" t="s">
        <v>2093</v>
      </c>
      <c r="C214" s="15" t="s">
        <v>2093</v>
      </c>
      <c r="D214" t="s">
        <v>98</v>
      </c>
      <c r="E214">
        <v>1</v>
      </c>
      <c r="F214" s="1"/>
      <c r="G214" s="1"/>
      <c r="H214">
        <f ca="1">IF(T_LEAVE[[#This Row],[EMPLOYEE]]="","",MATCH(T_LEAVE[[#This Row],[EMPLOYEE]],L_EMPLABELS,0))</f>
        <v>338</v>
      </c>
      <c r="I214">
        <f ca="1">IF(T_LEAVE[[#This Row],[EMPLOYEE]]="","",MATCH(T_LEAVE[[#This Row],[LEAVE TYPE]],L_LEAVETYPES,0))</f>
        <v>7</v>
      </c>
      <c r="J214" t="str" cm="1">
        <f t="array" aca="1" ref="J214" ca="1">IFERROR(INDEX(T_LEAVE_TYPES[SYMBOL],T_LEAVE[[#This Row],[LEAVE TYPE SYS ID]]),"")</f>
        <v>C</v>
      </c>
      <c r="K214">
        <f ca="1">IF(T_LEAVE[[#This Row],[EMPLOYEE]]="","",IF(T_LEAVE[[#This Row],[ERROR]]="",0,1))</f>
        <v>0</v>
      </c>
      <c r="L214" t="str" cm="1">
        <f t="array" aca="1" ref="L21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5" spans="1:12">
      <c r="A215" t="s">
        <v>2037</v>
      </c>
      <c r="B215" s="15" t="s">
        <v>2032</v>
      </c>
      <c r="C215" s="15" t="s">
        <v>2092</v>
      </c>
      <c r="D215" t="s">
        <v>73</v>
      </c>
      <c r="E215">
        <v>4</v>
      </c>
      <c r="F215" s="1"/>
      <c r="G215" s="1"/>
      <c r="H215">
        <f ca="1">IF(T_LEAVE[[#This Row],[EMPLOYEE]]="","",MATCH(T_LEAVE[[#This Row],[EMPLOYEE]],L_EMPLABELS,0))</f>
        <v>517</v>
      </c>
      <c r="I215">
        <f ca="1">IF(T_LEAVE[[#This Row],[EMPLOYEE]]="","",MATCH(T_LEAVE[[#This Row],[LEAVE TYPE]],L_LEAVETYPES,0))</f>
        <v>4</v>
      </c>
      <c r="J215" t="str" cm="1">
        <f t="array" aca="1" ref="J215" ca="1">IFERROR(INDEX(T_LEAVE_TYPES[SYMBOL],T_LEAVE[[#This Row],[LEAVE TYPE SYS ID]]),"")</f>
        <v>P</v>
      </c>
      <c r="K215">
        <f ca="1">IF(T_LEAVE[[#This Row],[EMPLOYEE]]="","",IF(T_LEAVE[[#This Row],[ERROR]]="",0,1))</f>
        <v>0</v>
      </c>
      <c r="L215" t="str" cm="1">
        <f t="array" aca="1" ref="L21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6" spans="1:12">
      <c r="A216" t="s">
        <v>2090</v>
      </c>
      <c r="B216" s="15" t="s">
        <v>2094</v>
      </c>
      <c r="C216" s="15" t="s">
        <v>2094</v>
      </c>
      <c r="D216" t="s">
        <v>92</v>
      </c>
      <c r="E216">
        <v>1</v>
      </c>
      <c r="F216" s="1"/>
      <c r="G216" s="1"/>
      <c r="H216">
        <f ca="1">IF(T_LEAVE[[#This Row],[EMPLOYEE]]="","",MATCH(T_LEAVE[[#This Row],[EMPLOYEE]],L_EMPLABELS,0))</f>
        <v>338</v>
      </c>
      <c r="I216">
        <f ca="1">IF(T_LEAVE[[#This Row],[EMPLOYEE]]="","",MATCH(T_LEAVE[[#This Row],[LEAVE TYPE]],L_LEAVETYPES,0))</f>
        <v>6</v>
      </c>
      <c r="J216" t="str" cm="1">
        <f t="array" aca="1" ref="J216" ca="1">IFERROR(INDEX(T_LEAVE_TYPES[SYMBOL],T_LEAVE[[#This Row],[LEAVE TYPE SYS ID]]),"")</f>
        <v>PR</v>
      </c>
      <c r="K216">
        <f ca="1">IF(T_LEAVE[[#This Row],[EMPLOYEE]]="","",IF(T_LEAVE[[#This Row],[ERROR]]="",0,1))</f>
        <v>0</v>
      </c>
      <c r="L216" t="str" cm="1">
        <f t="array" aca="1" ref="L21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7" spans="1:12">
      <c r="A217" t="s">
        <v>1976</v>
      </c>
      <c r="B217" s="15" t="s">
        <v>1967</v>
      </c>
      <c r="C217" s="15" t="s">
        <v>1967</v>
      </c>
      <c r="D217" t="s">
        <v>98</v>
      </c>
      <c r="E217">
        <v>1</v>
      </c>
      <c r="F217" s="1"/>
      <c r="G217" s="1"/>
      <c r="H217">
        <f ca="1">IF(T_LEAVE[[#This Row],[EMPLOYEE]]="","",MATCH(T_LEAVE[[#This Row],[EMPLOYEE]],L_EMPLABELS,0))</f>
        <v>167</v>
      </c>
      <c r="I217">
        <f ca="1">IF(T_LEAVE[[#This Row],[EMPLOYEE]]="","",MATCH(T_LEAVE[[#This Row],[LEAVE TYPE]],L_LEAVETYPES,0))</f>
        <v>7</v>
      </c>
      <c r="J217" t="str" cm="1">
        <f t="array" aca="1" ref="J217" ca="1">IFERROR(INDEX(T_LEAVE_TYPES[SYMBOL],T_LEAVE[[#This Row],[LEAVE TYPE SYS ID]]),"")</f>
        <v>C</v>
      </c>
      <c r="K217">
        <f ca="1">IF(T_LEAVE[[#This Row],[EMPLOYEE]]="","",IF(T_LEAVE[[#This Row],[ERROR]]="",0,1))</f>
        <v>0</v>
      </c>
      <c r="L217" t="str" cm="1">
        <f t="array" aca="1" ref="L21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8" spans="1:12">
      <c r="A218" t="s">
        <v>2090</v>
      </c>
      <c r="B218" s="15" t="s">
        <v>2077</v>
      </c>
      <c r="C218" s="15" t="s">
        <v>2077</v>
      </c>
      <c r="D218" t="s">
        <v>98</v>
      </c>
      <c r="E218">
        <v>1</v>
      </c>
      <c r="F218" s="1"/>
      <c r="G218" s="1"/>
      <c r="H218">
        <f ca="1">IF(T_LEAVE[[#This Row],[EMPLOYEE]]="","",MATCH(T_LEAVE[[#This Row],[EMPLOYEE]],L_EMPLABELS,0))</f>
        <v>338</v>
      </c>
      <c r="I218">
        <f ca="1">IF(T_LEAVE[[#This Row],[EMPLOYEE]]="","",MATCH(T_LEAVE[[#This Row],[LEAVE TYPE]],L_LEAVETYPES,0))</f>
        <v>7</v>
      </c>
      <c r="J218" t="str" cm="1">
        <f t="array" aca="1" ref="J218" ca="1">IFERROR(INDEX(T_LEAVE_TYPES[SYMBOL],T_LEAVE[[#This Row],[LEAVE TYPE SYS ID]]),"")</f>
        <v>C</v>
      </c>
      <c r="K218">
        <f ca="1">IF(T_LEAVE[[#This Row],[EMPLOYEE]]="","",IF(T_LEAVE[[#This Row],[ERROR]]="",0,1))</f>
        <v>0</v>
      </c>
      <c r="L218" t="str" cm="1">
        <f t="array" aca="1" ref="L21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9" spans="1:12">
      <c r="A219" t="s">
        <v>1977</v>
      </c>
      <c r="B219" s="15" t="s">
        <v>2032</v>
      </c>
      <c r="C219" s="15" t="s">
        <v>1930</v>
      </c>
      <c r="D219" t="s">
        <v>98</v>
      </c>
      <c r="E219">
        <v>2</v>
      </c>
      <c r="F219" s="1"/>
      <c r="G219" s="1"/>
      <c r="H219">
        <f ca="1">IF(T_LEAVE[[#This Row],[EMPLOYEE]]="","",MATCH(T_LEAVE[[#This Row],[EMPLOYEE]],L_EMPLABELS,0))</f>
        <v>449</v>
      </c>
      <c r="I219">
        <f ca="1">IF(T_LEAVE[[#This Row],[EMPLOYEE]]="","",MATCH(T_LEAVE[[#This Row],[LEAVE TYPE]],L_LEAVETYPES,0))</f>
        <v>7</v>
      </c>
      <c r="J219" t="str" cm="1">
        <f t="array" aca="1" ref="J219" ca="1">IFERROR(INDEX(T_LEAVE_TYPES[SYMBOL],T_LEAVE[[#This Row],[LEAVE TYPE SYS ID]]),"")</f>
        <v>C</v>
      </c>
      <c r="K219">
        <f ca="1">IF(T_LEAVE[[#This Row],[EMPLOYEE]]="","",IF(T_LEAVE[[#This Row],[ERROR]]="",0,1))</f>
        <v>0</v>
      </c>
      <c r="L219" t="str" cm="1">
        <f t="array" aca="1" ref="L21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0" spans="1:12">
      <c r="A220" t="s">
        <v>1906</v>
      </c>
      <c r="B220" s="15" t="s">
        <v>2095</v>
      </c>
      <c r="C220" s="15" t="s">
        <v>2096</v>
      </c>
      <c r="D220" t="s">
        <v>92</v>
      </c>
      <c r="E220">
        <v>3</v>
      </c>
      <c r="F220" s="1"/>
      <c r="G220" s="1"/>
      <c r="H220">
        <f ca="1">IF(T_LEAVE[[#This Row],[EMPLOYEE]]="","",MATCH(T_LEAVE[[#This Row],[EMPLOYEE]],L_EMPLABELS,0))</f>
        <v>509</v>
      </c>
      <c r="I220">
        <f ca="1">IF(T_LEAVE[[#This Row],[EMPLOYEE]]="","",MATCH(T_LEAVE[[#This Row],[LEAVE TYPE]],L_LEAVETYPES,0))</f>
        <v>6</v>
      </c>
      <c r="J220" t="str" cm="1">
        <f t="array" aca="1" ref="J220" ca="1">IFERROR(INDEX(T_LEAVE_TYPES[SYMBOL],T_LEAVE[[#This Row],[LEAVE TYPE SYS ID]]),"")</f>
        <v>PR</v>
      </c>
      <c r="K220">
        <f ca="1">IF(T_LEAVE[[#This Row],[EMPLOYEE]]="","",IF(T_LEAVE[[#This Row],[ERROR]]="",0,1))</f>
        <v>0</v>
      </c>
      <c r="L220" t="str" cm="1">
        <f t="array" aca="1" ref="L22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1" spans="1:12">
      <c r="A221" t="s">
        <v>2027</v>
      </c>
      <c r="B221" s="28" t="s">
        <v>1924</v>
      </c>
      <c r="C221" s="15" t="s">
        <v>1924</v>
      </c>
      <c r="D221" t="s">
        <v>98</v>
      </c>
      <c r="E221">
        <v>1</v>
      </c>
      <c r="F221" s="1"/>
      <c r="G221" s="1"/>
      <c r="H221">
        <f ca="1">IF(T_LEAVE[[#This Row],[EMPLOYEE]]="","",MATCH(T_LEAVE[[#This Row],[EMPLOYEE]],L_EMPLABELS,0))</f>
        <v>101</v>
      </c>
      <c r="I221">
        <f ca="1">IF(T_LEAVE[[#This Row],[EMPLOYEE]]="","",MATCH(T_LEAVE[[#This Row],[LEAVE TYPE]],L_LEAVETYPES,0))</f>
        <v>7</v>
      </c>
      <c r="J221" t="str" cm="1">
        <f t="array" aca="1" ref="J221" ca="1">IFERROR(INDEX(T_LEAVE_TYPES[SYMBOL],T_LEAVE[[#This Row],[LEAVE TYPE SYS ID]]),"")</f>
        <v>C</v>
      </c>
      <c r="K221">
        <f ca="1">IF(T_LEAVE[[#This Row],[EMPLOYEE]]="","",IF(T_LEAVE[[#This Row],[ERROR]]="",0,1))</f>
        <v>0</v>
      </c>
      <c r="L221" t="str" cm="1">
        <f t="array" aca="1" ref="L22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2" spans="1:12">
      <c r="A222" t="s">
        <v>2090</v>
      </c>
      <c r="B222" s="15" t="s">
        <v>2097</v>
      </c>
      <c r="C222" s="15" t="s">
        <v>2097</v>
      </c>
      <c r="D222" t="s">
        <v>92</v>
      </c>
      <c r="E222">
        <v>1</v>
      </c>
      <c r="F222" s="1"/>
      <c r="G222" s="1"/>
      <c r="H222">
        <f ca="1">IF(T_LEAVE[[#This Row],[EMPLOYEE]]="","",MATCH(T_LEAVE[[#This Row],[EMPLOYEE]],L_EMPLABELS,0))</f>
        <v>338</v>
      </c>
      <c r="I222">
        <f ca="1">IF(T_LEAVE[[#This Row],[EMPLOYEE]]="","",MATCH(T_LEAVE[[#This Row],[LEAVE TYPE]],L_LEAVETYPES,0))</f>
        <v>6</v>
      </c>
      <c r="J222" t="str" cm="1">
        <f t="array" aca="1" ref="J222" ca="1">IFERROR(INDEX(T_LEAVE_TYPES[SYMBOL],T_LEAVE[[#This Row],[LEAVE TYPE SYS ID]]),"")</f>
        <v>PR</v>
      </c>
      <c r="K222">
        <f ca="1">IF(T_LEAVE[[#This Row],[EMPLOYEE]]="","",IF(T_LEAVE[[#This Row],[ERROR]]="",0,1))</f>
        <v>0</v>
      </c>
      <c r="L222" t="str" cm="1">
        <f t="array" aca="1" ref="L22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3" spans="1:12">
      <c r="A223" t="s">
        <v>2004</v>
      </c>
      <c r="B223" s="15" t="s">
        <v>2031</v>
      </c>
      <c r="C223" s="15" t="s">
        <v>2031</v>
      </c>
      <c r="D223" t="s">
        <v>98</v>
      </c>
      <c r="E223">
        <v>1</v>
      </c>
      <c r="F223" s="1"/>
      <c r="G223" s="1"/>
      <c r="H223">
        <f ca="1">IF(T_LEAVE[[#This Row],[EMPLOYEE]]="","",MATCH(T_LEAVE[[#This Row],[EMPLOYEE]],L_EMPLABELS,0))</f>
        <v>400</v>
      </c>
      <c r="I223">
        <f ca="1">IF(T_LEAVE[[#This Row],[EMPLOYEE]]="","",MATCH(T_LEAVE[[#This Row],[LEAVE TYPE]],L_LEAVETYPES,0))</f>
        <v>7</v>
      </c>
      <c r="J223" t="str" cm="1">
        <f t="array" aca="1" ref="J223" ca="1">IFERROR(INDEX(T_LEAVE_TYPES[SYMBOL],T_LEAVE[[#This Row],[LEAVE TYPE SYS ID]]),"")</f>
        <v>C</v>
      </c>
      <c r="K223">
        <f ca="1">IF(T_LEAVE[[#This Row],[EMPLOYEE]]="","",IF(T_LEAVE[[#This Row],[ERROR]]="",0,1))</f>
        <v>0</v>
      </c>
      <c r="L223" t="str" cm="1">
        <f t="array" aca="1" ref="L22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4" spans="1:12">
      <c r="A224" t="s">
        <v>2004</v>
      </c>
      <c r="B224" s="15" t="s">
        <v>2098</v>
      </c>
      <c r="C224" s="15" t="s">
        <v>2098</v>
      </c>
      <c r="D224" t="s">
        <v>98</v>
      </c>
      <c r="E224">
        <v>1</v>
      </c>
      <c r="F224" s="1"/>
      <c r="G224" s="1"/>
      <c r="H224">
        <f ca="1">IF(T_LEAVE[[#This Row],[EMPLOYEE]]="","",MATCH(T_LEAVE[[#This Row],[EMPLOYEE]],L_EMPLABELS,0))</f>
        <v>400</v>
      </c>
      <c r="I224">
        <f ca="1">IF(T_LEAVE[[#This Row],[EMPLOYEE]]="","",MATCH(T_LEAVE[[#This Row],[LEAVE TYPE]],L_LEAVETYPES,0))</f>
        <v>7</v>
      </c>
      <c r="J224" t="str" cm="1">
        <f t="array" aca="1" ref="J224" ca="1">IFERROR(INDEX(T_LEAVE_TYPES[SYMBOL],T_LEAVE[[#This Row],[LEAVE TYPE SYS ID]]),"")</f>
        <v>C</v>
      </c>
      <c r="K224">
        <f ca="1">IF(T_LEAVE[[#This Row],[EMPLOYEE]]="","",IF(T_LEAVE[[#This Row],[ERROR]]="",0,1))</f>
        <v>0</v>
      </c>
      <c r="L224" t="str" cm="1">
        <f t="array" aca="1" ref="L22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5" spans="1:12">
      <c r="A225" t="s">
        <v>2090</v>
      </c>
      <c r="B225" s="15" t="s">
        <v>2097</v>
      </c>
      <c r="C225" s="15" t="s">
        <v>2097</v>
      </c>
      <c r="D225" s="17" t="s">
        <v>84</v>
      </c>
      <c r="E225">
        <v>1</v>
      </c>
      <c r="F225" s="1"/>
      <c r="G225" s="1"/>
      <c r="H225">
        <f ca="1">IF(T_LEAVE[[#This Row],[EMPLOYEE]]="","",MATCH(T_LEAVE[[#This Row],[EMPLOYEE]],L_EMPLABELS,0))</f>
        <v>338</v>
      </c>
      <c r="I225">
        <f ca="1">IF(T_LEAVE[[#This Row],[EMPLOYEE]]="","",MATCH(T_LEAVE[[#This Row],[LEAVE TYPE]],L_LEAVETYPES,0))</f>
        <v>5</v>
      </c>
      <c r="J225" t="str" cm="1">
        <f t="array" aca="1" ref="J225" ca="1">IFERROR(INDEX(T_LEAVE_TYPES[SYMBOL],T_LEAVE[[#This Row],[LEAVE TYPE SYS ID]]),"")</f>
        <v>B</v>
      </c>
      <c r="K225">
        <f ca="1">IF(T_LEAVE[[#This Row],[EMPLOYEE]]="","",IF(T_LEAVE[[#This Row],[ERROR]]="",0,1))</f>
        <v>0</v>
      </c>
      <c r="L225" t="str" cm="1">
        <f t="array" aca="1" ref="L22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6" spans="1:12">
      <c r="A226" t="s">
        <v>1910</v>
      </c>
      <c r="B226" s="15" t="s">
        <v>1967</v>
      </c>
      <c r="C226" s="15" t="s">
        <v>1967</v>
      </c>
      <c r="D226" t="s">
        <v>98</v>
      </c>
      <c r="E226">
        <v>1</v>
      </c>
      <c r="F226" s="1"/>
      <c r="G226" s="1"/>
      <c r="H226">
        <f ca="1">IF(T_LEAVE[[#This Row],[EMPLOYEE]]="","",MATCH(T_LEAVE[[#This Row],[EMPLOYEE]],L_EMPLABELS,0))</f>
        <v>493</v>
      </c>
      <c r="I226">
        <f ca="1">IF(T_LEAVE[[#This Row],[EMPLOYEE]]="","",MATCH(T_LEAVE[[#This Row],[LEAVE TYPE]],L_LEAVETYPES,0))</f>
        <v>7</v>
      </c>
      <c r="J226" t="str" cm="1">
        <f t="array" aca="1" ref="J226" ca="1">IFERROR(INDEX(T_LEAVE_TYPES[SYMBOL],T_LEAVE[[#This Row],[LEAVE TYPE SYS ID]]),"")</f>
        <v>C</v>
      </c>
      <c r="K226">
        <f ca="1">IF(T_LEAVE[[#This Row],[EMPLOYEE]]="","",IF(T_LEAVE[[#This Row],[ERROR]]="",0,1))</f>
        <v>0</v>
      </c>
      <c r="L226" t="str" cm="1">
        <f t="array" aca="1" ref="L22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7" spans="1:12">
      <c r="A227" t="s">
        <v>1910</v>
      </c>
      <c r="B227" s="15" t="s">
        <v>2099</v>
      </c>
      <c r="C227" s="15" t="s">
        <v>2099</v>
      </c>
      <c r="D227" t="s">
        <v>98</v>
      </c>
      <c r="E227">
        <v>1</v>
      </c>
      <c r="F227" s="1"/>
      <c r="G227" s="1"/>
      <c r="H227">
        <f ca="1">IF(T_LEAVE[[#This Row],[EMPLOYEE]]="","",MATCH(T_LEAVE[[#This Row],[EMPLOYEE]],L_EMPLABELS,0))</f>
        <v>493</v>
      </c>
      <c r="I227">
        <f ca="1">IF(T_LEAVE[[#This Row],[EMPLOYEE]]="","",MATCH(T_LEAVE[[#This Row],[LEAVE TYPE]],L_LEAVETYPES,0))</f>
        <v>7</v>
      </c>
      <c r="J227" t="str" cm="1">
        <f t="array" aca="1" ref="J227" ca="1">IFERROR(INDEX(T_LEAVE_TYPES[SYMBOL],T_LEAVE[[#This Row],[LEAVE TYPE SYS ID]]),"")</f>
        <v>C</v>
      </c>
      <c r="K227">
        <f ca="1">IF(T_LEAVE[[#This Row],[EMPLOYEE]]="","",IF(T_LEAVE[[#This Row],[ERROR]]="",0,1))</f>
        <v>0</v>
      </c>
      <c r="L227" t="str" cm="1">
        <f t="array" aca="1" ref="L22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8" spans="1:12">
      <c r="A228" t="s">
        <v>2090</v>
      </c>
      <c r="B228" s="15" t="s">
        <v>2100</v>
      </c>
      <c r="C228" s="15" t="s">
        <v>2100</v>
      </c>
      <c r="D228" t="s">
        <v>98</v>
      </c>
      <c r="E228">
        <v>1</v>
      </c>
      <c r="F228" s="1"/>
      <c r="G228" s="1"/>
      <c r="H228">
        <f ca="1">IF(T_LEAVE[[#This Row],[EMPLOYEE]]="","",MATCH(T_LEAVE[[#This Row],[EMPLOYEE]],L_EMPLABELS,0))</f>
        <v>338</v>
      </c>
      <c r="I228">
        <f ca="1">IF(T_LEAVE[[#This Row],[EMPLOYEE]]="","",MATCH(T_LEAVE[[#This Row],[LEAVE TYPE]],L_LEAVETYPES,0))</f>
        <v>7</v>
      </c>
      <c r="J228" t="str" cm="1">
        <f t="array" aca="1" ref="J228" ca="1">IFERROR(INDEX(T_LEAVE_TYPES[SYMBOL],T_LEAVE[[#This Row],[LEAVE TYPE SYS ID]]),"")</f>
        <v>C</v>
      </c>
      <c r="K228">
        <f ca="1">IF(T_LEAVE[[#This Row],[EMPLOYEE]]="","",IF(T_LEAVE[[#This Row],[ERROR]]="",0,1))</f>
        <v>0</v>
      </c>
      <c r="L228" t="str" cm="1">
        <f t="array" aca="1" ref="L22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9" spans="1:12">
      <c r="A229" t="s">
        <v>2090</v>
      </c>
      <c r="B229" s="15" t="s">
        <v>1945</v>
      </c>
      <c r="C229" s="15" t="s">
        <v>2101</v>
      </c>
      <c r="D229" t="s">
        <v>92</v>
      </c>
      <c r="E229">
        <v>2</v>
      </c>
      <c r="F229" s="1"/>
      <c r="G229" s="1"/>
      <c r="H229">
        <f ca="1">IF(T_LEAVE[[#This Row],[EMPLOYEE]]="","",MATCH(T_LEAVE[[#This Row],[EMPLOYEE]],L_EMPLABELS,0))</f>
        <v>338</v>
      </c>
      <c r="I229">
        <f ca="1">IF(T_LEAVE[[#This Row],[EMPLOYEE]]="","",MATCH(T_LEAVE[[#This Row],[LEAVE TYPE]],L_LEAVETYPES,0))</f>
        <v>6</v>
      </c>
      <c r="J229" t="str" cm="1">
        <f t="array" aca="1" ref="J229" ca="1">IFERROR(INDEX(T_LEAVE_TYPES[SYMBOL],T_LEAVE[[#This Row],[LEAVE TYPE SYS ID]]),"")</f>
        <v>PR</v>
      </c>
      <c r="K229">
        <f ca="1">IF(T_LEAVE[[#This Row],[EMPLOYEE]]="","",IF(T_LEAVE[[#This Row],[ERROR]]="",0,1))</f>
        <v>0</v>
      </c>
      <c r="L229" t="str" cm="1">
        <f t="array" aca="1" ref="L22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0" spans="1:12">
      <c r="A230" t="s">
        <v>2090</v>
      </c>
      <c r="B230" s="15" t="s">
        <v>2102</v>
      </c>
      <c r="C230" s="15" t="s">
        <v>2102</v>
      </c>
      <c r="D230" t="s">
        <v>98</v>
      </c>
      <c r="E230">
        <v>1</v>
      </c>
      <c r="F230" s="1"/>
      <c r="G230" s="1"/>
      <c r="H230">
        <f ca="1">IF(T_LEAVE[[#This Row],[EMPLOYEE]]="","",MATCH(T_LEAVE[[#This Row],[EMPLOYEE]],L_EMPLABELS,0))</f>
        <v>338</v>
      </c>
      <c r="I230">
        <f ca="1">IF(T_LEAVE[[#This Row],[EMPLOYEE]]="","",MATCH(T_LEAVE[[#This Row],[LEAVE TYPE]],L_LEAVETYPES,0))</f>
        <v>7</v>
      </c>
      <c r="J230" t="str" cm="1">
        <f t="array" aca="1" ref="J230" ca="1">IFERROR(INDEX(T_LEAVE_TYPES[SYMBOL],T_LEAVE[[#This Row],[LEAVE TYPE SYS ID]]),"")</f>
        <v>C</v>
      </c>
      <c r="K230">
        <f ca="1">IF(T_LEAVE[[#This Row],[EMPLOYEE]]="","",IF(T_LEAVE[[#This Row],[ERROR]]="",0,1))</f>
        <v>0</v>
      </c>
      <c r="L230" t="str" cm="1">
        <f t="array" aca="1" ref="L23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1" spans="1:12">
      <c r="A231" t="s">
        <v>2090</v>
      </c>
      <c r="B231" s="15" t="s">
        <v>2103</v>
      </c>
      <c r="C231" s="15" t="s">
        <v>2103</v>
      </c>
      <c r="D231" t="s">
        <v>98</v>
      </c>
      <c r="E231">
        <v>1</v>
      </c>
      <c r="F231" s="1"/>
      <c r="G231" s="1"/>
      <c r="H231">
        <f ca="1">IF(T_LEAVE[[#This Row],[EMPLOYEE]]="","",MATCH(T_LEAVE[[#This Row],[EMPLOYEE]],L_EMPLABELS,0))</f>
        <v>338</v>
      </c>
      <c r="I231">
        <f ca="1">IF(T_LEAVE[[#This Row],[EMPLOYEE]]="","",MATCH(T_LEAVE[[#This Row],[LEAVE TYPE]],L_LEAVETYPES,0))</f>
        <v>7</v>
      </c>
      <c r="J231" t="str" cm="1">
        <f t="array" aca="1" ref="J231" ca="1">IFERROR(INDEX(T_LEAVE_TYPES[SYMBOL],T_LEAVE[[#This Row],[LEAVE TYPE SYS ID]]),"")</f>
        <v>C</v>
      </c>
      <c r="K231">
        <f ca="1">IF(T_LEAVE[[#This Row],[EMPLOYEE]]="","",IF(T_LEAVE[[#This Row],[ERROR]]="",0,1))</f>
        <v>0</v>
      </c>
      <c r="L231" t="str" cm="1">
        <f t="array" aca="1" ref="L23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2" spans="1:12">
      <c r="A232" t="s">
        <v>2008</v>
      </c>
      <c r="B232" s="15" t="s">
        <v>1931</v>
      </c>
      <c r="C232" s="15" t="s">
        <v>2104</v>
      </c>
      <c r="D232" t="s">
        <v>92</v>
      </c>
      <c r="E232">
        <v>6</v>
      </c>
      <c r="F232" s="1"/>
      <c r="G232" s="1"/>
      <c r="H232">
        <f ca="1">IF(T_LEAVE[[#This Row],[EMPLOYEE]]="","",MATCH(T_LEAVE[[#This Row],[EMPLOYEE]],L_EMPLABELS,0))</f>
        <v>498</v>
      </c>
      <c r="I232">
        <f ca="1">IF(T_LEAVE[[#This Row],[EMPLOYEE]]="","",MATCH(T_LEAVE[[#This Row],[LEAVE TYPE]],L_LEAVETYPES,0))</f>
        <v>6</v>
      </c>
      <c r="J232" t="str" cm="1">
        <f t="array" aca="1" ref="J232" ca="1">IFERROR(INDEX(T_LEAVE_TYPES[SYMBOL],T_LEAVE[[#This Row],[LEAVE TYPE SYS ID]]),"")</f>
        <v>PR</v>
      </c>
      <c r="K232">
        <f ca="1">IF(T_LEAVE[[#This Row],[EMPLOYEE]]="","",IF(T_LEAVE[[#This Row],[ERROR]]="",0,1))</f>
        <v>0</v>
      </c>
      <c r="L232" t="str" cm="1">
        <f t="array" aca="1" ref="L23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3" spans="1:12">
      <c r="A233" t="s">
        <v>1906</v>
      </c>
      <c r="B233" s="15" t="s">
        <v>2104</v>
      </c>
      <c r="C233" s="15" t="s">
        <v>2104</v>
      </c>
      <c r="D233" t="s">
        <v>98</v>
      </c>
      <c r="E233">
        <v>1</v>
      </c>
      <c r="F233" s="1"/>
      <c r="G233" s="1"/>
      <c r="H233">
        <f ca="1">IF(T_LEAVE[[#This Row],[EMPLOYEE]]="","",MATCH(T_LEAVE[[#This Row],[EMPLOYEE]],L_EMPLABELS,0))</f>
        <v>509</v>
      </c>
      <c r="I233">
        <f ca="1">IF(T_LEAVE[[#This Row],[EMPLOYEE]]="","",MATCH(T_LEAVE[[#This Row],[LEAVE TYPE]],L_LEAVETYPES,0))</f>
        <v>7</v>
      </c>
      <c r="J233" t="str" cm="1">
        <f t="array" aca="1" ref="J233" ca="1">IFERROR(INDEX(T_LEAVE_TYPES[SYMBOL],T_LEAVE[[#This Row],[LEAVE TYPE SYS ID]]),"")</f>
        <v>C</v>
      </c>
      <c r="K233">
        <f ca="1">IF(T_LEAVE[[#This Row],[EMPLOYEE]]="","",IF(T_LEAVE[[#This Row],[ERROR]]="",0,1))</f>
        <v>0</v>
      </c>
      <c r="L233" t="str" cm="1">
        <f t="array" aca="1" ref="L23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4" spans="1:12">
      <c r="A234" t="s">
        <v>2005</v>
      </c>
      <c r="B234" s="15" t="s">
        <v>2105</v>
      </c>
      <c r="C234" s="15" t="s">
        <v>2105</v>
      </c>
      <c r="D234" t="s">
        <v>92</v>
      </c>
      <c r="E234">
        <v>1</v>
      </c>
      <c r="F234" s="1"/>
      <c r="G234" s="1"/>
      <c r="H234">
        <f ca="1">IF(T_LEAVE[[#This Row],[EMPLOYEE]]="","",MATCH(T_LEAVE[[#This Row],[EMPLOYEE]],L_EMPLABELS,0))</f>
        <v>384</v>
      </c>
      <c r="I234">
        <f ca="1">IF(T_LEAVE[[#This Row],[EMPLOYEE]]="","",MATCH(T_LEAVE[[#This Row],[LEAVE TYPE]],L_LEAVETYPES,0))</f>
        <v>6</v>
      </c>
      <c r="J234" t="str" cm="1">
        <f t="array" aca="1" ref="J234" ca="1">IFERROR(INDEX(T_LEAVE_TYPES[SYMBOL],T_LEAVE[[#This Row],[LEAVE TYPE SYS ID]]),"")</f>
        <v>PR</v>
      </c>
      <c r="K234">
        <f ca="1">IF(T_LEAVE[[#This Row],[EMPLOYEE]]="","",IF(T_LEAVE[[#This Row],[ERROR]]="",0,1))</f>
        <v>0</v>
      </c>
      <c r="L234" t="str" cm="1">
        <f t="array" aca="1" ref="L23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5" spans="1:12">
      <c r="A235" t="s">
        <v>1917</v>
      </c>
      <c r="B235" s="15" t="s">
        <v>2106</v>
      </c>
      <c r="C235" s="15" t="s">
        <v>2106</v>
      </c>
      <c r="D235" t="s">
        <v>98</v>
      </c>
      <c r="E235">
        <v>1</v>
      </c>
      <c r="F235" s="1"/>
      <c r="G235" s="1"/>
      <c r="H235">
        <f ca="1">IF(T_LEAVE[[#This Row],[EMPLOYEE]]="","",MATCH(T_LEAVE[[#This Row],[EMPLOYEE]],L_EMPLABELS,0))</f>
        <v>551</v>
      </c>
      <c r="I235">
        <f ca="1">IF(T_LEAVE[[#This Row],[EMPLOYEE]]="","",MATCH(T_LEAVE[[#This Row],[LEAVE TYPE]],L_LEAVETYPES,0))</f>
        <v>7</v>
      </c>
      <c r="J235" t="str" cm="1">
        <f t="array" aca="1" ref="J235" ca="1">IFERROR(INDEX(T_LEAVE_TYPES[SYMBOL],T_LEAVE[[#This Row],[LEAVE TYPE SYS ID]]),"")</f>
        <v>C</v>
      </c>
      <c r="K235">
        <f ca="1">IF(T_LEAVE[[#This Row],[EMPLOYEE]]="","",IF(T_LEAVE[[#This Row],[ERROR]]="",0,1))</f>
        <v>0</v>
      </c>
      <c r="L235" t="str" cm="1">
        <f t="array" aca="1" ref="L23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6" spans="1:12">
      <c r="A236" t="s">
        <v>2000</v>
      </c>
      <c r="B236" s="15" t="s">
        <v>2107</v>
      </c>
      <c r="C236" s="15" t="s">
        <v>2107</v>
      </c>
      <c r="D236" t="s">
        <v>98</v>
      </c>
      <c r="E236">
        <v>1</v>
      </c>
      <c r="F236" s="1"/>
      <c r="G236" s="1"/>
      <c r="H236">
        <f ca="1">IF(T_LEAVE[[#This Row],[EMPLOYEE]]="","",MATCH(T_LEAVE[[#This Row],[EMPLOYEE]],L_EMPLABELS,0))</f>
        <v>540</v>
      </c>
      <c r="I236">
        <f ca="1">IF(T_LEAVE[[#This Row],[EMPLOYEE]]="","",MATCH(T_LEAVE[[#This Row],[LEAVE TYPE]],L_LEAVETYPES,0))</f>
        <v>7</v>
      </c>
      <c r="J236" t="str" cm="1">
        <f t="array" aca="1" ref="J236" ca="1">IFERROR(INDEX(T_LEAVE_TYPES[SYMBOL],T_LEAVE[[#This Row],[LEAVE TYPE SYS ID]]),"")</f>
        <v>C</v>
      </c>
      <c r="K236">
        <f ca="1">IF(T_LEAVE[[#This Row],[EMPLOYEE]]="","",IF(T_LEAVE[[#This Row],[ERROR]]="",0,1))</f>
        <v>0</v>
      </c>
      <c r="L236" t="str" cm="1">
        <f t="array" aca="1" ref="L23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7" spans="1:12">
      <c r="A237" t="s">
        <v>1906</v>
      </c>
      <c r="B237" s="15" t="s">
        <v>2108</v>
      </c>
      <c r="C237" s="15" t="s">
        <v>2108</v>
      </c>
      <c r="D237" t="s">
        <v>98</v>
      </c>
      <c r="E237">
        <v>1</v>
      </c>
      <c r="F237" s="1"/>
      <c r="G237" s="1"/>
      <c r="H237">
        <f ca="1">IF(T_LEAVE[[#This Row],[EMPLOYEE]]="","",MATCH(T_LEAVE[[#This Row],[EMPLOYEE]],L_EMPLABELS,0))</f>
        <v>509</v>
      </c>
      <c r="I237">
        <f ca="1">IF(T_LEAVE[[#This Row],[EMPLOYEE]]="","",MATCH(T_LEAVE[[#This Row],[LEAVE TYPE]],L_LEAVETYPES,0))</f>
        <v>7</v>
      </c>
      <c r="J237" t="str" cm="1">
        <f t="array" aca="1" ref="J237" ca="1">IFERROR(INDEX(T_LEAVE_TYPES[SYMBOL],T_LEAVE[[#This Row],[LEAVE TYPE SYS ID]]),"")</f>
        <v>C</v>
      </c>
      <c r="K237">
        <f ca="1">IF(T_LEAVE[[#This Row],[EMPLOYEE]]="","",IF(T_LEAVE[[#This Row],[ERROR]]="",0,1))</f>
        <v>0</v>
      </c>
      <c r="L237" t="str" cm="1">
        <f t="array" aca="1" ref="L23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8" spans="1:12">
      <c r="A238" t="s">
        <v>1986</v>
      </c>
      <c r="B238" s="15" t="s">
        <v>2107</v>
      </c>
      <c r="C238" s="15" t="s">
        <v>2107</v>
      </c>
      <c r="D238" t="s">
        <v>98</v>
      </c>
      <c r="E238">
        <v>1</v>
      </c>
      <c r="F238" s="1"/>
      <c r="G238" s="1"/>
      <c r="H238">
        <f ca="1">IF(T_LEAVE[[#This Row],[EMPLOYEE]]="","",MATCH(T_LEAVE[[#This Row],[EMPLOYEE]],L_EMPLABELS,0))</f>
        <v>499</v>
      </c>
      <c r="I238">
        <f ca="1">IF(T_LEAVE[[#This Row],[EMPLOYEE]]="","",MATCH(T_LEAVE[[#This Row],[LEAVE TYPE]],L_LEAVETYPES,0))</f>
        <v>7</v>
      </c>
      <c r="J238" t="str" cm="1">
        <f t="array" aca="1" ref="J238" ca="1">IFERROR(INDEX(T_LEAVE_TYPES[SYMBOL],T_LEAVE[[#This Row],[LEAVE TYPE SYS ID]]),"")</f>
        <v>C</v>
      </c>
      <c r="K238">
        <f ca="1">IF(T_LEAVE[[#This Row],[EMPLOYEE]]="","",IF(T_LEAVE[[#This Row],[ERROR]]="",0,1))</f>
        <v>0</v>
      </c>
      <c r="L238" t="str" cm="1">
        <f t="array" aca="1" ref="L23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9" spans="1:12">
      <c r="A239" t="s">
        <v>2037</v>
      </c>
      <c r="B239" s="15" t="s">
        <v>2109</v>
      </c>
      <c r="C239" s="15" t="s">
        <v>2109</v>
      </c>
      <c r="D239" t="s">
        <v>98</v>
      </c>
      <c r="E239">
        <v>1</v>
      </c>
      <c r="F239" s="1"/>
      <c r="G239" s="1"/>
      <c r="H239">
        <f ca="1">IF(T_LEAVE[[#This Row],[EMPLOYEE]]="","",MATCH(T_LEAVE[[#This Row],[EMPLOYEE]],L_EMPLABELS,0))</f>
        <v>517</v>
      </c>
      <c r="I239">
        <f ca="1">IF(T_LEAVE[[#This Row],[EMPLOYEE]]="","",MATCH(T_LEAVE[[#This Row],[LEAVE TYPE]],L_LEAVETYPES,0))</f>
        <v>7</v>
      </c>
      <c r="J239" t="str" cm="1">
        <f t="array" aca="1" ref="J239" ca="1">IFERROR(INDEX(T_LEAVE_TYPES[SYMBOL],T_LEAVE[[#This Row],[LEAVE TYPE SYS ID]]),"")</f>
        <v>C</v>
      </c>
      <c r="K239">
        <f ca="1">IF(T_LEAVE[[#This Row],[EMPLOYEE]]="","",IF(T_LEAVE[[#This Row],[ERROR]]="",0,1))</f>
        <v>0</v>
      </c>
      <c r="L239" t="str" cm="1">
        <f t="array" aca="1" ref="L23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0" spans="1:12">
      <c r="A240" t="s">
        <v>1947</v>
      </c>
      <c r="B240" s="15" t="s">
        <v>2107</v>
      </c>
      <c r="C240" s="15" t="s">
        <v>2107</v>
      </c>
      <c r="D240" t="s">
        <v>98</v>
      </c>
      <c r="E240">
        <v>1</v>
      </c>
      <c r="F240" s="1"/>
      <c r="G240" s="1"/>
      <c r="H240">
        <f ca="1">IF(T_LEAVE[[#This Row],[EMPLOYEE]]="","",MATCH(T_LEAVE[[#This Row],[EMPLOYEE]],L_EMPLABELS,0))</f>
        <v>410</v>
      </c>
      <c r="I240">
        <f ca="1">IF(T_LEAVE[[#This Row],[EMPLOYEE]]="","",MATCH(T_LEAVE[[#This Row],[LEAVE TYPE]],L_LEAVETYPES,0))</f>
        <v>7</v>
      </c>
      <c r="J240" t="str" cm="1">
        <f t="array" aca="1" ref="J240" ca="1">IFERROR(INDEX(T_LEAVE_TYPES[SYMBOL],T_LEAVE[[#This Row],[LEAVE TYPE SYS ID]]),"")</f>
        <v>C</v>
      </c>
      <c r="K240">
        <f ca="1">IF(T_LEAVE[[#This Row],[EMPLOYEE]]="","",IF(T_LEAVE[[#This Row],[ERROR]]="",0,1))</f>
        <v>0</v>
      </c>
      <c r="L240" t="str" cm="1">
        <f t="array" aca="1" ref="L24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1" spans="1:12">
      <c r="A241" t="s">
        <v>1995</v>
      </c>
      <c r="B241" s="15" t="s">
        <v>2110</v>
      </c>
      <c r="C241" s="15" t="s">
        <v>2110</v>
      </c>
      <c r="D241" t="s">
        <v>92</v>
      </c>
      <c r="E241">
        <v>1</v>
      </c>
      <c r="F241" s="1"/>
      <c r="G241" s="1"/>
      <c r="H241">
        <f ca="1">IF(T_LEAVE[[#This Row],[EMPLOYEE]]="","",MATCH(T_LEAVE[[#This Row],[EMPLOYEE]],L_EMPLABELS,0))</f>
        <v>408</v>
      </c>
      <c r="I241">
        <f ca="1">IF(T_LEAVE[[#This Row],[EMPLOYEE]]="","",MATCH(T_LEAVE[[#This Row],[LEAVE TYPE]],L_LEAVETYPES,0))</f>
        <v>6</v>
      </c>
      <c r="J241" t="str" cm="1">
        <f t="array" aca="1" ref="J241" ca="1">IFERROR(INDEX(T_LEAVE_TYPES[SYMBOL],T_LEAVE[[#This Row],[LEAVE TYPE SYS ID]]),"")</f>
        <v>PR</v>
      </c>
      <c r="K241">
        <f ca="1">IF(T_LEAVE[[#This Row],[EMPLOYEE]]="","",IF(T_LEAVE[[#This Row],[ERROR]]="",0,1))</f>
        <v>0</v>
      </c>
      <c r="L241" t="str" cm="1">
        <f t="array" aca="1" ref="L24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2" spans="1:12">
      <c r="A242" t="s">
        <v>1995</v>
      </c>
      <c r="B242" s="15" t="s">
        <v>2047</v>
      </c>
      <c r="C242" s="15" t="s">
        <v>2111</v>
      </c>
      <c r="D242" t="s">
        <v>98</v>
      </c>
      <c r="E242">
        <v>2</v>
      </c>
      <c r="F242" s="1"/>
      <c r="G242" s="1"/>
      <c r="H242">
        <f ca="1">IF(T_LEAVE[[#This Row],[EMPLOYEE]]="","",MATCH(T_LEAVE[[#This Row],[EMPLOYEE]],L_EMPLABELS,0))</f>
        <v>408</v>
      </c>
      <c r="I242">
        <f ca="1">IF(T_LEAVE[[#This Row],[EMPLOYEE]]="","",MATCH(T_LEAVE[[#This Row],[LEAVE TYPE]],L_LEAVETYPES,0))</f>
        <v>7</v>
      </c>
      <c r="J242" t="str" cm="1">
        <f t="array" aca="1" ref="J242" ca="1">IFERROR(INDEX(T_LEAVE_TYPES[SYMBOL],T_LEAVE[[#This Row],[LEAVE TYPE SYS ID]]),"")</f>
        <v>C</v>
      </c>
      <c r="K242">
        <f ca="1">IF(T_LEAVE[[#This Row],[EMPLOYEE]]="","",IF(T_LEAVE[[#This Row],[ERROR]]="",0,1))</f>
        <v>0</v>
      </c>
      <c r="L242" t="str" cm="1">
        <f t="array" aca="1" ref="L24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3" spans="1:12">
      <c r="A243" t="s">
        <v>2064</v>
      </c>
      <c r="B243" s="15" t="s">
        <v>2112</v>
      </c>
      <c r="C243" s="15" t="s">
        <v>1933</v>
      </c>
      <c r="D243" t="s">
        <v>92</v>
      </c>
      <c r="E243">
        <v>2</v>
      </c>
      <c r="F243" s="1"/>
      <c r="G243" s="1"/>
      <c r="H243">
        <f ca="1">IF(T_LEAVE[[#This Row],[EMPLOYEE]]="","",MATCH(T_LEAVE[[#This Row],[EMPLOYEE]],L_EMPLABELS,0))</f>
        <v>210</v>
      </c>
      <c r="I243">
        <f ca="1">IF(T_LEAVE[[#This Row],[EMPLOYEE]]="","",MATCH(T_LEAVE[[#This Row],[LEAVE TYPE]],L_LEAVETYPES,0))</f>
        <v>6</v>
      </c>
      <c r="J243" t="str" cm="1">
        <f t="array" aca="1" ref="J243" ca="1">IFERROR(INDEX(T_LEAVE_TYPES[SYMBOL],T_LEAVE[[#This Row],[LEAVE TYPE SYS ID]]),"")</f>
        <v>PR</v>
      </c>
      <c r="K243">
        <f ca="1">IF(T_LEAVE[[#This Row],[EMPLOYEE]]="","",IF(T_LEAVE[[#This Row],[ERROR]]="",0,1))</f>
        <v>0</v>
      </c>
      <c r="L243" t="str" cm="1">
        <f t="array" aca="1" ref="L24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4" spans="1:12">
      <c r="A244" t="s">
        <v>1950</v>
      </c>
      <c r="B244" s="15" t="s">
        <v>2113</v>
      </c>
      <c r="C244" s="15" t="s">
        <v>2114</v>
      </c>
      <c r="D244" t="s">
        <v>98</v>
      </c>
      <c r="E244">
        <v>2</v>
      </c>
      <c r="F244" s="1"/>
      <c r="G244" s="1"/>
      <c r="H244">
        <f ca="1">IF(T_LEAVE[[#This Row],[EMPLOYEE]]="","",MATCH(T_LEAVE[[#This Row],[EMPLOYEE]],L_EMPLABELS,0))</f>
        <v>290</v>
      </c>
      <c r="I244">
        <f ca="1">IF(T_LEAVE[[#This Row],[EMPLOYEE]]="","",MATCH(T_LEAVE[[#This Row],[LEAVE TYPE]],L_LEAVETYPES,0))</f>
        <v>7</v>
      </c>
      <c r="J244" t="str" cm="1">
        <f t="array" aca="1" ref="J244" ca="1">IFERROR(INDEX(T_LEAVE_TYPES[SYMBOL],T_LEAVE[[#This Row],[LEAVE TYPE SYS ID]]),"")</f>
        <v>C</v>
      </c>
      <c r="K244">
        <f ca="1">IF(T_LEAVE[[#This Row],[EMPLOYEE]]="","",IF(T_LEAVE[[#This Row],[ERROR]]="",0,1))</f>
        <v>0</v>
      </c>
      <c r="L244" t="str" cm="1">
        <f t="array" aca="1" ref="L24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5" spans="1:12">
      <c r="A245" t="s">
        <v>1950</v>
      </c>
      <c r="B245" s="15" t="s">
        <v>2115</v>
      </c>
      <c r="C245" s="15" t="s">
        <v>1933</v>
      </c>
      <c r="D245" t="s">
        <v>92</v>
      </c>
      <c r="E245">
        <v>3</v>
      </c>
      <c r="F245" s="1"/>
      <c r="G245" s="1"/>
      <c r="H245">
        <f ca="1">IF(T_LEAVE[[#This Row],[EMPLOYEE]]="","",MATCH(T_LEAVE[[#This Row],[EMPLOYEE]],L_EMPLABELS,0))</f>
        <v>290</v>
      </c>
      <c r="I245">
        <f ca="1">IF(T_LEAVE[[#This Row],[EMPLOYEE]]="","",MATCH(T_LEAVE[[#This Row],[LEAVE TYPE]],L_LEAVETYPES,0))</f>
        <v>6</v>
      </c>
      <c r="J245" t="str" cm="1">
        <f t="array" aca="1" ref="J245" ca="1">IFERROR(INDEX(T_LEAVE_TYPES[SYMBOL],T_LEAVE[[#This Row],[LEAVE TYPE SYS ID]]),"")</f>
        <v>PR</v>
      </c>
      <c r="K245">
        <f ca="1">IF(T_LEAVE[[#This Row],[EMPLOYEE]]="","",IF(T_LEAVE[[#This Row],[ERROR]]="",0,1))</f>
        <v>0</v>
      </c>
      <c r="L245" t="str" cm="1">
        <f t="array" aca="1" ref="L24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6" spans="1:12">
      <c r="A246" t="s">
        <v>1950</v>
      </c>
      <c r="B246" s="15" t="s">
        <v>2116</v>
      </c>
      <c r="C246" s="15" t="s">
        <v>2117</v>
      </c>
      <c r="D246" t="s">
        <v>98</v>
      </c>
      <c r="E246">
        <v>2</v>
      </c>
      <c r="F246" s="1"/>
      <c r="G246" s="1"/>
      <c r="H246">
        <f ca="1">IF(T_LEAVE[[#This Row],[EMPLOYEE]]="","",MATCH(T_LEAVE[[#This Row],[EMPLOYEE]],L_EMPLABELS,0))</f>
        <v>290</v>
      </c>
      <c r="I246">
        <f ca="1">IF(T_LEAVE[[#This Row],[EMPLOYEE]]="","",MATCH(T_LEAVE[[#This Row],[LEAVE TYPE]],L_LEAVETYPES,0))</f>
        <v>7</v>
      </c>
      <c r="J246" t="str" cm="1">
        <f t="array" aca="1" ref="J246" ca="1">IFERROR(INDEX(T_LEAVE_TYPES[SYMBOL],T_LEAVE[[#This Row],[LEAVE TYPE SYS ID]]),"")</f>
        <v>C</v>
      </c>
      <c r="K246">
        <f ca="1">IF(T_LEAVE[[#This Row],[EMPLOYEE]]="","",IF(T_LEAVE[[#This Row],[ERROR]]="",0,1))</f>
        <v>0</v>
      </c>
      <c r="L246" t="str" cm="1">
        <f t="array" aca="1" ref="L24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7" spans="1:12">
      <c r="A247" t="s">
        <v>2027</v>
      </c>
      <c r="B247" s="15" t="s">
        <v>2118</v>
      </c>
      <c r="C247" s="15" t="s">
        <v>2118</v>
      </c>
      <c r="D247" t="s">
        <v>92</v>
      </c>
      <c r="E247">
        <v>1</v>
      </c>
      <c r="F247" s="1"/>
      <c r="G247" s="1"/>
      <c r="H247">
        <f ca="1">IF(T_LEAVE[[#This Row],[EMPLOYEE]]="","",MATCH(T_LEAVE[[#This Row],[EMPLOYEE]],L_EMPLABELS,0))</f>
        <v>101</v>
      </c>
      <c r="I247">
        <f ca="1">IF(T_LEAVE[[#This Row],[EMPLOYEE]]="","",MATCH(T_LEAVE[[#This Row],[LEAVE TYPE]],L_LEAVETYPES,0))</f>
        <v>6</v>
      </c>
      <c r="J247" t="str" cm="1">
        <f t="array" aca="1" ref="J247" ca="1">IFERROR(INDEX(T_LEAVE_TYPES[SYMBOL],T_LEAVE[[#This Row],[LEAVE TYPE SYS ID]]),"")</f>
        <v>PR</v>
      </c>
      <c r="K247">
        <f ca="1">IF(T_LEAVE[[#This Row],[EMPLOYEE]]="","",IF(T_LEAVE[[#This Row],[ERROR]]="",0,1))</f>
        <v>0</v>
      </c>
      <c r="L247" t="str" cm="1">
        <f t="array" aca="1" ref="L24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8" spans="1:12">
      <c r="A248" t="s">
        <v>1950</v>
      </c>
      <c r="B248" s="15" t="s">
        <v>2119</v>
      </c>
      <c r="C248" s="15" t="s">
        <v>2119</v>
      </c>
      <c r="D248" t="s">
        <v>103</v>
      </c>
      <c r="E248">
        <v>1</v>
      </c>
      <c r="F248" s="1"/>
      <c r="G248" s="1"/>
      <c r="H248">
        <f ca="1">IF(T_LEAVE[[#This Row],[EMPLOYEE]]="","",MATCH(T_LEAVE[[#This Row],[EMPLOYEE]],L_EMPLABELS,0))</f>
        <v>290</v>
      </c>
      <c r="I248">
        <f ca="1">IF(T_LEAVE[[#This Row],[EMPLOYEE]]="","",MATCH(T_LEAVE[[#This Row],[LEAVE TYPE]],L_LEAVETYPES,0))</f>
        <v>8</v>
      </c>
      <c r="J248" t="str" cm="1">
        <f t="array" aca="1" ref="J248" ca="1">IFERROR(INDEX(T_LEAVE_TYPES[SYMBOL],T_LEAVE[[#This Row],[LEAVE TYPE SYS ID]]),"")</f>
        <v>LOP</v>
      </c>
      <c r="K248">
        <f ca="1">IF(T_LEAVE[[#This Row],[EMPLOYEE]]="","",IF(T_LEAVE[[#This Row],[ERROR]]="",0,1))</f>
        <v>0</v>
      </c>
      <c r="L248" t="str" cm="1">
        <f t="array" aca="1" ref="L24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9" spans="1:12">
      <c r="A249" t="s">
        <v>2038</v>
      </c>
      <c r="B249" s="15" t="s">
        <v>2116</v>
      </c>
      <c r="C249" s="15" t="s">
        <v>2116</v>
      </c>
      <c r="D249" t="s">
        <v>98</v>
      </c>
      <c r="E249">
        <v>1</v>
      </c>
      <c r="F249" s="1"/>
      <c r="G249" s="1"/>
      <c r="H249">
        <f ca="1">IF(T_LEAVE[[#This Row],[EMPLOYEE]]="","",MATCH(T_LEAVE[[#This Row],[EMPLOYEE]],L_EMPLABELS,0))</f>
        <v>363</v>
      </c>
      <c r="I249">
        <f ca="1">IF(T_LEAVE[[#This Row],[EMPLOYEE]]="","",MATCH(T_LEAVE[[#This Row],[LEAVE TYPE]],L_LEAVETYPES,0))</f>
        <v>7</v>
      </c>
      <c r="J249" t="str" cm="1">
        <f t="array" aca="1" ref="J249" ca="1">IFERROR(INDEX(T_LEAVE_TYPES[SYMBOL],T_LEAVE[[#This Row],[LEAVE TYPE SYS ID]]),"")</f>
        <v>C</v>
      </c>
      <c r="K249">
        <f ca="1">IF(T_LEAVE[[#This Row],[EMPLOYEE]]="","",IF(T_LEAVE[[#This Row],[ERROR]]="",0,1))</f>
        <v>0</v>
      </c>
      <c r="L249" t="str" cm="1">
        <f t="array" aca="1" ref="L24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0" spans="1:12">
      <c r="A250" t="s">
        <v>1950</v>
      </c>
      <c r="B250" s="15" t="s">
        <v>2116</v>
      </c>
      <c r="C250" s="15" t="s">
        <v>2117</v>
      </c>
      <c r="D250" t="s">
        <v>98</v>
      </c>
      <c r="E250">
        <v>2</v>
      </c>
      <c r="F250" s="1"/>
      <c r="G250" s="1"/>
      <c r="H250">
        <f ca="1">IF(T_LEAVE[[#This Row],[EMPLOYEE]]="","",MATCH(T_LEAVE[[#This Row],[EMPLOYEE]],L_EMPLABELS,0))</f>
        <v>290</v>
      </c>
      <c r="I250">
        <f ca="1">IF(T_LEAVE[[#This Row],[EMPLOYEE]]="","",MATCH(T_LEAVE[[#This Row],[LEAVE TYPE]],L_LEAVETYPES,0))</f>
        <v>7</v>
      </c>
      <c r="J250" t="str" cm="1">
        <f t="array" aca="1" ref="J250" ca="1">IFERROR(INDEX(T_LEAVE_TYPES[SYMBOL],T_LEAVE[[#This Row],[LEAVE TYPE SYS ID]]),"")</f>
        <v>C</v>
      </c>
      <c r="K250">
        <f ca="1">IF(T_LEAVE[[#This Row],[EMPLOYEE]]="","",IF(T_LEAVE[[#This Row],[ERROR]]="",0,1))</f>
        <v>0</v>
      </c>
      <c r="L250" t="str" cm="1">
        <f t="array" aca="1" ref="L25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1" spans="1:12">
      <c r="A251" t="s">
        <v>1950</v>
      </c>
      <c r="B251" s="15" t="s">
        <v>2115</v>
      </c>
      <c r="C251" s="15" t="s">
        <v>1933</v>
      </c>
      <c r="D251" t="s">
        <v>92</v>
      </c>
      <c r="E251">
        <v>3</v>
      </c>
      <c r="F251" s="1"/>
      <c r="G251" s="1"/>
      <c r="H251">
        <f ca="1">IF(T_LEAVE[[#This Row],[EMPLOYEE]]="","",MATCH(T_LEAVE[[#This Row],[EMPLOYEE]],L_EMPLABELS,0))</f>
        <v>290</v>
      </c>
      <c r="I251">
        <f ca="1">IF(T_LEAVE[[#This Row],[EMPLOYEE]]="","",MATCH(T_LEAVE[[#This Row],[LEAVE TYPE]],L_LEAVETYPES,0))</f>
        <v>6</v>
      </c>
      <c r="J251" t="str" cm="1">
        <f t="array" aca="1" ref="J251" ca="1">IFERROR(INDEX(T_LEAVE_TYPES[SYMBOL],T_LEAVE[[#This Row],[LEAVE TYPE SYS ID]]),"")</f>
        <v>PR</v>
      </c>
      <c r="K251">
        <f ca="1">IF(T_LEAVE[[#This Row],[EMPLOYEE]]="","",IF(T_LEAVE[[#This Row],[ERROR]]="",0,1))</f>
        <v>0</v>
      </c>
      <c r="L251" t="str" cm="1">
        <f t="array" aca="1" ref="L25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2" spans="1:12">
      <c r="A252" t="s">
        <v>1950</v>
      </c>
      <c r="B252" s="15" t="s">
        <v>2115</v>
      </c>
      <c r="C252" s="15" t="s">
        <v>1933</v>
      </c>
      <c r="D252" t="s">
        <v>92</v>
      </c>
      <c r="E252">
        <v>3</v>
      </c>
      <c r="F252" s="1"/>
      <c r="G252" s="1"/>
      <c r="H252">
        <f ca="1">IF(T_LEAVE[[#This Row],[EMPLOYEE]]="","",MATCH(T_LEAVE[[#This Row],[EMPLOYEE]],L_EMPLABELS,0))</f>
        <v>290</v>
      </c>
      <c r="I252">
        <f ca="1">IF(T_LEAVE[[#This Row],[EMPLOYEE]]="","",MATCH(T_LEAVE[[#This Row],[LEAVE TYPE]],L_LEAVETYPES,0))</f>
        <v>6</v>
      </c>
      <c r="J252" t="str" cm="1">
        <f t="array" aca="1" ref="J252" ca="1">IFERROR(INDEX(T_LEAVE_TYPES[SYMBOL],T_LEAVE[[#This Row],[LEAVE TYPE SYS ID]]),"")</f>
        <v>PR</v>
      </c>
      <c r="K252">
        <f ca="1">IF(T_LEAVE[[#This Row],[EMPLOYEE]]="","",IF(T_LEAVE[[#This Row],[ERROR]]="",0,1))</f>
        <v>0</v>
      </c>
      <c r="L252" t="str" cm="1">
        <f t="array" aca="1" ref="L25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3" spans="1:12">
      <c r="A253" t="s">
        <v>1950</v>
      </c>
      <c r="B253" s="15" t="s">
        <v>2116</v>
      </c>
      <c r="C253" s="15" t="s">
        <v>2117</v>
      </c>
      <c r="D253" t="s">
        <v>98</v>
      </c>
      <c r="E253">
        <v>2</v>
      </c>
      <c r="F253" s="1"/>
      <c r="G253" s="1"/>
      <c r="H253">
        <f ca="1">IF(T_LEAVE[[#This Row],[EMPLOYEE]]="","",MATCH(T_LEAVE[[#This Row],[EMPLOYEE]],L_EMPLABELS,0))</f>
        <v>290</v>
      </c>
      <c r="I253">
        <f ca="1">IF(T_LEAVE[[#This Row],[EMPLOYEE]]="","",MATCH(T_LEAVE[[#This Row],[LEAVE TYPE]],L_LEAVETYPES,0))</f>
        <v>7</v>
      </c>
      <c r="J253" t="str" cm="1">
        <f t="array" aca="1" ref="J253" ca="1">IFERROR(INDEX(T_LEAVE_TYPES[SYMBOL],T_LEAVE[[#This Row],[LEAVE TYPE SYS ID]]),"")</f>
        <v>C</v>
      </c>
      <c r="K253">
        <f ca="1">IF(T_LEAVE[[#This Row],[EMPLOYEE]]="","",IF(T_LEAVE[[#This Row],[ERROR]]="",0,1))</f>
        <v>0</v>
      </c>
      <c r="L253" t="str" cm="1">
        <f t="array" aca="1" ref="L25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4" spans="1:12">
      <c r="A254" t="s">
        <v>1909</v>
      </c>
      <c r="B254" s="15" t="s">
        <v>2120</v>
      </c>
      <c r="C254" s="15" t="s">
        <v>2120</v>
      </c>
      <c r="D254" t="s">
        <v>92</v>
      </c>
      <c r="E254">
        <v>1</v>
      </c>
      <c r="F254" s="1"/>
      <c r="G254" s="1"/>
      <c r="H254">
        <f ca="1">IF(T_LEAVE[[#This Row],[EMPLOYEE]]="","",MATCH(T_LEAVE[[#This Row],[EMPLOYEE]],L_EMPLABELS,0))</f>
        <v>214</v>
      </c>
      <c r="I254">
        <f ca="1">IF(T_LEAVE[[#This Row],[EMPLOYEE]]="","",MATCH(T_LEAVE[[#This Row],[LEAVE TYPE]],L_LEAVETYPES,0))</f>
        <v>6</v>
      </c>
      <c r="J254" t="str" cm="1">
        <f t="array" aca="1" ref="J254" ca="1">IFERROR(INDEX(T_LEAVE_TYPES[SYMBOL],T_LEAVE[[#This Row],[LEAVE TYPE SYS ID]]),"")</f>
        <v>PR</v>
      </c>
      <c r="K254">
        <f ca="1">IF(T_LEAVE[[#This Row],[EMPLOYEE]]="","",IF(T_LEAVE[[#This Row],[ERROR]]="",0,1))</f>
        <v>0</v>
      </c>
      <c r="L254" t="str" cm="1">
        <f t="array" aca="1" ref="L25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5" spans="1:12">
      <c r="A255" t="s">
        <v>2038</v>
      </c>
      <c r="B255" s="15" t="s">
        <v>2112</v>
      </c>
      <c r="C255" s="15" t="s">
        <v>2112</v>
      </c>
      <c r="D255" t="s">
        <v>98</v>
      </c>
      <c r="E255">
        <v>1</v>
      </c>
      <c r="F255" s="1"/>
      <c r="G255" s="1"/>
      <c r="H255">
        <f ca="1">IF(T_LEAVE[[#This Row],[EMPLOYEE]]="","",MATCH(T_LEAVE[[#This Row],[EMPLOYEE]],L_EMPLABELS,0))</f>
        <v>363</v>
      </c>
      <c r="I255">
        <f ca="1">IF(T_LEAVE[[#This Row],[EMPLOYEE]]="","",MATCH(T_LEAVE[[#This Row],[LEAVE TYPE]],L_LEAVETYPES,0))</f>
        <v>7</v>
      </c>
      <c r="J255" t="str" cm="1">
        <f t="array" aca="1" ref="J255" ca="1">IFERROR(INDEX(T_LEAVE_TYPES[SYMBOL],T_LEAVE[[#This Row],[LEAVE TYPE SYS ID]]),"")</f>
        <v>C</v>
      </c>
      <c r="K255">
        <f ca="1">IF(T_LEAVE[[#This Row],[EMPLOYEE]]="","",IF(T_LEAVE[[#This Row],[ERROR]]="",0,1))</f>
        <v>0</v>
      </c>
      <c r="L255" t="str" cm="1">
        <f t="array" aca="1" ref="L25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6" spans="1:12">
      <c r="A256" t="s">
        <v>1936</v>
      </c>
      <c r="B256" s="15" t="s">
        <v>2116</v>
      </c>
      <c r="C256" s="15" t="s">
        <v>2115</v>
      </c>
      <c r="D256" t="s">
        <v>92</v>
      </c>
      <c r="E256">
        <v>3</v>
      </c>
      <c r="F256" s="1"/>
      <c r="G256" s="1"/>
      <c r="H256">
        <f ca="1">IF(T_LEAVE[[#This Row],[EMPLOYEE]]="","",MATCH(T_LEAVE[[#This Row],[EMPLOYEE]],L_EMPLABELS,0))</f>
        <v>550</v>
      </c>
      <c r="I256">
        <f ca="1">IF(T_LEAVE[[#This Row],[EMPLOYEE]]="","",MATCH(T_LEAVE[[#This Row],[LEAVE TYPE]],L_LEAVETYPES,0))</f>
        <v>6</v>
      </c>
      <c r="J256" t="str" cm="1">
        <f t="array" aca="1" ref="J256" ca="1">IFERROR(INDEX(T_LEAVE_TYPES[SYMBOL],T_LEAVE[[#This Row],[LEAVE TYPE SYS ID]]),"")</f>
        <v>PR</v>
      </c>
      <c r="K256">
        <f ca="1">IF(T_LEAVE[[#This Row],[EMPLOYEE]]="","",IF(T_LEAVE[[#This Row],[ERROR]]="",0,1))</f>
        <v>0</v>
      </c>
      <c r="L256" t="str" cm="1">
        <f t="array" aca="1" ref="L25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7" spans="1:12">
      <c r="A257" t="s">
        <v>1936</v>
      </c>
      <c r="B257" s="15" t="s">
        <v>2121</v>
      </c>
      <c r="C257" s="15" t="s">
        <v>2121</v>
      </c>
      <c r="D257" t="s">
        <v>92</v>
      </c>
      <c r="E257">
        <v>1</v>
      </c>
      <c r="F257" s="1"/>
      <c r="G257" s="1"/>
      <c r="H257">
        <f ca="1">IF(T_LEAVE[[#This Row],[EMPLOYEE]]="","",MATCH(T_LEAVE[[#This Row],[EMPLOYEE]],L_EMPLABELS,0))</f>
        <v>550</v>
      </c>
      <c r="I257">
        <f ca="1">IF(T_LEAVE[[#This Row],[EMPLOYEE]]="","",MATCH(T_LEAVE[[#This Row],[LEAVE TYPE]],L_LEAVETYPES,0))</f>
        <v>6</v>
      </c>
      <c r="J257" t="str" cm="1">
        <f t="array" aca="1" ref="J257" ca="1">IFERROR(INDEX(T_LEAVE_TYPES[SYMBOL],T_LEAVE[[#This Row],[LEAVE TYPE SYS ID]]),"")</f>
        <v>PR</v>
      </c>
      <c r="K257">
        <f ca="1">IF(T_LEAVE[[#This Row],[EMPLOYEE]]="","",IF(T_LEAVE[[#This Row],[ERROR]]="",0,1))</f>
        <v>0</v>
      </c>
      <c r="L257" t="str" cm="1">
        <f t="array" aca="1" ref="L25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8" spans="1:12">
      <c r="A258" t="s">
        <v>2027</v>
      </c>
      <c r="B258" s="15" t="s">
        <v>2122</v>
      </c>
      <c r="C258" s="15" t="s">
        <v>2122</v>
      </c>
      <c r="D258" t="s">
        <v>98</v>
      </c>
      <c r="E258">
        <v>1</v>
      </c>
      <c r="F258" s="1"/>
      <c r="G258" s="1"/>
      <c r="H258">
        <f ca="1">IF(T_LEAVE[[#This Row],[EMPLOYEE]]="","",MATCH(T_LEAVE[[#This Row],[EMPLOYEE]],L_EMPLABELS,0))</f>
        <v>101</v>
      </c>
      <c r="I258">
        <f ca="1">IF(T_LEAVE[[#This Row],[EMPLOYEE]]="","",MATCH(T_LEAVE[[#This Row],[LEAVE TYPE]],L_LEAVETYPES,0))</f>
        <v>7</v>
      </c>
      <c r="J258" t="str" cm="1">
        <f t="array" aca="1" ref="J258" ca="1">IFERROR(INDEX(T_LEAVE_TYPES[SYMBOL],T_LEAVE[[#This Row],[LEAVE TYPE SYS ID]]),"")</f>
        <v>C</v>
      </c>
      <c r="K258">
        <f ca="1">IF(T_LEAVE[[#This Row],[EMPLOYEE]]="","",IF(T_LEAVE[[#This Row],[ERROR]]="",0,1))</f>
        <v>0</v>
      </c>
      <c r="L258" t="str" cm="1">
        <f t="array" aca="1" ref="L25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9" spans="1:12">
      <c r="A259" t="s">
        <v>1976</v>
      </c>
      <c r="B259" s="15" t="s">
        <v>2123</v>
      </c>
      <c r="C259" s="15" t="s">
        <v>2123</v>
      </c>
      <c r="D259" t="s">
        <v>98</v>
      </c>
      <c r="E259">
        <v>1</v>
      </c>
      <c r="F259" s="1"/>
      <c r="G259" s="1"/>
      <c r="H259">
        <f ca="1">IF(T_LEAVE[[#This Row],[EMPLOYEE]]="","",MATCH(T_LEAVE[[#This Row],[EMPLOYEE]],L_EMPLABELS,0))</f>
        <v>167</v>
      </c>
      <c r="I259">
        <f ca="1">IF(T_LEAVE[[#This Row],[EMPLOYEE]]="","",MATCH(T_LEAVE[[#This Row],[LEAVE TYPE]],L_LEAVETYPES,0))</f>
        <v>7</v>
      </c>
      <c r="J259" t="str" cm="1">
        <f t="array" aca="1" ref="J259" ca="1">IFERROR(INDEX(T_LEAVE_TYPES[SYMBOL],T_LEAVE[[#This Row],[LEAVE TYPE SYS ID]]),"")</f>
        <v>C</v>
      </c>
      <c r="K259">
        <f ca="1">IF(T_LEAVE[[#This Row],[EMPLOYEE]]="","",IF(T_LEAVE[[#This Row],[ERROR]]="",0,1))</f>
        <v>0</v>
      </c>
      <c r="L259" t="str" cm="1">
        <f t="array" aca="1" ref="L25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0" spans="1:12">
      <c r="A260" t="s">
        <v>1936</v>
      </c>
      <c r="B260" s="15" t="s">
        <v>2124</v>
      </c>
      <c r="C260" s="15" t="s">
        <v>2124</v>
      </c>
      <c r="D260" t="s">
        <v>92</v>
      </c>
      <c r="E260">
        <v>1</v>
      </c>
      <c r="F260" s="1"/>
      <c r="G260" s="1"/>
      <c r="H260">
        <f ca="1">IF(T_LEAVE[[#This Row],[EMPLOYEE]]="","",MATCH(T_LEAVE[[#This Row],[EMPLOYEE]],L_EMPLABELS,0))</f>
        <v>550</v>
      </c>
      <c r="I260">
        <f ca="1">IF(T_LEAVE[[#This Row],[EMPLOYEE]]="","",MATCH(T_LEAVE[[#This Row],[LEAVE TYPE]],L_LEAVETYPES,0))</f>
        <v>6</v>
      </c>
      <c r="J260" t="str" cm="1">
        <f t="array" aca="1" ref="J260" ca="1">IFERROR(INDEX(T_LEAVE_TYPES[SYMBOL],T_LEAVE[[#This Row],[LEAVE TYPE SYS ID]]),"")</f>
        <v>PR</v>
      </c>
      <c r="K260">
        <f ca="1">IF(T_LEAVE[[#This Row],[EMPLOYEE]]="","",IF(T_LEAVE[[#This Row],[ERROR]]="",0,1))</f>
        <v>0</v>
      </c>
      <c r="L260" t="str" cm="1">
        <f t="array" aca="1" ref="L26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1" spans="1:12">
      <c r="A261" t="s">
        <v>2027</v>
      </c>
      <c r="B261" s="15" t="s">
        <v>2125</v>
      </c>
      <c r="C261" s="15" t="s">
        <v>2125</v>
      </c>
      <c r="D261" t="s">
        <v>92</v>
      </c>
      <c r="E261">
        <v>1</v>
      </c>
      <c r="F261" s="1"/>
      <c r="G261" s="1"/>
      <c r="H261">
        <f ca="1">IF(T_LEAVE[[#This Row],[EMPLOYEE]]="","",MATCH(T_LEAVE[[#This Row],[EMPLOYEE]],L_EMPLABELS,0))</f>
        <v>101</v>
      </c>
      <c r="I261">
        <f ca="1">IF(T_LEAVE[[#This Row],[EMPLOYEE]]="","",MATCH(T_LEAVE[[#This Row],[LEAVE TYPE]],L_LEAVETYPES,0))</f>
        <v>6</v>
      </c>
      <c r="J261" t="str" cm="1">
        <f t="array" aca="1" ref="J261" ca="1">IFERROR(INDEX(T_LEAVE_TYPES[SYMBOL],T_LEAVE[[#This Row],[LEAVE TYPE SYS ID]]),"")</f>
        <v>PR</v>
      </c>
      <c r="K261">
        <f ca="1">IF(T_LEAVE[[#This Row],[EMPLOYEE]]="","",IF(T_LEAVE[[#This Row],[ERROR]]="",0,1))</f>
        <v>0</v>
      </c>
      <c r="L261" t="str" cm="1">
        <f t="array" aca="1" ref="L26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2" spans="1:12">
      <c r="A262" t="s">
        <v>2064</v>
      </c>
      <c r="B262" s="15" t="s">
        <v>2123</v>
      </c>
      <c r="C262" s="15" t="s">
        <v>2123</v>
      </c>
      <c r="D262" t="s">
        <v>92</v>
      </c>
      <c r="E262">
        <v>1</v>
      </c>
      <c r="F262" s="1"/>
      <c r="G262" s="1"/>
      <c r="H262">
        <f ca="1">IF(T_LEAVE[[#This Row],[EMPLOYEE]]="","",MATCH(T_LEAVE[[#This Row],[EMPLOYEE]],L_EMPLABELS,0))</f>
        <v>210</v>
      </c>
      <c r="I262">
        <f ca="1">IF(T_LEAVE[[#This Row],[EMPLOYEE]]="","",MATCH(T_LEAVE[[#This Row],[LEAVE TYPE]],L_LEAVETYPES,0))</f>
        <v>6</v>
      </c>
      <c r="J262" t="str" cm="1">
        <f t="array" aca="1" ref="J262" ca="1">IFERROR(INDEX(T_LEAVE_TYPES[SYMBOL],T_LEAVE[[#This Row],[LEAVE TYPE SYS ID]]),"")</f>
        <v>PR</v>
      </c>
      <c r="K262">
        <f ca="1">IF(T_LEAVE[[#This Row],[EMPLOYEE]]="","",IF(T_LEAVE[[#This Row],[ERROR]]="",0,1))</f>
        <v>0</v>
      </c>
      <c r="L262" t="str" cm="1">
        <f t="array" aca="1" ref="L26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3" spans="1:12">
      <c r="A263" t="s">
        <v>1917</v>
      </c>
      <c r="B263" s="15" t="s">
        <v>2123</v>
      </c>
      <c r="C263" s="15" t="s">
        <v>2123</v>
      </c>
      <c r="D263" t="s">
        <v>92</v>
      </c>
      <c r="E263">
        <v>1</v>
      </c>
      <c r="F263" s="1"/>
      <c r="G263" s="1"/>
      <c r="H263">
        <f ca="1">IF(T_LEAVE[[#This Row],[EMPLOYEE]]="","",MATCH(T_LEAVE[[#This Row],[EMPLOYEE]],L_EMPLABELS,0))</f>
        <v>551</v>
      </c>
      <c r="I263">
        <f ca="1">IF(T_LEAVE[[#This Row],[EMPLOYEE]]="","",MATCH(T_LEAVE[[#This Row],[LEAVE TYPE]],L_LEAVETYPES,0))</f>
        <v>6</v>
      </c>
      <c r="J263" t="str" cm="1">
        <f t="array" aca="1" ref="J263" ca="1">IFERROR(INDEX(T_LEAVE_TYPES[SYMBOL],T_LEAVE[[#This Row],[LEAVE TYPE SYS ID]]),"")</f>
        <v>PR</v>
      </c>
      <c r="K263">
        <f ca="1">IF(T_LEAVE[[#This Row],[EMPLOYEE]]="","",IF(T_LEAVE[[#This Row],[ERROR]]="",0,1))</f>
        <v>0</v>
      </c>
      <c r="L263" t="str" cm="1">
        <f t="array" aca="1" ref="L26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4" spans="1:12">
      <c r="A264" t="s">
        <v>1917</v>
      </c>
      <c r="B264" s="15" t="s">
        <v>2123</v>
      </c>
      <c r="C264" s="15" t="s">
        <v>2126</v>
      </c>
      <c r="D264" t="s">
        <v>92</v>
      </c>
      <c r="E264">
        <v>1</v>
      </c>
      <c r="F264" s="1"/>
      <c r="G264" s="1"/>
      <c r="H264">
        <f ca="1">IF(T_LEAVE[[#This Row],[EMPLOYEE]]="","",MATCH(T_LEAVE[[#This Row],[EMPLOYEE]],L_EMPLABELS,0))</f>
        <v>551</v>
      </c>
      <c r="I264">
        <f ca="1">IF(T_LEAVE[[#This Row],[EMPLOYEE]]="","",MATCH(T_LEAVE[[#This Row],[LEAVE TYPE]],L_LEAVETYPES,0))</f>
        <v>6</v>
      </c>
      <c r="J264" t="str" cm="1">
        <f t="array" aca="1" ref="J264" ca="1">IFERROR(INDEX(T_LEAVE_TYPES[SYMBOL],T_LEAVE[[#This Row],[LEAVE TYPE SYS ID]]),"")</f>
        <v>PR</v>
      </c>
      <c r="K264">
        <f ca="1">IF(T_LEAVE[[#This Row],[EMPLOYEE]]="","",IF(T_LEAVE[[#This Row],[ERROR]]="",0,1))</f>
        <v>0</v>
      </c>
      <c r="L264" t="str" cm="1">
        <f t="array" aca="1" ref="L26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5" spans="1:12">
      <c r="A265" t="s">
        <v>2030</v>
      </c>
      <c r="B265" s="15" t="s">
        <v>2127</v>
      </c>
      <c r="C265" s="15" t="s">
        <v>2127</v>
      </c>
      <c r="D265" t="s">
        <v>98</v>
      </c>
      <c r="E265">
        <v>1</v>
      </c>
      <c r="F265" s="1"/>
      <c r="G265" s="1"/>
      <c r="H265">
        <f ca="1">IF(T_LEAVE[[#This Row],[EMPLOYEE]]="","",MATCH(T_LEAVE[[#This Row],[EMPLOYEE]],L_EMPLABELS,0))</f>
        <v>314</v>
      </c>
      <c r="I265">
        <f ca="1">IF(T_LEAVE[[#This Row],[EMPLOYEE]]="","",MATCH(T_LEAVE[[#This Row],[LEAVE TYPE]],L_LEAVETYPES,0))</f>
        <v>7</v>
      </c>
      <c r="J265" t="str" cm="1">
        <f t="array" aca="1" ref="J265" ca="1">IFERROR(INDEX(T_LEAVE_TYPES[SYMBOL],T_LEAVE[[#This Row],[LEAVE TYPE SYS ID]]),"")</f>
        <v>C</v>
      </c>
      <c r="K265">
        <f ca="1">IF(T_LEAVE[[#This Row],[EMPLOYEE]]="","",IF(T_LEAVE[[#This Row],[ERROR]]="",0,1))</f>
        <v>0</v>
      </c>
      <c r="L265" t="str" cm="1">
        <f t="array" aca="1" ref="L26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6" spans="1:12">
      <c r="A266" t="s">
        <v>1936</v>
      </c>
      <c r="B266" s="15" t="s">
        <v>1953</v>
      </c>
      <c r="C266" s="15" t="s">
        <v>1953</v>
      </c>
      <c r="D266" t="s">
        <v>98</v>
      </c>
      <c r="E266">
        <v>1</v>
      </c>
      <c r="F266" s="1"/>
      <c r="G266" s="1"/>
      <c r="H266">
        <f ca="1">IF(T_LEAVE[[#This Row],[EMPLOYEE]]="","",MATCH(T_LEAVE[[#This Row],[EMPLOYEE]],L_EMPLABELS,0))</f>
        <v>550</v>
      </c>
      <c r="I266">
        <f ca="1">IF(T_LEAVE[[#This Row],[EMPLOYEE]]="","",MATCH(T_LEAVE[[#This Row],[LEAVE TYPE]],L_LEAVETYPES,0))</f>
        <v>7</v>
      </c>
      <c r="J266" t="str" cm="1">
        <f t="array" aca="1" ref="J266" ca="1">IFERROR(INDEX(T_LEAVE_TYPES[SYMBOL],T_LEAVE[[#This Row],[LEAVE TYPE SYS ID]]),"")</f>
        <v>C</v>
      </c>
      <c r="K266">
        <f ca="1">IF(T_LEAVE[[#This Row],[EMPLOYEE]]="","",IF(T_LEAVE[[#This Row],[ERROR]]="",0,1))</f>
        <v>0</v>
      </c>
      <c r="L266" t="str" cm="1">
        <f t="array" aca="1" ref="L26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7" spans="1:12">
      <c r="A267" t="s">
        <v>1987</v>
      </c>
      <c r="B267" s="15" t="s">
        <v>2128</v>
      </c>
      <c r="C267" s="15" t="s">
        <v>2128</v>
      </c>
      <c r="D267" t="s">
        <v>98</v>
      </c>
      <c r="E267">
        <v>1</v>
      </c>
      <c r="F267" s="1"/>
      <c r="G267" s="1"/>
      <c r="H267">
        <f ca="1">IF(T_LEAVE[[#This Row],[EMPLOYEE]]="","",MATCH(T_LEAVE[[#This Row],[EMPLOYEE]],L_EMPLABELS,0))</f>
        <v>538</v>
      </c>
      <c r="I267">
        <f ca="1">IF(T_LEAVE[[#This Row],[EMPLOYEE]]="","",MATCH(T_LEAVE[[#This Row],[LEAVE TYPE]],L_LEAVETYPES,0))</f>
        <v>7</v>
      </c>
      <c r="J267" t="str" cm="1">
        <f t="array" aca="1" ref="J267" ca="1">IFERROR(INDEX(T_LEAVE_TYPES[SYMBOL],T_LEAVE[[#This Row],[LEAVE TYPE SYS ID]]),"")</f>
        <v>C</v>
      </c>
      <c r="K267">
        <f ca="1">IF(T_LEAVE[[#This Row],[EMPLOYEE]]="","",IF(T_LEAVE[[#This Row],[ERROR]]="",0,1))</f>
        <v>0</v>
      </c>
      <c r="L267" t="str" cm="1">
        <f t="array" aca="1" ref="L26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8" spans="1:12">
      <c r="A268" t="s">
        <v>2000</v>
      </c>
      <c r="B268" s="15" t="s">
        <v>2129</v>
      </c>
      <c r="C268" s="15" t="s">
        <v>2129</v>
      </c>
      <c r="D268" t="s">
        <v>98</v>
      </c>
      <c r="E268">
        <v>1</v>
      </c>
      <c r="F268" s="1"/>
      <c r="G268" s="1"/>
      <c r="H268">
        <f ca="1">IF(T_LEAVE[[#This Row],[EMPLOYEE]]="","",MATCH(T_LEAVE[[#This Row],[EMPLOYEE]],L_EMPLABELS,0))</f>
        <v>540</v>
      </c>
      <c r="I268">
        <f ca="1">IF(T_LEAVE[[#This Row],[EMPLOYEE]]="","",MATCH(T_LEAVE[[#This Row],[LEAVE TYPE]],L_LEAVETYPES,0))</f>
        <v>7</v>
      </c>
      <c r="J268" t="str" cm="1">
        <f t="array" aca="1" ref="J268" ca="1">IFERROR(INDEX(T_LEAVE_TYPES[SYMBOL],T_LEAVE[[#This Row],[LEAVE TYPE SYS ID]]),"")</f>
        <v>C</v>
      </c>
      <c r="K268">
        <f ca="1">IF(T_LEAVE[[#This Row],[EMPLOYEE]]="","",IF(T_LEAVE[[#This Row],[ERROR]]="",0,1))</f>
        <v>0</v>
      </c>
      <c r="L268" t="str" cm="1">
        <f t="array" aca="1" ref="L26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9" spans="1:12">
      <c r="A269" t="s">
        <v>1977</v>
      </c>
      <c r="B269" s="15" t="s">
        <v>2129</v>
      </c>
      <c r="C269" s="15" t="s">
        <v>2130</v>
      </c>
      <c r="D269" t="s">
        <v>92</v>
      </c>
      <c r="E269">
        <v>2</v>
      </c>
      <c r="F269" s="1"/>
      <c r="G269" s="1"/>
      <c r="H269">
        <f ca="1">IF(T_LEAVE[[#This Row],[EMPLOYEE]]="","",MATCH(T_LEAVE[[#This Row],[EMPLOYEE]],L_EMPLABELS,0))</f>
        <v>449</v>
      </c>
      <c r="I269">
        <f ca="1">IF(T_LEAVE[[#This Row],[EMPLOYEE]]="","",MATCH(T_LEAVE[[#This Row],[LEAVE TYPE]],L_LEAVETYPES,0))</f>
        <v>6</v>
      </c>
      <c r="J269" t="str" cm="1">
        <f t="array" aca="1" ref="J269" ca="1">IFERROR(INDEX(T_LEAVE_TYPES[SYMBOL],T_LEAVE[[#This Row],[LEAVE TYPE SYS ID]]),"")</f>
        <v>PR</v>
      </c>
      <c r="K269">
        <f ca="1">IF(T_LEAVE[[#This Row],[EMPLOYEE]]="","",IF(T_LEAVE[[#This Row],[ERROR]]="",0,1))</f>
        <v>0</v>
      </c>
      <c r="L269" t="str" cm="1">
        <f t="array" aca="1" ref="L26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0" spans="1:12">
      <c r="A270" t="s">
        <v>1909</v>
      </c>
      <c r="B270" s="15" t="s">
        <v>2131</v>
      </c>
      <c r="C270" s="15" t="s">
        <v>2132</v>
      </c>
      <c r="D270" t="s">
        <v>98</v>
      </c>
      <c r="E270">
        <v>2</v>
      </c>
      <c r="F270" s="1"/>
      <c r="G270" s="1"/>
      <c r="H270">
        <f ca="1">IF(T_LEAVE[[#This Row],[EMPLOYEE]]="","",MATCH(T_LEAVE[[#This Row],[EMPLOYEE]],L_EMPLABELS,0))</f>
        <v>214</v>
      </c>
      <c r="I270">
        <f ca="1">IF(T_LEAVE[[#This Row],[EMPLOYEE]]="","",MATCH(T_LEAVE[[#This Row],[LEAVE TYPE]],L_LEAVETYPES,0))</f>
        <v>7</v>
      </c>
      <c r="J270" t="str" cm="1">
        <f t="array" aca="1" ref="J270" ca="1">IFERROR(INDEX(T_LEAVE_TYPES[SYMBOL],T_LEAVE[[#This Row],[LEAVE TYPE SYS ID]]),"")</f>
        <v>C</v>
      </c>
      <c r="K270">
        <f ca="1">IF(T_LEAVE[[#This Row],[EMPLOYEE]]="","",IF(T_LEAVE[[#This Row],[ERROR]]="",0,1))</f>
        <v>0</v>
      </c>
      <c r="L270" t="str" cm="1">
        <f t="array" aca="1" ref="L27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1" spans="1:12">
      <c r="A271" t="s">
        <v>2008</v>
      </c>
      <c r="B271" s="15" t="s">
        <v>1945</v>
      </c>
      <c r="C271" s="15" t="s">
        <v>1945</v>
      </c>
      <c r="D271" t="s">
        <v>98</v>
      </c>
      <c r="E271">
        <v>1</v>
      </c>
      <c r="F271" s="1"/>
      <c r="G271" s="1"/>
      <c r="H271">
        <f ca="1">IF(T_LEAVE[[#This Row],[EMPLOYEE]]="","",MATCH(T_LEAVE[[#This Row],[EMPLOYEE]],L_EMPLABELS,0))</f>
        <v>498</v>
      </c>
      <c r="I271">
        <f ca="1">IF(T_LEAVE[[#This Row],[EMPLOYEE]]="","",MATCH(T_LEAVE[[#This Row],[LEAVE TYPE]],L_LEAVETYPES,0))</f>
        <v>7</v>
      </c>
      <c r="J271" t="str" cm="1">
        <f t="array" aca="1" ref="J271" ca="1">IFERROR(INDEX(T_LEAVE_TYPES[SYMBOL],T_LEAVE[[#This Row],[LEAVE TYPE SYS ID]]),"")</f>
        <v>C</v>
      </c>
      <c r="K271">
        <f ca="1">IF(T_LEAVE[[#This Row],[EMPLOYEE]]="","",IF(T_LEAVE[[#This Row],[ERROR]]="",0,1))</f>
        <v>0</v>
      </c>
      <c r="L271" t="str" cm="1">
        <f t="array" aca="1" ref="L27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2" spans="1:12">
      <c r="A272" t="s">
        <v>1906</v>
      </c>
      <c r="B272" s="15" t="s">
        <v>2133</v>
      </c>
      <c r="C272" s="15" t="s">
        <v>2134</v>
      </c>
      <c r="D272" t="s">
        <v>92</v>
      </c>
      <c r="E272">
        <v>2</v>
      </c>
      <c r="F272" s="1"/>
      <c r="G272" s="1"/>
      <c r="H272">
        <f ca="1">IF(T_LEAVE[[#This Row],[EMPLOYEE]]="","",MATCH(T_LEAVE[[#This Row],[EMPLOYEE]],L_EMPLABELS,0))</f>
        <v>509</v>
      </c>
      <c r="I272">
        <f ca="1">IF(T_LEAVE[[#This Row],[EMPLOYEE]]="","",MATCH(T_LEAVE[[#This Row],[LEAVE TYPE]],L_LEAVETYPES,0))</f>
        <v>6</v>
      </c>
      <c r="J272" t="str" cm="1">
        <f t="array" aca="1" ref="J272" ca="1">IFERROR(INDEX(T_LEAVE_TYPES[SYMBOL],T_LEAVE[[#This Row],[LEAVE TYPE SYS ID]]),"")</f>
        <v>PR</v>
      </c>
      <c r="K272">
        <f ca="1">IF(T_LEAVE[[#This Row],[EMPLOYEE]]="","",IF(T_LEAVE[[#This Row],[ERROR]]="",0,1))</f>
        <v>0</v>
      </c>
      <c r="L272" t="str" cm="1">
        <f t="array" aca="1" ref="L27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3" spans="1:12">
      <c r="A273" t="s">
        <v>2135</v>
      </c>
      <c r="B273" s="15" t="s">
        <v>2007</v>
      </c>
      <c r="C273" s="15" t="s">
        <v>2136</v>
      </c>
      <c r="D273" t="s">
        <v>92</v>
      </c>
      <c r="E273">
        <v>10</v>
      </c>
      <c r="F273" s="1"/>
      <c r="G273" s="1"/>
      <c r="H273">
        <f ca="1">IF(T_LEAVE[[#This Row],[EMPLOYEE]]="","",MATCH(T_LEAVE[[#This Row],[EMPLOYEE]],L_EMPLABELS,0))</f>
        <v>37</v>
      </c>
      <c r="I273">
        <f ca="1">IF(T_LEAVE[[#This Row],[EMPLOYEE]]="","",MATCH(T_LEAVE[[#This Row],[LEAVE TYPE]],L_LEAVETYPES,0))</f>
        <v>6</v>
      </c>
      <c r="J273" t="str" cm="1">
        <f t="array" aca="1" ref="J273" ca="1">IFERROR(INDEX(T_LEAVE_TYPES[SYMBOL],T_LEAVE[[#This Row],[LEAVE TYPE SYS ID]]),"")</f>
        <v>PR</v>
      </c>
      <c r="K273">
        <f ca="1">IF(T_LEAVE[[#This Row],[EMPLOYEE]]="","",IF(T_LEAVE[[#This Row],[ERROR]]="",0,1))</f>
        <v>0</v>
      </c>
      <c r="L273" t="str" cm="1">
        <f t="array" aca="1" ref="L27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4" spans="1:12">
      <c r="A274" t="s">
        <v>1977</v>
      </c>
      <c r="B274" s="15" t="s">
        <v>2137</v>
      </c>
      <c r="C274" s="15" t="s">
        <v>2137</v>
      </c>
      <c r="D274" t="s">
        <v>92</v>
      </c>
      <c r="E274">
        <v>1</v>
      </c>
      <c r="F274" s="1"/>
      <c r="G274" s="1"/>
      <c r="H274">
        <f ca="1">IF(T_LEAVE[[#This Row],[EMPLOYEE]]="","",MATCH(T_LEAVE[[#This Row],[EMPLOYEE]],L_EMPLABELS,0))</f>
        <v>449</v>
      </c>
      <c r="I274">
        <f ca="1">IF(T_LEAVE[[#This Row],[EMPLOYEE]]="","",MATCH(T_LEAVE[[#This Row],[LEAVE TYPE]],L_LEAVETYPES,0))</f>
        <v>6</v>
      </c>
      <c r="J274" t="str" cm="1">
        <f t="array" aca="1" ref="J274" ca="1">IFERROR(INDEX(T_LEAVE_TYPES[SYMBOL],T_LEAVE[[#This Row],[LEAVE TYPE SYS ID]]),"")</f>
        <v>PR</v>
      </c>
      <c r="K274">
        <f ca="1">IF(T_LEAVE[[#This Row],[EMPLOYEE]]="","",IF(T_LEAVE[[#This Row],[ERROR]]="",0,1))</f>
        <v>0</v>
      </c>
      <c r="L274" t="str" cm="1">
        <f t="array" aca="1" ref="L27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5" spans="1:12">
      <c r="A275" t="s">
        <v>2135</v>
      </c>
      <c r="B275" s="15" t="s">
        <v>2039</v>
      </c>
      <c r="C275" s="15" t="s">
        <v>2039</v>
      </c>
      <c r="D275" t="s">
        <v>98</v>
      </c>
      <c r="E275">
        <v>1</v>
      </c>
      <c r="F275" s="1"/>
      <c r="G275" s="1"/>
      <c r="H275">
        <f ca="1">IF(T_LEAVE[[#This Row],[EMPLOYEE]]="","",MATCH(T_LEAVE[[#This Row],[EMPLOYEE]],L_EMPLABELS,0))</f>
        <v>37</v>
      </c>
      <c r="I275">
        <f ca="1">IF(T_LEAVE[[#This Row],[EMPLOYEE]]="","",MATCH(T_LEAVE[[#This Row],[LEAVE TYPE]],L_LEAVETYPES,0))</f>
        <v>7</v>
      </c>
      <c r="J275" t="str" cm="1">
        <f t="array" aca="1" ref="J275" ca="1">IFERROR(INDEX(T_LEAVE_TYPES[SYMBOL],T_LEAVE[[#This Row],[LEAVE TYPE SYS ID]]),"")</f>
        <v>C</v>
      </c>
      <c r="K275">
        <f ca="1">IF(T_LEAVE[[#This Row],[EMPLOYEE]]="","",IF(T_LEAVE[[#This Row],[ERROR]]="",0,1))</f>
        <v>0</v>
      </c>
      <c r="L275" t="str" cm="1">
        <f t="array" aca="1" ref="L27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6" spans="1:12">
      <c r="A276" t="s">
        <v>1977</v>
      </c>
      <c r="B276" s="15" t="s">
        <v>2138</v>
      </c>
      <c r="C276" s="15" t="s">
        <v>2138</v>
      </c>
      <c r="D276" t="s">
        <v>98</v>
      </c>
      <c r="E276">
        <v>1</v>
      </c>
      <c r="F276" s="1"/>
      <c r="G276" s="1"/>
      <c r="H276">
        <f ca="1">IF(T_LEAVE[[#This Row],[EMPLOYEE]]="","",MATCH(T_LEAVE[[#This Row],[EMPLOYEE]],L_EMPLABELS,0))</f>
        <v>449</v>
      </c>
      <c r="I276">
        <f ca="1">IF(T_LEAVE[[#This Row],[EMPLOYEE]]="","",MATCH(T_LEAVE[[#This Row],[LEAVE TYPE]],L_LEAVETYPES,0))</f>
        <v>7</v>
      </c>
      <c r="J276" t="str" cm="1">
        <f t="array" aca="1" ref="J276" ca="1">IFERROR(INDEX(T_LEAVE_TYPES[SYMBOL],T_LEAVE[[#This Row],[LEAVE TYPE SYS ID]]),"")</f>
        <v>C</v>
      </c>
      <c r="K276">
        <f ca="1">IF(T_LEAVE[[#This Row],[EMPLOYEE]]="","",IF(T_LEAVE[[#This Row],[ERROR]]="",0,1))</f>
        <v>0</v>
      </c>
      <c r="L276" t="str" cm="1">
        <f t="array" aca="1" ref="L27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7" spans="1:12">
      <c r="A277" t="s">
        <v>1977</v>
      </c>
      <c r="B277" s="15" t="s">
        <v>2131</v>
      </c>
      <c r="C277" s="15" t="s">
        <v>2131</v>
      </c>
      <c r="D277" t="s">
        <v>98</v>
      </c>
      <c r="E277">
        <v>1</v>
      </c>
      <c r="F277" s="1"/>
      <c r="G277" s="1"/>
      <c r="H277">
        <f ca="1">IF(T_LEAVE[[#This Row],[EMPLOYEE]]="","",MATCH(T_LEAVE[[#This Row],[EMPLOYEE]],L_EMPLABELS,0))</f>
        <v>449</v>
      </c>
      <c r="I277">
        <f ca="1">IF(T_LEAVE[[#This Row],[EMPLOYEE]]="","",MATCH(T_LEAVE[[#This Row],[LEAVE TYPE]],L_LEAVETYPES,0))</f>
        <v>7</v>
      </c>
      <c r="J277" t="str" cm="1">
        <f t="array" aca="1" ref="J277" ca="1">IFERROR(INDEX(T_LEAVE_TYPES[SYMBOL],T_LEAVE[[#This Row],[LEAVE TYPE SYS ID]]),"")</f>
        <v>C</v>
      </c>
      <c r="K277">
        <f ca="1">IF(T_LEAVE[[#This Row],[EMPLOYEE]]="","",IF(T_LEAVE[[#This Row],[ERROR]]="",0,1))</f>
        <v>0</v>
      </c>
      <c r="L277" t="str" cm="1">
        <f t="array" aca="1" ref="L27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8" spans="1:12">
      <c r="A278" t="s">
        <v>2050</v>
      </c>
      <c r="B278" s="15" t="s">
        <v>2139</v>
      </c>
      <c r="C278" s="15" t="s">
        <v>2139</v>
      </c>
      <c r="D278" t="s">
        <v>92</v>
      </c>
      <c r="E278">
        <v>1</v>
      </c>
      <c r="F278" s="1"/>
      <c r="G278" s="1"/>
      <c r="H278">
        <f ca="1">IF(T_LEAVE[[#This Row],[EMPLOYEE]]="","",MATCH(T_LEAVE[[#This Row],[EMPLOYEE]],L_EMPLABELS,0))</f>
        <v>433</v>
      </c>
      <c r="I278">
        <f ca="1">IF(T_LEAVE[[#This Row],[EMPLOYEE]]="","",MATCH(T_LEAVE[[#This Row],[LEAVE TYPE]],L_LEAVETYPES,0))</f>
        <v>6</v>
      </c>
      <c r="J278" t="str" cm="1">
        <f t="array" aca="1" ref="J278" ca="1">IFERROR(INDEX(T_LEAVE_TYPES[SYMBOL],T_LEAVE[[#This Row],[LEAVE TYPE SYS ID]]),"")</f>
        <v>PR</v>
      </c>
      <c r="K278">
        <f ca="1">IF(T_LEAVE[[#This Row],[EMPLOYEE]]="","",IF(T_LEAVE[[#This Row],[ERROR]]="",0,1))</f>
        <v>0</v>
      </c>
      <c r="L278" t="str" cm="1">
        <f t="array" aca="1" ref="L27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9" spans="1:12">
      <c r="A279" t="s">
        <v>1961</v>
      </c>
      <c r="B279" s="15" t="s">
        <v>2140</v>
      </c>
      <c r="C279" s="15" t="s">
        <v>2140</v>
      </c>
      <c r="D279" t="s">
        <v>98</v>
      </c>
      <c r="E279">
        <v>1</v>
      </c>
      <c r="F279" s="1"/>
      <c r="G279" s="1"/>
      <c r="H279">
        <f ca="1">IF(T_LEAVE[[#This Row],[EMPLOYEE]]="","",MATCH(T_LEAVE[[#This Row],[EMPLOYEE]],L_EMPLABELS,0))</f>
        <v>492</v>
      </c>
      <c r="I279">
        <f ca="1">IF(T_LEAVE[[#This Row],[EMPLOYEE]]="","",MATCH(T_LEAVE[[#This Row],[LEAVE TYPE]],L_LEAVETYPES,0))</f>
        <v>7</v>
      </c>
      <c r="J279" t="str" cm="1">
        <f t="array" aca="1" ref="J279" ca="1">IFERROR(INDEX(T_LEAVE_TYPES[SYMBOL],T_LEAVE[[#This Row],[LEAVE TYPE SYS ID]]),"")</f>
        <v>C</v>
      </c>
      <c r="K279">
        <f ca="1">IF(T_LEAVE[[#This Row],[EMPLOYEE]]="","",IF(T_LEAVE[[#This Row],[ERROR]]="",0,1))</f>
        <v>0</v>
      </c>
      <c r="L279" t="str" cm="1">
        <f t="array" aca="1" ref="L27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0" spans="1:12">
      <c r="A280" t="s">
        <v>1961</v>
      </c>
      <c r="B280" s="15" t="s">
        <v>2141</v>
      </c>
      <c r="C280" s="15" t="s">
        <v>2141</v>
      </c>
      <c r="D280" t="s">
        <v>98</v>
      </c>
      <c r="E280">
        <v>1</v>
      </c>
      <c r="F280" s="1"/>
      <c r="G280" s="1"/>
      <c r="H280">
        <f ca="1">IF(T_LEAVE[[#This Row],[EMPLOYEE]]="","",MATCH(T_LEAVE[[#This Row],[EMPLOYEE]],L_EMPLABELS,0))</f>
        <v>492</v>
      </c>
      <c r="I280">
        <f ca="1">IF(T_LEAVE[[#This Row],[EMPLOYEE]]="","",MATCH(T_LEAVE[[#This Row],[LEAVE TYPE]],L_LEAVETYPES,0))</f>
        <v>7</v>
      </c>
      <c r="J280" t="str" cm="1">
        <f t="array" aca="1" ref="J280" ca="1">IFERROR(INDEX(T_LEAVE_TYPES[SYMBOL],T_LEAVE[[#This Row],[LEAVE TYPE SYS ID]]),"")</f>
        <v>C</v>
      </c>
      <c r="K280">
        <f ca="1">IF(T_LEAVE[[#This Row],[EMPLOYEE]]="","",IF(T_LEAVE[[#This Row],[ERROR]]="",0,1))</f>
        <v>0</v>
      </c>
      <c r="L280" t="str" cm="1">
        <f t="array" aca="1" ref="L28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1" spans="1:12">
      <c r="A281" t="s">
        <v>1961</v>
      </c>
      <c r="B281" s="15" t="s">
        <v>1972</v>
      </c>
      <c r="C281" s="15" t="s">
        <v>2142</v>
      </c>
      <c r="D281" t="s">
        <v>92</v>
      </c>
      <c r="E281">
        <v>6</v>
      </c>
      <c r="F281" s="1"/>
      <c r="G281" s="1"/>
      <c r="H281">
        <f ca="1">IF(T_LEAVE[[#This Row],[EMPLOYEE]]="","",MATCH(T_LEAVE[[#This Row],[EMPLOYEE]],L_EMPLABELS,0))</f>
        <v>492</v>
      </c>
      <c r="I281">
        <f ca="1">IF(T_LEAVE[[#This Row],[EMPLOYEE]]="","",MATCH(T_LEAVE[[#This Row],[LEAVE TYPE]],L_LEAVETYPES,0))</f>
        <v>6</v>
      </c>
      <c r="J281" t="str" cm="1">
        <f t="array" aca="1" ref="J281" ca="1">IFERROR(INDEX(T_LEAVE_TYPES[SYMBOL],T_LEAVE[[#This Row],[LEAVE TYPE SYS ID]]),"")</f>
        <v>PR</v>
      </c>
      <c r="K281">
        <f ca="1">IF(T_LEAVE[[#This Row],[EMPLOYEE]]="","",IF(T_LEAVE[[#This Row],[ERROR]]="",0,1))</f>
        <v>0</v>
      </c>
      <c r="L281" t="str" cm="1">
        <f t="array" aca="1" ref="L28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2" spans="1:12">
      <c r="A282" t="s">
        <v>1987</v>
      </c>
      <c r="B282" s="15" t="s">
        <v>2143</v>
      </c>
      <c r="C282" s="15" t="s">
        <v>2144</v>
      </c>
      <c r="D282" t="s">
        <v>98</v>
      </c>
      <c r="E282">
        <v>3</v>
      </c>
      <c r="F282" s="1"/>
      <c r="G282" s="1"/>
      <c r="H282">
        <f ca="1">IF(T_LEAVE[[#This Row],[EMPLOYEE]]="","",MATCH(T_LEAVE[[#This Row],[EMPLOYEE]],L_EMPLABELS,0))</f>
        <v>538</v>
      </c>
      <c r="I282">
        <f ca="1">IF(T_LEAVE[[#This Row],[EMPLOYEE]]="","",MATCH(T_LEAVE[[#This Row],[LEAVE TYPE]],L_LEAVETYPES,0))</f>
        <v>7</v>
      </c>
      <c r="J282" t="str" cm="1">
        <f t="array" aca="1" ref="J282" ca="1">IFERROR(INDEX(T_LEAVE_TYPES[SYMBOL],T_LEAVE[[#This Row],[LEAVE TYPE SYS ID]]),"")</f>
        <v>C</v>
      </c>
      <c r="K282">
        <f ca="1">IF(T_LEAVE[[#This Row],[EMPLOYEE]]="","",IF(T_LEAVE[[#This Row],[ERROR]]="",0,1))</f>
        <v>0</v>
      </c>
      <c r="L282" t="str" cm="1">
        <f t="array" aca="1" ref="L28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3" spans="1:12">
      <c r="A283" t="s">
        <v>1919</v>
      </c>
      <c r="B283" s="15" t="s">
        <v>2145</v>
      </c>
      <c r="C283" s="15" t="s">
        <v>2145</v>
      </c>
      <c r="D283" t="s">
        <v>92</v>
      </c>
      <c r="E283">
        <v>1</v>
      </c>
      <c r="F283" s="1"/>
      <c r="G283" s="1"/>
      <c r="H283">
        <f ca="1">IF(T_LEAVE[[#This Row],[EMPLOYEE]]="","",MATCH(T_LEAVE[[#This Row],[EMPLOYEE]],L_EMPLABELS,0))</f>
        <v>99</v>
      </c>
      <c r="I283">
        <f ca="1">IF(T_LEAVE[[#This Row],[EMPLOYEE]]="","",MATCH(T_LEAVE[[#This Row],[LEAVE TYPE]],L_LEAVETYPES,0))</f>
        <v>6</v>
      </c>
      <c r="J283" t="str" cm="1">
        <f t="array" aca="1" ref="J283" ca="1">IFERROR(INDEX(T_LEAVE_TYPES[SYMBOL],T_LEAVE[[#This Row],[LEAVE TYPE SYS ID]]),"")</f>
        <v>PR</v>
      </c>
      <c r="K283">
        <f ca="1">IF(T_LEAVE[[#This Row],[EMPLOYEE]]="","",IF(T_LEAVE[[#This Row],[ERROR]]="",0,1))</f>
        <v>0</v>
      </c>
      <c r="L283" t="str" cm="1">
        <f t="array" aca="1" ref="L28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4" spans="1:12">
      <c r="A284" t="s">
        <v>1919</v>
      </c>
      <c r="B284" s="15" t="s">
        <v>2146</v>
      </c>
      <c r="C284" s="15" t="s">
        <v>2146</v>
      </c>
      <c r="D284" t="s">
        <v>92</v>
      </c>
      <c r="E284">
        <v>1</v>
      </c>
      <c r="F284" s="1"/>
      <c r="G284" s="1"/>
      <c r="H284">
        <f ca="1">IF(T_LEAVE[[#This Row],[EMPLOYEE]]="","",MATCH(T_LEAVE[[#This Row],[EMPLOYEE]],L_EMPLABELS,0))</f>
        <v>99</v>
      </c>
      <c r="I284">
        <f ca="1">IF(T_LEAVE[[#This Row],[EMPLOYEE]]="","",MATCH(T_LEAVE[[#This Row],[LEAVE TYPE]],L_LEAVETYPES,0))</f>
        <v>6</v>
      </c>
      <c r="J284" t="str" cm="1">
        <f t="array" aca="1" ref="J284" ca="1">IFERROR(INDEX(T_LEAVE_TYPES[SYMBOL],T_LEAVE[[#This Row],[LEAVE TYPE SYS ID]]),"")</f>
        <v>PR</v>
      </c>
      <c r="K284">
        <f ca="1">IF(T_LEAVE[[#This Row],[EMPLOYEE]]="","",IF(T_LEAVE[[#This Row],[ERROR]]="",0,1))</f>
        <v>0</v>
      </c>
      <c r="L284" t="str" cm="1">
        <f t="array" aca="1" ref="L28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5" spans="1:12">
      <c r="A285" t="s">
        <v>1919</v>
      </c>
      <c r="B285" s="15" t="s">
        <v>2147</v>
      </c>
      <c r="C285" s="15" t="s">
        <v>2147</v>
      </c>
      <c r="D285" t="s">
        <v>92</v>
      </c>
      <c r="E285">
        <v>1</v>
      </c>
      <c r="F285" s="1"/>
      <c r="G285" s="1"/>
      <c r="H285">
        <f ca="1">IF(T_LEAVE[[#This Row],[EMPLOYEE]]="","",MATCH(T_LEAVE[[#This Row],[EMPLOYEE]],L_EMPLABELS,0))</f>
        <v>99</v>
      </c>
      <c r="I285">
        <f ca="1">IF(T_LEAVE[[#This Row],[EMPLOYEE]]="","",MATCH(T_LEAVE[[#This Row],[LEAVE TYPE]],L_LEAVETYPES,0))</f>
        <v>6</v>
      </c>
      <c r="J285" t="str" cm="1">
        <f t="array" aca="1" ref="J285" ca="1">IFERROR(INDEX(T_LEAVE_TYPES[SYMBOL],T_LEAVE[[#This Row],[LEAVE TYPE SYS ID]]),"")</f>
        <v>PR</v>
      </c>
      <c r="K285">
        <f ca="1">IF(T_LEAVE[[#This Row],[EMPLOYEE]]="","",IF(T_LEAVE[[#This Row],[ERROR]]="",0,1))</f>
        <v>0</v>
      </c>
      <c r="L285" t="str" cm="1">
        <f t="array" aca="1" ref="L28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6" spans="1:12">
      <c r="A286" t="s">
        <v>1919</v>
      </c>
      <c r="B286" s="15" t="s">
        <v>1970</v>
      </c>
      <c r="C286" s="15" t="s">
        <v>1970</v>
      </c>
      <c r="D286" t="s">
        <v>98</v>
      </c>
      <c r="E286">
        <v>1</v>
      </c>
      <c r="F286" s="1"/>
      <c r="G286" s="1"/>
      <c r="H286">
        <f ca="1">IF(T_LEAVE[[#This Row],[EMPLOYEE]]="","",MATCH(T_LEAVE[[#This Row],[EMPLOYEE]],L_EMPLABELS,0))</f>
        <v>99</v>
      </c>
      <c r="I286">
        <f ca="1">IF(T_LEAVE[[#This Row],[EMPLOYEE]]="","",MATCH(T_LEAVE[[#This Row],[LEAVE TYPE]],L_LEAVETYPES,0))</f>
        <v>7</v>
      </c>
      <c r="J286" t="str" cm="1">
        <f t="array" aca="1" ref="J286" ca="1">IFERROR(INDEX(T_LEAVE_TYPES[SYMBOL],T_LEAVE[[#This Row],[LEAVE TYPE SYS ID]]),"")</f>
        <v>C</v>
      </c>
      <c r="K286">
        <f ca="1">IF(T_LEAVE[[#This Row],[EMPLOYEE]]="","",IF(T_LEAVE[[#This Row],[ERROR]]="",0,1))</f>
        <v>0</v>
      </c>
      <c r="L286" t="str" cm="1">
        <f t="array" aca="1" ref="L28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7" spans="1:12">
      <c r="A287" t="s">
        <v>1919</v>
      </c>
      <c r="B287" s="15" t="s">
        <v>1954</v>
      </c>
      <c r="C287" s="15" t="s">
        <v>1954</v>
      </c>
      <c r="D287" t="s">
        <v>98</v>
      </c>
      <c r="E287">
        <v>1</v>
      </c>
      <c r="F287" s="1"/>
      <c r="G287" s="1"/>
      <c r="H287">
        <f ca="1">IF(T_LEAVE[[#This Row],[EMPLOYEE]]="","",MATCH(T_LEAVE[[#This Row],[EMPLOYEE]],L_EMPLABELS,0))</f>
        <v>99</v>
      </c>
      <c r="I287">
        <f ca="1">IF(T_LEAVE[[#This Row],[EMPLOYEE]]="","",MATCH(T_LEAVE[[#This Row],[LEAVE TYPE]],L_LEAVETYPES,0))</f>
        <v>7</v>
      </c>
      <c r="J287" t="str" cm="1">
        <f t="array" aca="1" ref="J287" ca="1">IFERROR(INDEX(T_LEAVE_TYPES[SYMBOL],T_LEAVE[[#This Row],[LEAVE TYPE SYS ID]]),"")</f>
        <v>C</v>
      </c>
      <c r="K287">
        <f ca="1">IF(T_LEAVE[[#This Row],[EMPLOYEE]]="","",IF(T_LEAVE[[#This Row],[ERROR]]="",0,1))</f>
        <v>0</v>
      </c>
      <c r="L287" t="str" cm="1">
        <f t="array" aca="1" ref="L28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8" spans="1:12">
      <c r="A288" t="s">
        <v>1919</v>
      </c>
      <c r="B288" s="15" t="s">
        <v>2144</v>
      </c>
      <c r="C288" s="15" t="s">
        <v>2144</v>
      </c>
      <c r="D288" t="s">
        <v>98</v>
      </c>
      <c r="E288">
        <v>1</v>
      </c>
      <c r="F288" s="1"/>
      <c r="G288" s="1"/>
      <c r="H288">
        <f ca="1">IF(T_LEAVE[[#This Row],[EMPLOYEE]]="","",MATCH(T_LEAVE[[#This Row],[EMPLOYEE]],L_EMPLABELS,0))</f>
        <v>99</v>
      </c>
      <c r="I288">
        <f ca="1">IF(T_LEAVE[[#This Row],[EMPLOYEE]]="","",MATCH(T_LEAVE[[#This Row],[LEAVE TYPE]],L_LEAVETYPES,0))</f>
        <v>7</v>
      </c>
      <c r="J288" t="str" cm="1">
        <f t="array" aca="1" ref="J288" ca="1">IFERROR(INDEX(T_LEAVE_TYPES[SYMBOL],T_LEAVE[[#This Row],[LEAVE TYPE SYS ID]]),"")</f>
        <v>C</v>
      </c>
      <c r="K288">
        <f ca="1">IF(T_LEAVE[[#This Row],[EMPLOYEE]]="","",IF(T_LEAVE[[#This Row],[ERROR]]="",0,1))</f>
        <v>0</v>
      </c>
      <c r="L288" t="str" cm="1">
        <f t="array" aca="1" ref="L28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9" spans="1:12">
      <c r="A289" t="s">
        <v>1976</v>
      </c>
      <c r="B289" s="15" t="s">
        <v>2148</v>
      </c>
      <c r="C289" s="15" t="s">
        <v>2148</v>
      </c>
      <c r="D289" t="s">
        <v>98</v>
      </c>
      <c r="E289">
        <v>1</v>
      </c>
      <c r="F289" s="1"/>
      <c r="G289" s="1"/>
      <c r="H289">
        <f ca="1">IF(T_LEAVE[[#This Row],[EMPLOYEE]]="","",MATCH(T_LEAVE[[#This Row],[EMPLOYEE]],L_EMPLABELS,0))</f>
        <v>167</v>
      </c>
      <c r="I289">
        <f ca="1">IF(T_LEAVE[[#This Row],[EMPLOYEE]]="","",MATCH(T_LEAVE[[#This Row],[LEAVE TYPE]],L_LEAVETYPES,0))</f>
        <v>7</v>
      </c>
      <c r="J289" t="str" cm="1">
        <f t="array" aca="1" ref="J289" ca="1">IFERROR(INDEX(T_LEAVE_TYPES[SYMBOL],T_LEAVE[[#This Row],[LEAVE TYPE SYS ID]]),"")</f>
        <v>C</v>
      </c>
      <c r="K289">
        <f ca="1">IF(T_LEAVE[[#This Row],[EMPLOYEE]]="","",IF(T_LEAVE[[#This Row],[ERROR]]="",0,1))</f>
        <v>0</v>
      </c>
      <c r="L289" t="str" cm="1">
        <f t="array" aca="1" ref="L28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0" spans="1:12">
      <c r="A290" t="s">
        <v>2027</v>
      </c>
      <c r="B290" s="28" t="s">
        <v>2047</v>
      </c>
      <c r="C290" s="15" t="s">
        <v>2047</v>
      </c>
      <c r="D290" t="s">
        <v>92</v>
      </c>
      <c r="E290">
        <v>1</v>
      </c>
      <c r="F290" s="1"/>
      <c r="G290" s="1"/>
      <c r="H290">
        <f ca="1">IF(T_LEAVE[[#This Row],[EMPLOYEE]]="","",MATCH(T_LEAVE[[#This Row],[EMPLOYEE]],L_EMPLABELS,0))</f>
        <v>101</v>
      </c>
      <c r="I290">
        <f ca="1">IF(T_LEAVE[[#This Row],[EMPLOYEE]]="","",MATCH(T_LEAVE[[#This Row],[LEAVE TYPE]],L_LEAVETYPES,0))</f>
        <v>6</v>
      </c>
      <c r="J290" t="str" cm="1">
        <f t="array" aca="1" ref="J290" ca="1">IFERROR(INDEX(T_LEAVE_TYPES[SYMBOL],T_LEAVE[[#This Row],[LEAVE TYPE SYS ID]]),"")</f>
        <v>PR</v>
      </c>
      <c r="K290">
        <f ca="1">IF(T_LEAVE[[#This Row],[EMPLOYEE]]="","",IF(T_LEAVE[[#This Row],[ERROR]]="",0,1))</f>
        <v>0</v>
      </c>
      <c r="L290" t="str" cm="1">
        <f t="array" aca="1" ref="L29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1" spans="1:12">
      <c r="A291" t="s">
        <v>2064</v>
      </c>
      <c r="B291" s="15" t="s">
        <v>2149</v>
      </c>
      <c r="C291" s="15" t="s">
        <v>2148</v>
      </c>
      <c r="D291" t="s">
        <v>92</v>
      </c>
      <c r="E291">
        <v>3</v>
      </c>
      <c r="F291" s="1"/>
      <c r="G291" s="1"/>
      <c r="H291">
        <f ca="1">IF(T_LEAVE[[#This Row],[EMPLOYEE]]="","",MATCH(T_LEAVE[[#This Row],[EMPLOYEE]],L_EMPLABELS,0))</f>
        <v>210</v>
      </c>
      <c r="I291">
        <f ca="1">IF(T_LEAVE[[#This Row],[EMPLOYEE]]="","",MATCH(T_LEAVE[[#This Row],[LEAVE TYPE]],L_LEAVETYPES,0))</f>
        <v>6</v>
      </c>
      <c r="J291" t="str" cm="1">
        <f t="array" aca="1" ref="J291" ca="1">IFERROR(INDEX(T_LEAVE_TYPES[SYMBOL],T_LEAVE[[#This Row],[LEAVE TYPE SYS ID]]),"")</f>
        <v>PR</v>
      </c>
      <c r="K291">
        <f ca="1">IF(T_LEAVE[[#This Row],[EMPLOYEE]]="","",IF(T_LEAVE[[#This Row],[ERROR]]="",0,1))</f>
        <v>0</v>
      </c>
      <c r="L291" t="str" cm="1">
        <f t="array" aca="1" ref="L29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2" spans="1:12">
      <c r="A292" t="s">
        <v>2064</v>
      </c>
      <c r="B292" s="15" t="s">
        <v>2144</v>
      </c>
      <c r="C292" s="15" t="s">
        <v>2150</v>
      </c>
      <c r="D292" t="s">
        <v>98</v>
      </c>
      <c r="E292">
        <v>2</v>
      </c>
      <c r="F292" s="1"/>
      <c r="G292" s="1"/>
      <c r="H292">
        <f ca="1">IF(T_LEAVE[[#This Row],[EMPLOYEE]]="","",MATCH(T_LEAVE[[#This Row],[EMPLOYEE]],L_EMPLABELS,0))</f>
        <v>210</v>
      </c>
      <c r="I292">
        <f ca="1">IF(T_LEAVE[[#This Row],[EMPLOYEE]]="","",MATCH(T_LEAVE[[#This Row],[LEAVE TYPE]],L_LEAVETYPES,0))</f>
        <v>7</v>
      </c>
      <c r="J292" t="str" cm="1">
        <f t="array" aca="1" ref="J292" ca="1">IFERROR(INDEX(T_LEAVE_TYPES[SYMBOL],T_LEAVE[[#This Row],[LEAVE TYPE SYS ID]]),"")</f>
        <v>C</v>
      </c>
      <c r="K292">
        <f ca="1">IF(T_LEAVE[[#This Row],[EMPLOYEE]]="","",IF(T_LEAVE[[#This Row],[ERROR]]="",0,1))</f>
        <v>0</v>
      </c>
      <c r="L292" t="str" cm="1">
        <f t="array" aca="1" ref="L29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3" spans="1:12">
      <c r="A293" t="s">
        <v>2030</v>
      </c>
      <c r="B293" s="15" t="s">
        <v>1954</v>
      </c>
      <c r="C293" s="15" t="s">
        <v>1954</v>
      </c>
      <c r="D293" t="s">
        <v>98</v>
      </c>
      <c r="E293">
        <v>1</v>
      </c>
      <c r="F293" s="1"/>
      <c r="G293" s="1"/>
      <c r="H293">
        <f ca="1">IF(T_LEAVE[[#This Row],[EMPLOYEE]]="","",MATCH(T_LEAVE[[#This Row],[EMPLOYEE]],L_EMPLABELS,0))</f>
        <v>314</v>
      </c>
      <c r="I293">
        <f ca="1">IF(T_LEAVE[[#This Row],[EMPLOYEE]]="","",MATCH(T_LEAVE[[#This Row],[LEAVE TYPE]],L_LEAVETYPES,0))</f>
        <v>7</v>
      </c>
      <c r="J293" t="str" cm="1">
        <f t="array" aca="1" ref="J293" ca="1">IFERROR(INDEX(T_LEAVE_TYPES[SYMBOL],T_LEAVE[[#This Row],[LEAVE TYPE SYS ID]]),"")</f>
        <v>C</v>
      </c>
      <c r="K293">
        <f ca="1">IF(T_LEAVE[[#This Row],[EMPLOYEE]]="","",IF(T_LEAVE[[#This Row],[ERROR]]="",0,1))</f>
        <v>0</v>
      </c>
      <c r="L293" t="str" cm="1">
        <f t="array" aca="1" ref="L29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4" spans="1:12">
      <c r="A294" t="s">
        <v>2000</v>
      </c>
      <c r="B294" s="15" t="s">
        <v>2151</v>
      </c>
      <c r="C294" s="15" t="s">
        <v>2151</v>
      </c>
      <c r="D294" t="s">
        <v>98</v>
      </c>
      <c r="E294">
        <v>1</v>
      </c>
      <c r="F294" s="1"/>
      <c r="G294" s="1"/>
      <c r="H294">
        <f ca="1">IF(T_LEAVE[[#This Row],[EMPLOYEE]]="","",MATCH(T_LEAVE[[#This Row],[EMPLOYEE]],L_EMPLABELS,0))</f>
        <v>540</v>
      </c>
      <c r="I294">
        <f ca="1">IF(T_LEAVE[[#This Row],[EMPLOYEE]]="","",MATCH(T_LEAVE[[#This Row],[LEAVE TYPE]],L_LEAVETYPES,0))</f>
        <v>7</v>
      </c>
      <c r="J294" t="str" cm="1">
        <f t="array" aca="1" ref="J294" ca="1">IFERROR(INDEX(T_LEAVE_TYPES[SYMBOL],T_LEAVE[[#This Row],[LEAVE TYPE SYS ID]]),"")</f>
        <v>C</v>
      </c>
      <c r="K294">
        <f ca="1">IF(T_LEAVE[[#This Row],[EMPLOYEE]]="","",IF(T_LEAVE[[#This Row],[ERROR]]="",0,1))</f>
        <v>0</v>
      </c>
      <c r="L294" t="str" cm="1">
        <f t="array" aca="1" ref="L29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5" spans="1:12">
      <c r="A295" t="s">
        <v>2152</v>
      </c>
      <c r="B295" s="15" t="s">
        <v>2153</v>
      </c>
      <c r="C295" s="15" t="s">
        <v>2153</v>
      </c>
      <c r="D295" t="s">
        <v>98</v>
      </c>
      <c r="E295">
        <v>1</v>
      </c>
      <c r="F295" s="1"/>
      <c r="G295" s="1"/>
      <c r="H295">
        <f ca="1">IF(T_LEAVE[[#This Row],[EMPLOYEE]]="","",MATCH(T_LEAVE[[#This Row],[EMPLOYEE]],L_EMPLABELS,0))</f>
        <v>239</v>
      </c>
      <c r="I295">
        <f ca="1">IF(T_LEAVE[[#This Row],[EMPLOYEE]]="","",MATCH(T_LEAVE[[#This Row],[LEAVE TYPE]],L_LEAVETYPES,0))</f>
        <v>7</v>
      </c>
      <c r="J295" t="str" cm="1">
        <f t="array" aca="1" ref="J295" ca="1">IFERROR(INDEX(T_LEAVE_TYPES[SYMBOL],T_LEAVE[[#This Row],[LEAVE TYPE SYS ID]]),"")</f>
        <v>C</v>
      </c>
      <c r="K295">
        <f ca="1">IF(T_LEAVE[[#This Row],[EMPLOYEE]]="","",IF(T_LEAVE[[#This Row],[ERROR]]="",0,1))</f>
        <v>0</v>
      </c>
      <c r="L295" t="str" cm="1">
        <f t="array" aca="1" ref="L29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6" spans="1:12">
      <c r="A296" t="s">
        <v>2030</v>
      </c>
      <c r="B296" s="15" t="s">
        <v>2140</v>
      </c>
      <c r="C296" s="15" t="s">
        <v>2140</v>
      </c>
      <c r="D296" t="s">
        <v>98</v>
      </c>
      <c r="E296">
        <v>1</v>
      </c>
      <c r="F296" s="1"/>
      <c r="G296" s="1"/>
      <c r="H296">
        <f ca="1">IF(T_LEAVE[[#This Row],[EMPLOYEE]]="","",MATCH(T_LEAVE[[#This Row],[EMPLOYEE]],L_EMPLABELS,0))</f>
        <v>314</v>
      </c>
      <c r="I296">
        <f ca="1">IF(T_LEAVE[[#This Row],[EMPLOYEE]]="","",MATCH(T_LEAVE[[#This Row],[LEAVE TYPE]],L_LEAVETYPES,0))</f>
        <v>7</v>
      </c>
      <c r="J296" t="str" cm="1">
        <f t="array" aca="1" ref="J296" ca="1">IFERROR(INDEX(T_LEAVE_TYPES[SYMBOL],T_LEAVE[[#This Row],[LEAVE TYPE SYS ID]]),"")</f>
        <v>C</v>
      </c>
      <c r="K296">
        <f ca="1">IF(T_LEAVE[[#This Row],[EMPLOYEE]]="","",IF(T_LEAVE[[#This Row],[ERROR]]="",0,1))</f>
        <v>0</v>
      </c>
      <c r="L296" t="str" cm="1">
        <f t="array" aca="1" ref="L29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7" spans="1:12">
      <c r="A297" t="s">
        <v>2152</v>
      </c>
      <c r="B297" s="15" t="s">
        <v>2154</v>
      </c>
      <c r="C297" s="15" t="s">
        <v>2154</v>
      </c>
      <c r="D297" t="s">
        <v>98</v>
      </c>
      <c r="E297">
        <v>1</v>
      </c>
      <c r="F297" s="1"/>
      <c r="G297" s="1"/>
      <c r="H297">
        <f ca="1">IF(T_LEAVE[[#This Row],[EMPLOYEE]]="","",MATCH(T_LEAVE[[#This Row],[EMPLOYEE]],L_EMPLABELS,0))</f>
        <v>239</v>
      </c>
      <c r="I297">
        <f ca="1">IF(T_LEAVE[[#This Row],[EMPLOYEE]]="","",MATCH(T_LEAVE[[#This Row],[LEAVE TYPE]],L_LEAVETYPES,0))</f>
        <v>7</v>
      </c>
      <c r="J297" t="str" cm="1">
        <f t="array" aca="1" ref="J297" ca="1">IFERROR(INDEX(T_LEAVE_TYPES[SYMBOL],T_LEAVE[[#This Row],[LEAVE TYPE SYS ID]]),"")</f>
        <v>C</v>
      </c>
      <c r="K297">
        <f ca="1">IF(T_LEAVE[[#This Row],[EMPLOYEE]]="","",IF(T_LEAVE[[#This Row],[ERROR]]="",0,1))</f>
        <v>0</v>
      </c>
      <c r="L297" t="str" cm="1">
        <f t="array" aca="1" ref="L29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8" spans="1:12">
      <c r="A298" t="s">
        <v>2152</v>
      </c>
      <c r="B298" s="15" t="s">
        <v>2153</v>
      </c>
      <c r="C298" s="15" t="s">
        <v>2153</v>
      </c>
      <c r="D298" t="s">
        <v>98</v>
      </c>
      <c r="E298">
        <v>1</v>
      </c>
      <c r="F298" s="1"/>
      <c r="G298" s="1"/>
      <c r="H298">
        <f ca="1">IF(T_LEAVE[[#This Row],[EMPLOYEE]]="","",MATCH(T_LEAVE[[#This Row],[EMPLOYEE]],L_EMPLABELS,0))</f>
        <v>239</v>
      </c>
      <c r="I298">
        <f ca="1">IF(T_LEAVE[[#This Row],[EMPLOYEE]]="","",MATCH(T_LEAVE[[#This Row],[LEAVE TYPE]],L_LEAVETYPES,0))</f>
        <v>7</v>
      </c>
      <c r="J298" t="str" cm="1">
        <f t="array" aca="1" ref="J298" ca="1">IFERROR(INDEX(T_LEAVE_TYPES[SYMBOL],T_LEAVE[[#This Row],[LEAVE TYPE SYS ID]]),"")</f>
        <v>C</v>
      </c>
      <c r="K298">
        <f ca="1">IF(T_LEAVE[[#This Row],[EMPLOYEE]]="","",IF(T_LEAVE[[#This Row],[ERROR]]="",0,1))</f>
        <v>0</v>
      </c>
      <c r="L298" t="str" cm="1">
        <f t="array" aca="1" ref="L29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9" spans="1:12">
      <c r="A299" t="s">
        <v>1976</v>
      </c>
      <c r="B299" s="15" t="s">
        <v>2140</v>
      </c>
      <c r="C299" s="15" t="s">
        <v>2140</v>
      </c>
      <c r="D299" t="s">
        <v>98</v>
      </c>
      <c r="E299">
        <v>1</v>
      </c>
      <c r="F299" s="1"/>
      <c r="G299" s="1"/>
      <c r="H299">
        <f ca="1">IF(T_LEAVE[[#This Row],[EMPLOYEE]]="","",MATCH(T_LEAVE[[#This Row],[EMPLOYEE]],L_EMPLABELS,0))</f>
        <v>167</v>
      </c>
      <c r="I299">
        <f ca="1">IF(T_LEAVE[[#This Row],[EMPLOYEE]]="","",MATCH(T_LEAVE[[#This Row],[LEAVE TYPE]],L_LEAVETYPES,0))</f>
        <v>7</v>
      </c>
      <c r="J299" t="str" cm="1">
        <f t="array" aca="1" ref="J299" ca="1">IFERROR(INDEX(T_LEAVE_TYPES[SYMBOL],T_LEAVE[[#This Row],[LEAVE TYPE SYS ID]]),"")</f>
        <v>C</v>
      </c>
      <c r="K299">
        <f ca="1">IF(T_LEAVE[[#This Row],[EMPLOYEE]]="","",IF(T_LEAVE[[#This Row],[ERROR]]="",0,1))</f>
        <v>0</v>
      </c>
      <c r="L299" t="str" cm="1">
        <f t="array" aca="1" ref="L29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0" spans="1:12">
      <c r="A300" t="s">
        <v>2008</v>
      </c>
      <c r="B300" s="15" t="s">
        <v>2142</v>
      </c>
      <c r="C300" s="15" t="s">
        <v>2142</v>
      </c>
      <c r="D300" t="s">
        <v>98</v>
      </c>
      <c r="E300">
        <v>1</v>
      </c>
      <c r="F300" s="1"/>
      <c r="G300" s="1"/>
      <c r="H300">
        <f ca="1">IF(T_LEAVE[[#This Row],[EMPLOYEE]]="","",MATCH(T_LEAVE[[#This Row],[EMPLOYEE]],L_EMPLABELS,0))</f>
        <v>498</v>
      </c>
      <c r="I300">
        <f ca="1">IF(T_LEAVE[[#This Row],[EMPLOYEE]]="","",MATCH(T_LEAVE[[#This Row],[LEAVE TYPE]],L_LEAVETYPES,0))</f>
        <v>7</v>
      </c>
      <c r="J300" t="str" cm="1">
        <f t="array" aca="1" ref="J300" ca="1">IFERROR(INDEX(T_LEAVE_TYPES[SYMBOL],T_LEAVE[[#This Row],[LEAVE TYPE SYS ID]]),"")</f>
        <v>C</v>
      </c>
      <c r="K300">
        <f ca="1">IF(T_LEAVE[[#This Row],[EMPLOYEE]]="","",IF(T_LEAVE[[#This Row],[ERROR]]="",0,1))</f>
        <v>0</v>
      </c>
      <c r="L300" t="str" cm="1">
        <f t="array" aca="1" ref="L30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1" spans="1:12">
      <c r="A301" t="s">
        <v>2152</v>
      </c>
      <c r="B301" s="15" t="s">
        <v>2155</v>
      </c>
      <c r="C301" s="15" t="s">
        <v>2155</v>
      </c>
      <c r="D301" t="s">
        <v>98</v>
      </c>
      <c r="E301">
        <v>1</v>
      </c>
      <c r="F301" s="1"/>
      <c r="G301" s="1"/>
      <c r="H301">
        <f ca="1">IF(T_LEAVE[[#This Row],[EMPLOYEE]]="","",MATCH(T_LEAVE[[#This Row],[EMPLOYEE]],L_EMPLABELS,0))</f>
        <v>239</v>
      </c>
      <c r="I301">
        <f ca="1">IF(T_LEAVE[[#This Row],[EMPLOYEE]]="","",MATCH(T_LEAVE[[#This Row],[LEAVE TYPE]],L_LEAVETYPES,0))</f>
        <v>7</v>
      </c>
      <c r="J301" t="str" cm="1">
        <f t="array" aca="1" ref="J301" ca="1">IFERROR(INDEX(T_LEAVE_TYPES[SYMBOL],T_LEAVE[[#This Row],[LEAVE TYPE SYS ID]]),"")</f>
        <v>C</v>
      </c>
      <c r="K301">
        <f ca="1">IF(T_LEAVE[[#This Row],[EMPLOYEE]]="","",IF(T_LEAVE[[#This Row],[ERROR]]="",0,1))</f>
        <v>0</v>
      </c>
      <c r="L301" t="str" cm="1">
        <f t="array" aca="1" ref="L30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2" spans="1:12">
      <c r="A302" t="s">
        <v>2152</v>
      </c>
      <c r="B302" s="15" t="s">
        <v>1934</v>
      </c>
      <c r="C302" s="15" t="s">
        <v>1934</v>
      </c>
      <c r="D302" t="s">
        <v>98</v>
      </c>
      <c r="E302">
        <v>1</v>
      </c>
      <c r="F302" s="1"/>
      <c r="G302" s="1"/>
      <c r="H302">
        <f ca="1">IF(T_LEAVE[[#This Row],[EMPLOYEE]]="","",MATCH(T_LEAVE[[#This Row],[EMPLOYEE]],L_EMPLABELS,0))</f>
        <v>239</v>
      </c>
      <c r="I302">
        <f ca="1">IF(T_LEAVE[[#This Row],[EMPLOYEE]]="","",MATCH(T_LEAVE[[#This Row],[LEAVE TYPE]],L_LEAVETYPES,0))</f>
        <v>7</v>
      </c>
      <c r="J302" t="str" cm="1">
        <f t="array" aca="1" ref="J302" ca="1">IFERROR(INDEX(T_LEAVE_TYPES[SYMBOL],T_LEAVE[[#This Row],[LEAVE TYPE SYS ID]]),"")</f>
        <v>C</v>
      </c>
      <c r="K302">
        <f ca="1">IF(T_LEAVE[[#This Row],[EMPLOYEE]]="","",IF(T_LEAVE[[#This Row],[ERROR]]="",0,1))</f>
        <v>0</v>
      </c>
      <c r="L302" t="str" cm="1">
        <f t="array" aca="1" ref="L30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3" spans="1:12">
      <c r="A303" t="s">
        <v>2152</v>
      </c>
      <c r="B303" s="15" t="s">
        <v>1913</v>
      </c>
      <c r="C303" s="15" t="s">
        <v>1914</v>
      </c>
      <c r="D303" s="17" t="s">
        <v>84</v>
      </c>
      <c r="E303">
        <v>2</v>
      </c>
      <c r="F303" s="1"/>
      <c r="G303" s="1"/>
      <c r="H303">
        <f ca="1">IF(T_LEAVE[[#This Row],[EMPLOYEE]]="","",MATCH(T_LEAVE[[#This Row],[EMPLOYEE]],L_EMPLABELS,0))</f>
        <v>239</v>
      </c>
      <c r="I303">
        <f ca="1">IF(T_LEAVE[[#This Row],[EMPLOYEE]]="","",MATCH(T_LEAVE[[#This Row],[LEAVE TYPE]],L_LEAVETYPES,0))</f>
        <v>5</v>
      </c>
      <c r="J303" t="str" cm="1">
        <f t="array" aca="1" ref="J303" ca="1">IFERROR(INDEX(T_LEAVE_TYPES[SYMBOL],T_LEAVE[[#This Row],[LEAVE TYPE SYS ID]]),"")</f>
        <v>B</v>
      </c>
      <c r="K303">
        <f ca="1">IF(T_LEAVE[[#This Row],[EMPLOYEE]]="","",IF(T_LEAVE[[#This Row],[ERROR]]="",0,1))</f>
        <v>0</v>
      </c>
      <c r="L303" t="str" cm="1">
        <f t="array" aca="1" ref="L30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4" spans="1:12">
      <c r="A304" t="s">
        <v>1981</v>
      </c>
      <c r="B304" s="15" t="s">
        <v>2103</v>
      </c>
      <c r="C304" s="15" t="s">
        <v>2103</v>
      </c>
      <c r="D304" t="s">
        <v>92</v>
      </c>
      <c r="E304">
        <v>1</v>
      </c>
      <c r="F304" s="1"/>
      <c r="G304" s="1"/>
      <c r="H304">
        <f ca="1">IF(T_LEAVE[[#This Row],[EMPLOYEE]]="","",MATCH(T_LEAVE[[#This Row],[EMPLOYEE]],L_EMPLABELS,0))</f>
        <v>366</v>
      </c>
      <c r="I304">
        <f ca="1">IF(T_LEAVE[[#This Row],[EMPLOYEE]]="","",MATCH(T_LEAVE[[#This Row],[LEAVE TYPE]],L_LEAVETYPES,0))</f>
        <v>6</v>
      </c>
      <c r="J304" t="str" cm="1">
        <f t="array" aca="1" ref="J304" ca="1">IFERROR(INDEX(T_LEAVE_TYPES[SYMBOL],T_LEAVE[[#This Row],[LEAVE TYPE SYS ID]]),"")</f>
        <v>PR</v>
      </c>
      <c r="K304">
        <f ca="1">IF(T_LEAVE[[#This Row],[EMPLOYEE]]="","",IF(T_LEAVE[[#This Row],[ERROR]]="",0,1))</f>
        <v>0</v>
      </c>
      <c r="L304" t="str" cm="1">
        <f t="array" aca="1" ref="L30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5" spans="1:12">
      <c r="A305" t="s">
        <v>1909</v>
      </c>
      <c r="B305" s="15" t="s">
        <v>1974</v>
      </c>
      <c r="C305" s="15" t="s">
        <v>1974</v>
      </c>
      <c r="D305" t="s">
        <v>92</v>
      </c>
      <c r="E305">
        <v>1</v>
      </c>
      <c r="F305" s="1"/>
      <c r="G305" s="1"/>
      <c r="H305">
        <f ca="1">IF(T_LEAVE[[#This Row],[EMPLOYEE]]="","",MATCH(T_LEAVE[[#This Row],[EMPLOYEE]],L_EMPLABELS,0))</f>
        <v>214</v>
      </c>
      <c r="I305">
        <f ca="1">IF(T_LEAVE[[#This Row],[EMPLOYEE]]="","",MATCH(T_LEAVE[[#This Row],[LEAVE TYPE]],L_LEAVETYPES,0))</f>
        <v>6</v>
      </c>
      <c r="J305" t="str" cm="1">
        <f t="array" aca="1" ref="J305" ca="1">IFERROR(INDEX(T_LEAVE_TYPES[SYMBOL],T_LEAVE[[#This Row],[LEAVE TYPE SYS ID]]),"")</f>
        <v>PR</v>
      </c>
      <c r="K305">
        <f ca="1">IF(T_LEAVE[[#This Row],[EMPLOYEE]]="","",IF(T_LEAVE[[#This Row],[ERROR]]="",0,1))</f>
        <v>0</v>
      </c>
      <c r="L305" t="str" cm="1">
        <f t="array" aca="1" ref="L30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6" spans="1:12">
      <c r="A306" t="s">
        <v>1909</v>
      </c>
      <c r="B306" s="15" t="s">
        <v>2156</v>
      </c>
      <c r="C306" s="15" t="s">
        <v>2157</v>
      </c>
      <c r="D306" t="s">
        <v>98</v>
      </c>
      <c r="E306">
        <v>5</v>
      </c>
      <c r="F306" s="1"/>
      <c r="G306" s="1"/>
      <c r="H306">
        <f ca="1">IF(T_LEAVE[[#This Row],[EMPLOYEE]]="","",MATCH(T_LEAVE[[#This Row],[EMPLOYEE]],L_EMPLABELS,0))</f>
        <v>214</v>
      </c>
      <c r="I306">
        <f ca="1">IF(T_LEAVE[[#This Row],[EMPLOYEE]]="","",MATCH(T_LEAVE[[#This Row],[LEAVE TYPE]],L_LEAVETYPES,0))</f>
        <v>7</v>
      </c>
      <c r="J306" t="str" cm="1">
        <f t="array" aca="1" ref="J306" ca="1">IFERROR(INDEX(T_LEAVE_TYPES[SYMBOL],T_LEAVE[[#This Row],[LEAVE TYPE SYS ID]]),"")</f>
        <v>C</v>
      </c>
      <c r="K306">
        <f ca="1">IF(T_LEAVE[[#This Row],[EMPLOYEE]]="","",IF(T_LEAVE[[#This Row],[ERROR]]="",0,1))</f>
        <v>0</v>
      </c>
      <c r="L306" t="str" cm="1">
        <f t="array" aca="1" ref="L30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7" spans="1:12">
      <c r="A307" t="s">
        <v>2152</v>
      </c>
      <c r="B307" s="15" t="s">
        <v>2001</v>
      </c>
      <c r="C307" s="15" t="s">
        <v>2001</v>
      </c>
      <c r="D307" t="s">
        <v>98</v>
      </c>
      <c r="E307">
        <v>1</v>
      </c>
      <c r="F307" s="1"/>
      <c r="G307" s="1"/>
      <c r="H307">
        <f ca="1">IF(T_LEAVE[[#This Row],[EMPLOYEE]]="","",MATCH(T_LEAVE[[#This Row],[EMPLOYEE]],L_EMPLABELS,0))</f>
        <v>239</v>
      </c>
      <c r="I307">
        <f ca="1">IF(T_LEAVE[[#This Row],[EMPLOYEE]]="","",MATCH(T_LEAVE[[#This Row],[LEAVE TYPE]],L_LEAVETYPES,0))</f>
        <v>7</v>
      </c>
      <c r="J307" t="str" cm="1">
        <f t="array" aca="1" ref="J307" ca="1">IFERROR(INDEX(T_LEAVE_TYPES[SYMBOL],T_LEAVE[[#This Row],[LEAVE TYPE SYS ID]]),"")</f>
        <v>C</v>
      </c>
      <c r="K307">
        <f ca="1">IF(T_LEAVE[[#This Row],[EMPLOYEE]]="","",IF(T_LEAVE[[#This Row],[ERROR]]="",0,1))</f>
        <v>0</v>
      </c>
      <c r="L307" t="str" cm="1">
        <f t="array" aca="1" ref="L30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8" spans="1:12">
      <c r="A308" t="s">
        <v>1909</v>
      </c>
      <c r="B308" s="15" t="s">
        <v>1975</v>
      </c>
      <c r="C308" s="15" t="s">
        <v>2158</v>
      </c>
      <c r="D308" t="s">
        <v>98</v>
      </c>
      <c r="E308">
        <v>2</v>
      </c>
      <c r="F308" s="1"/>
      <c r="G308" s="1"/>
      <c r="H308">
        <f ca="1">IF(T_LEAVE[[#This Row],[EMPLOYEE]]="","",MATCH(T_LEAVE[[#This Row],[EMPLOYEE]],L_EMPLABELS,0))</f>
        <v>214</v>
      </c>
      <c r="I308">
        <f ca="1">IF(T_LEAVE[[#This Row],[EMPLOYEE]]="","",MATCH(T_LEAVE[[#This Row],[LEAVE TYPE]],L_LEAVETYPES,0))</f>
        <v>7</v>
      </c>
      <c r="J308" t="str" cm="1">
        <f t="array" aca="1" ref="J308" ca="1">IFERROR(INDEX(T_LEAVE_TYPES[SYMBOL],T_LEAVE[[#This Row],[LEAVE TYPE SYS ID]]),"")</f>
        <v>C</v>
      </c>
      <c r="K308">
        <f ca="1">IF(T_LEAVE[[#This Row],[EMPLOYEE]]="","",IF(T_LEAVE[[#This Row],[ERROR]]="",0,1))</f>
        <v>0</v>
      </c>
      <c r="L308" t="str" cm="1">
        <f t="array" aca="1" ref="L30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9" spans="1:12">
      <c r="A309" t="s">
        <v>1909</v>
      </c>
      <c r="B309" s="15" t="s">
        <v>2156</v>
      </c>
      <c r="C309" s="15" t="s">
        <v>2157</v>
      </c>
      <c r="D309" t="s">
        <v>98</v>
      </c>
      <c r="E309">
        <v>5</v>
      </c>
      <c r="F309" s="1"/>
      <c r="G309" s="1"/>
      <c r="H309">
        <f ca="1">IF(T_LEAVE[[#This Row],[EMPLOYEE]]="","",MATCH(T_LEAVE[[#This Row],[EMPLOYEE]],L_EMPLABELS,0))</f>
        <v>214</v>
      </c>
      <c r="I309">
        <f ca="1">IF(T_LEAVE[[#This Row],[EMPLOYEE]]="","",MATCH(T_LEAVE[[#This Row],[LEAVE TYPE]],L_LEAVETYPES,0))</f>
        <v>7</v>
      </c>
      <c r="J309" t="str" cm="1">
        <f t="array" aca="1" ref="J309" ca="1">IFERROR(INDEX(T_LEAVE_TYPES[SYMBOL],T_LEAVE[[#This Row],[LEAVE TYPE SYS ID]]),"")</f>
        <v>C</v>
      </c>
      <c r="K309">
        <f ca="1">IF(T_LEAVE[[#This Row],[EMPLOYEE]]="","",IF(T_LEAVE[[#This Row],[ERROR]]="",0,1))</f>
        <v>0</v>
      </c>
      <c r="L309" t="str" cm="1">
        <f t="array" aca="1" ref="L30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0" spans="1:12">
      <c r="A310" t="s">
        <v>2152</v>
      </c>
      <c r="B310" s="15" t="s">
        <v>1999</v>
      </c>
      <c r="C310" s="15" t="s">
        <v>1915</v>
      </c>
      <c r="D310" t="s">
        <v>98</v>
      </c>
      <c r="E310">
        <v>2</v>
      </c>
      <c r="F310" s="1"/>
      <c r="G310" s="1"/>
      <c r="H310">
        <f ca="1">IF(T_LEAVE[[#This Row],[EMPLOYEE]]="","",MATCH(T_LEAVE[[#This Row],[EMPLOYEE]],L_EMPLABELS,0))</f>
        <v>239</v>
      </c>
      <c r="I310">
        <f ca="1">IF(T_LEAVE[[#This Row],[EMPLOYEE]]="","",MATCH(T_LEAVE[[#This Row],[LEAVE TYPE]],L_LEAVETYPES,0))</f>
        <v>7</v>
      </c>
      <c r="J310" t="str" cm="1">
        <f t="array" aca="1" ref="J310" ca="1">IFERROR(INDEX(T_LEAVE_TYPES[SYMBOL],T_LEAVE[[#This Row],[LEAVE TYPE SYS ID]]),"")</f>
        <v>C</v>
      </c>
      <c r="K310">
        <f ca="1">IF(T_LEAVE[[#This Row],[EMPLOYEE]]="","",IF(T_LEAVE[[#This Row],[ERROR]]="",0,1))</f>
        <v>0</v>
      </c>
      <c r="L310" t="str" cm="1">
        <f t="array" aca="1" ref="L31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1" spans="1:12">
      <c r="A311" t="s">
        <v>2152</v>
      </c>
      <c r="B311" s="15" t="s">
        <v>2159</v>
      </c>
      <c r="C311" s="15" t="s">
        <v>2159</v>
      </c>
      <c r="D311" t="s">
        <v>98</v>
      </c>
      <c r="E311">
        <v>1</v>
      </c>
      <c r="F311" s="1"/>
      <c r="G311" s="1"/>
      <c r="H311">
        <f ca="1">IF(T_LEAVE[[#This Row],[EMPLOYEE]]="","",MATCH(T_LEAVE[[#This Row],[EMPLOYEE]],L_EMPLABELS,0))</f>
        <v>239</v>
      </c>
      <c r="I311">
        <f ca="1">IF(T_LEAVE[[#This Row],[EMPLOYEE]]="","",MATCH(T_LEAVE[[#This Row],[LEAVE TYPE]],L_LEAVETYPES,0))</f>
        <v>7</v>
      </c>
      <c r="J311" t="str" cm="1">
        <f t="array" aca="1" ref="J311" ca="1">IFERROR(INDEX(T_LEAVE_TYPES[SYMBOL],T_LEAVE[[#This Row],[LEAVE TYPE SYS ID]]),"")</f>
        <v>C</v>
      </c>
      <c r="K311">
        <f ca="1">IF(T_LEAVE[[#This Row],[EMPLOYEE]]="","",IF(T_LEAVE[[#This Row],[ERROR]]="",0,1))</f>
        <v>0</v>
      </c>
      <c r="L311" t="str" cm="1">
        <f t="array" aca="1" ref="L31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2" spans="1:12">
      <c r="A312" t="s">
        <v>1936</v>
      </c>
      <c r="B312" s="15" t="s">
        <v>2103</v>
      </c>
      <c r="C312" s="15" t="s">
        <v>2103</v>
      </c>
      <c r="D312" t="s">
        <v>92</v>
      </c>
      <c r="E312">
        <v>1</v>
      </c>
      <c r="F312" s="1"/>
      <c r="G312" s="1"/>
      <c r="H312">
        <f ca="1">IF(T_LEAVE[[#This Row],[EMPLOYEE]]="","",MATCH(T_LEAVE[[#This Row],[EMPLOYEE]],L_EMPLABELS,0))</f>
        <v>550</v>
      </c>
      <c r="I312">
        <f ca="1">IF(T_LEAVE[[#This Row],[EMPLOYEE]]="","",MATCH(T_LEAVE[[#This Row],[LEAVE TYPE]],L_LEAVETYPES,0))</f>
        <v>6</v>
      </c>
      <c r="J312" t="str" cm="1">
        <f t="array" aca="1" ref="J312" ca="1">IFERROR(INDEX(T_LEAVE_TYPES[SYMBOL],T_LEAVE[[#This Row],[LEAVE TYPE SYS ID]]),"")</f>
        <v>PR</v>
      </c>
      <c r="K312">
        <f ca="1">IF(T_LEAVE[[#This Row],[EMPLOYEE]]="","",IF(T_LEAVE[[#This Row],[ERROR]]="",0,1))</f>
        <v>0</v>
      </c>
      <c r="L312" t="str" cm="1">
        <f t="array" aca="1" ref="L31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3" spans="1:12">
      <c r="A313" t="s">
        <v>1936</v>
      </c>
      <c r="B313" s="15" t="s">
        <v>1970</v>
      </c>
      <c r="C313" s="15" t="s">
        <v>1970</v>
      </c>
      <c r="D313" t="s">
        <v>92</v>
      </c>
      <c r="E313">
        <v>1</v>
      </c>
      <c r="F313" s="1"/>
      <c r="G313" s="1"/>
      <c r="H313">
        <f ca="1">IF(T_LEAVE[[#This Row],[EMPLOYEE]]="","",MATCH(T_LEAVE[[#This Row],[EMPLOYEE]],L_EMPLABELS,0))</f>
        <v>550</v>
      </c>
      <c r="I313">
        <f ca="1">IF(T_LEAVE[[#This Row],[EMPLOYEE]]="","",MATCH(T_LEAVE[[#This Row],[LEAVE TYPE]],L_LEAVETYPES,0))</f>
        <v>6</v>
      </c>
      <c r="J313" t="str" cm="1">
        <f t="array" aca="1" ref="J313" ca="1">IFERROR(INDEX(T_LEAVE_TYPES[SYMBOL],T_LEAVE[[#This Row],[LEAVE TYPE SYS ID]]),"")</f>
        <v>PR</v>
      </c>
      <c r="K313">
        <f ca="1">IF(T_LEAVE[[#This Row],[EMPLOYEE]]="","",IF(T_LEAVE[[#This Row],[ERROR]]="",0,1))</f>
        <v>0</v>
      </c>
      <c r="L313" t="str" cm="1">
        <f t="array" aca="1" ref="L31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4" spans="1:12">
      <c r="A314" t="s">
        <v>1988</v>
      </c>
      <c r="B314" s="15" t="s">
        <v>1975</v>
      </c>
      <c r="C314" s="15" t="s">
        <v>1975</v>
      </c>
      <c r="D314" t="s">
        <v>98</v>
      </c>
      <c r="E314">
        <v>1</v>
      </c>
      <c r="F314" s="1"/>
      <c r="G314" s="1"/>
      <c r="H314">
        <f ca="1">IF(T_LEAVE[[#This Row],[EMPLOYEE]]="","",MATCH(T_LEAVE[[#This Row],[EMPLOYEE]],L_EMPLABELS,0))</f>
        <v>506</v>
      </c>
      <c r="I314">
        <f ca="1">IF(T_LEAVE[[#This Row],[EMPLOYEE]]="","",MATCH(T_LEAVE[[#This Row],[LEAVE TYPE]],L_LEAVETYPES,0))</f>
        <v>7</v>
      </c>
      <c r="J314" t="str" cm="1">
        <f t="array" aca="1" ref="J314" ca="1">IFERROR(INDEX(T_LEAVE_TYPES[SYMBOL],T_LEAVE[[#This Row],[LEAVE TYPE SYS ID]]),"")</f>
        <v>C</v>
      </c>
      <c r="K314">
        <f ca="1">IF(T_LEAVE[[#This Row],[EMPLOYEE]]="","",IF(T_LEAVE[[#This Row],[ERROR]]="",0,1))</f>
        <v>0</v>
      </c>
      <c r="L314" t="str" cm="1">
        <f t="array" aca="1" ref="L31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5" spans="1:12">
      <c r="A315" t="s">
        <v>1988</v>
      </c>
      <c r="B315" s="15" t="s">
        <v>1975</v>
      </c>
      <c r="C315" s="15" t="s">
        <v>1975</v>
      </c>
      <c r="D315" t="s">
        <v>98</v>
      </c>
      <c r="E315">
        <v>1</v>
      </c>
      <c r="F315" s="1"/>
      <c r="G315" s="1"/>
      <c r="H315">
        <f ca="1">IF(T_LEAVE[[#This Row],[EMPLOYEE]]="","",MATCH(T_LEAVE[[#This Row],[EMPLOYEE]],L_EMPLABELS,0))</f>
        <v>506</v>
      </c>
      <c r="I315">
        <f ca="1">IF(T_LEAVE[[#This Row],[EMPLOYEE]]="","",MATCH(T_LEAVE[[#This Row],[LEAVE TYPE]],L_LEAVETYPES,0))</f>
        <v>7</v>
      </c>
      <c r="J315" t="str" cm="1">
        <f t="array" aca="1" ref="J315" ca="1">IFERROR(INDEX(T_LEAVE_TYPES[SYMBOL],T_LEAVE[[#This Row],[LEAVE TYPE SYS ID]]),"")</f>
        <v>C</v>
      </c>
      <c r="K315">
        <f ca="1">IF(T_LEAVE[[#This Row],[EMPLOYEE]]="","",IF(T_LEAVE[[#This Row],[ERROR]]="",0,1))</f>
        <v>0</v>
      </c>
      <c r="L315" t="str" cm="1">
        <f t="array" aca="1" ref="L31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6" spans="1:12">
      <c r="A316" t="s">
        <v>1988</v>
      </c>
      <c r="B316" s="15" t="s">
        <v>1975</v>
      </c>
      <c r="C316" s="15" t="s">
        <v>1975</v>
      </c>
      <c r="D316" t="s">
        <v>98</v>
      </c>
      <c r="E316">
        <v>1</v>
      </c>
      <c r="F316" s="1"/>
      <c r="G316" s="1"/>
      <c r="H316">
        <f ca="1">IF(T_LEAVE[[#This Row],[EMPLOYEE]]="","",MATCH(T_LEAVE[[#This Row],[EMPLOYEE]],L_EMPLABELS,0))</f>
        <v>506</v>
      </c>
      <c r="I316">
        <f ca="1">IF(T_LEAVE[[#This Row],[EMPLOYEE]]="","",MATCH(T_LEAVE[[#This Row],[LEAVE TYPE]],L_LEAVETYPES,0))</f>
        <v>7</v>
      </c>
      <c r="J316" t="str" cm="1">
        <f t="array" aca="1" ref="J316" ca="1">IFERROR(INDEX(T_LEAVE_TYPES[SYMBOL],T_LEAVE[[#This Row],[LEAVE TYPE SYS ID]]),"")</f>
        <v>C</v>
      </c>
      <c r="K316">
        <f ca="1">IF(T_LEAVE[[#This Row],[EMPLOYEE]]="","",IF(T_LEAVE[[#This Row],[ERROR]]="",0,1))</f>
        <v>0</v>
      </c>
      <c r="L316" t="str" cm="1">
        <f t="array" aca="1" ref="L31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7" spans="1:12">
      <c r="A317" t="s">
        <v>2152</v>
      </c>
      <c r="B317" s="15" t="s">
        <v>2160</v>
      </c>
      <c r="C317" s="15" t="s">
        <v>2160</v>
      </c>
      <c r="D317" t="s">
        <v>98</v>
      </c>
      <c r="E317">
        <v>1</v>
      </c>
      <c r="F317" s="1"/>
      <c r="G317" s="1"/>
      <c r="H317">
        <f ca="1">IF(T_LEAVE[[#This Row],[EMPLOYEE]]="","",MATCH(T_LEAVE[[#This Row],[EMPLOYEE]],L_EMPLABELS,0))</f>
        <v>239</v>
      </c>
      <c r="I317">
        <f ca="1">IF(T_LEAVE[[#This Row],[EMPLOYEE]]="","",MATCH(T_LEAVE[[#This Row],[LEAVE TYPE]],L_LEAVETYPES,0))</f>
        <v>7</v>
      </c>
      <c r="J317" t="str" cm="1">
        <f t="array" aca="1" ref="J317" ca="1">IFERROR(INDEX(T_LEAVE_TYPES[SYMBOL],T_LEAVE[[#This Row],[LEAVE TYPE SYS ID]]),"")</f>
        <v>C</v>
      </c>
      <c r="K317">
        <f ca="1">IF(T_LEAVE[[#This Row],[EMPLOYEE]]="","",IF(T_LEAVE[[#This Row],[ERROR]]="",0,1))</f>
        <v>0</v>
      </c>
      <c r="L317" t="str" cm="1">
        <f t="array" aca="1" ref="L31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8" spans="1:12">
      <c r="A318" t="s">
        <v>2152</v>
      </c>
      <c r="B318" s="15" t="s">
        <v>2161</v>
      </c>
      <c r="C318" s="15" t="s">
        <v>2161</v>
      </c>
      <c r="D318" t="s">
        <v>98</v>
      </c>
      <c r="E318">
        <v>1</v>
      </c>
      <c r="F318" s="1"/>
      <c r="G318" s="1"/>
      <c r="H318">
        <f ca="1">IF(T_LEAVE[[#This Row],[EMPLOYEE]]="","",MATCH(T_LEAVE[[#This Row],[EMPLOYEE]],L_EMPLABELS,0))</f>
        <v>239</v>
      </c>
      <c r="I318">
        <f ca="1">IF(T_LEAVE[[#This Row],[EMPLOYEE]]="","",MATCH(T_LEAVE[[#This Row],[LEAVE TYPE]],L_LEAVETYPES,0))</f>
        <v>7</v>
      </c>
      <c r="J318" t="str" cm="1">
        <f t="array" aca="1" ref="J318" ca="1">IFERROR(INDEX(T_LEAVE_TYPES[SYMBOL],T_LEAVE[[#This Row],[LEAVE TYPE SYS ID]]),"")</f>
        <v>C</v>
      </c>
      <c r="K318">
        <f ca="1">IF(T_LEAVE[[#This Row],[EMPLOYEE]]="","",IF(T_LEAVE[[#This Row],[ERROR]]="",0,1))</f>
        <v>0</v>
      </c>
      <c r="L318" t="str" cm="1">
        <f t="array" aca="1" ref="L31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9" spans="1:12">
      <c r="A319" t="s">
        <v>2152</v>
      </c>
      <c r="B319" s="15" t="s">
        <v>2088</v>
      </c>
      <c r="C319" s="15" t="s">
        <v>2088</v>
      </c>
      <c r="D319" t="s">
        <v>92</v>
      </c>
      <c r="E319">
        <v>1</v>
      </c>
      <c r="F319" s="1"/>
      <c r="G319" s="1"/>
      <c r="H319">
        <f ca="1">IF(T_LEAVE[[#This Row],[EMPLOYEE]]="","",MATCH(T_LEAVE[[#This Row],[EMPLOYEE]],L_EMPLABELS,0))</f>
        <v>239</v>
      </c>
      <c r="I319">
        <f ca="1">IF(T_LEAVE[[#This Row],[EMPLOYEE]]="","",MATCH(T_LEAVE[[#This Row],[LEAVE TYPE]],L_LEAVETYPES,0))</f>
        <v>6</v>
      </c>
      <c r="J319" t="str" cm="1">
        <f t="array" aca="1" ref="J319" ca="1">IFERROR(INDEX(T_LEAVE_TYPES[SYMBOL],T_LEAVE[[#This Row],[LEAVE TYPE SYS ID]]),"")</f>
        <v>PR</v>
      </c>
      <c r="K319">
        <f ca="1">IF(T_LEAVE[[#This Row],[EMPLOYEE]]="","",IF(T_LEAVE[[#This Row],[ERROR]]="",0,1))</f>
        <v>0</v>
      </c>
      <c r="L319" t="str" cm="1">
        <f t="array" aca="1" ref="L31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0" spans="1:12">
      <c r="A320" t="s">
        <v>2152</v>
      </c>
      <c r="B320" s="15" t="s">
        <v>2047</v>
      </c>
      <c r="C320" s="15" t="s">
        <v>2047</v>
      </c>
      <c r="D320" t="s">
        <v>98</v>
      </c>
      <c r="E320">
        <v>1</v>
      </c>
      <c r="F320" s="1"/>
      <c r="G320" s="1"/>
      <c r="H320">
        <f ca="1">IF(T_LEAVE[[#This Row],[EMPLOYEE]]="","",MATCH(T_LEAVE[[#This Row],[EMPLOYEE]],L_EMPLABELS,0))</f>
        <v>239</v>
      </c>
      <c r="I320">
        <f ca="1">IF(T_LEAVE[[#This Row],[EMPLOYEE]]="","",MATCH(T_LEAVE[[#This Row],[LEAVE TYPE]],L_LEAVETYPES,0))</f>
        <v>7</v>
      </c>
      <c r="J320" t="str" cm="1">
        <f t="array" aca="1" ref="J320" ca="1">IFERROR(INDEX(T_LEAVE_TYPES[SYMBOL],T_LEAVE[[#This Row],[LEAVE TYPE SYS ID]]),"")</f>
        <v>C</v>
      </c>
      <c r="K320">
        <f ca="1">IF(T_LEAVE[[#This Row],[EMPLOYEE]]="","",IF(T_LEAVE[[#This Row],[ERROR]]="",0,1))</f>
        <v>0</v>
      </c>
      <c r="L320" t="str" cm="1">
        <f t="array" aca="1" ref="L32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1" spans="1:12">
      <c r="A321" t="s">
        <v>2152</v>
      </c>
      <c r="B321" s="15" t="s">
        <v>2119</v>
      </c>
      <c r="C321" s="15" t="s">
        <v>2119</v>
      </c>
      <c r="D321" t="s">
        <v>92</v>
      </c>
      <c r="E321">
        <v>1</v>
      </c>
      <c r="F321" s="1"/>
      <c r="G321" s="1"/>
      <c r="H321">
        <f ca="1">IF(T_LEAVE[[#This Row],[EMPLOYEE]]="","",MATCH(T_LEAVE[[#This Row],[EMPLOYEE]],L_EMPLABELS,0))</f>
        <v>239</v>
      </c>
      <c r="I321">
        <f ca="1">IF(T_LEAVE[[#This Row],[EMPLOYEE]]="","",MATCH(T_LEAVE[[#This Row],[LEAVE TYPE]],L_LEAVETYPES,0))</f>
        <v>6</v>
      </c>
      <c r="J321" t="str" cm="1">
        <f t="array" aca="1" ref="J321" ca="1">IFERROR(INDEX(T_LEAVE_TYPES[SYMBOL],T_LEAVE[[#This Row],[LEAVE TYPE SYS ID]]),"")</f>
        <v>PR</v>
      </c>
      <c r="K321">
        <f ca="1">IF(T_LEAVE[[#This Row],[EMPLOYEE]]="","",IF(T_LEAVE[[#This Row],[ERROR]]="",0,1))</f>
        <v>0</v>
      </c>
      <c r="L321" t="str" cm="1">
        <f t="array" aca="1" ref="L32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2" spans="1:12">
      <c r="A322" t="s">
        <v>2152</v>
      </c>
      <c r="B322" s="15" t="s">
        <v>2162</v>
      </c>
      <c r="C322" s="15" t="s">
        <v>2162</v>
      </c>
      <c r="D322" t="s">
        <v>92</v>
      </c>
      <c r="E322">
        <v>1</v>
      </c>
      <c r="F322" s="1"/>
      <c r="G322" s="1"/>
      <c r="H322">
        <f ca="1">IF(T_LEAVE[[#This Row],[EMPLOYEE]]="","",MATCH(T_LEAVE[[#This Row],[EMPLOYEE]],L_EMPLABELS,0))</f>
        <v>239</v>
      </c>
      <c r="I322">
        <f ca="1">IF(T_LEAVE[[#This Row],[EMPLOYEE]]="","",MATCH(T_LEAVE[[#This Row],[LEAVE TYPE]],L_LEAVETYPES,0))</f>
        <v>6</v>
      </c>
      <c r="J322" t="str" cm="1">
        <f t="array" aca="1" ref="J322" ca="1">IFERROR(INDEX(T_LEAVE_TYPES[SYMBOL],T_LEAVE[[#This Row],[LEAVE TYPE SYS ID]]),"")</f>
        <v>PR</v>
      </c>
      <c r="K322">
        <f ca="1">IF(T_LEAVE[[#This Row],[EMPLOYEE]]="","",IF(T_LEAVE[[#This Row],[ERROR]]="",0,1))</f>
        <v>0</v>
      </c>
      <c r="L322" t="str" cm="1">
        <f t="array" aca="1" ref="L32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3" spans="1:12">
      <c r="A323" t="s">
        <v>2152</v>
      </c>
      <c r="B323" s="15" t="s">
        <v>2163</v>
      </c>
      <c r="C323" s="15" t="s">
        <v>2163</v>
      </c>
      <c r="D323" t="s">
        <v>92</v>
      </c>
      <c r="E323">
        <v>1</v>
      </c>
      <c r="F323" s="1"/>
      <c r="G323" s="1"/>
      <c r="H323">
        <f ca="1">IF(T_LEAVE[[#This Row],[EMPLOYEE]]="","",MATCH(T_LEAVE[[#This Row],[EMPLOYEE]],L_EMPLABELS,0))</f>
        <v>239</v>
      </c>
      <c r="I323">
        <f ca="1">IF(T_LEAVE[[#This Row],[EMPLOYEE]]="","",MATCH(T_LEAVE[[#This Row],[LEAVE TYPE]],L_LEAVETYPES,0))</f>
        <v>6</v>
      </c>
      <c r="J323" t="str" cm="1">
        <f t="array" aca="1" ref="J323" ca="1">IFERROR(INDEX(T_LEAVE_TYPES[SYMBOL],T_LEAVE[[#This Row],[LEAVE TYPE SYS ID]]),"")</f>
        <v>PR</v>
      </c>
      <c r="K323">
        <f ca="1">IF(T_LEAVE[[#This Row],[EMPLOYEE]]="","",IF(T_LEAVE[[#This Row],[ERROR]]="",0,1))</f>
        <v>0</v>
      </c>
      <c r="L323" t="str" cm="1">
        <f t="array" aca="1" ref="L32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4" spans="1:12">
      <c r="A324" t="s">
        <v>2152</v>
      </c>
      <c r="B324" s="15" t="s">
        <v>1954</v>
      </c>
      <c r="C324" s="15" t="s">
        <v>1954</v>
      </c>
      <c r="D324" t="s">
        <v>98</v>
      </c>
      <c r="E324">
        <v>1</v>
      </c>
      <c r="F324" s="1"/>
      <c r="G324" s="1"/>
      <c r="H324">
        <f ca="1">IF(T_LEAVE[[#This Row],[EMPLOYEE]]="","",MATCH(T_LEAVE[[#This Row],[EMPLOYEE]],L_EMPLABELS,0))</f>
        <v>239</v>
      </c>
      <c r="I324">
        <f ca="1">IF(T_LEAVE[[#This Row],[EMPLOYEE]]="","",MATCH(T_LEAVE[[#This Row],[LEAVE TYPE]],L_LEAVETYPES,0))</f>
        <v>7</v>
      </c>
      <c r="J324" t="str" cm="1">
        <f t="array" aca="1" ref="J324" ca="1">IFERROR(INDEX(T_LEAVE_TYPES[SYMBOL],T_LEAVE[[#This Row],[LEAVE TYPE SYS ID]]),"")</f>
        <v>C</v>
      </c>
      <c r="K324">
        <f ca="1">IF(T_LEAVE[[#This Row],[EMPLOYEE]]="","",IF(T_LEAVE[[#This Row],[ERROR]]="",0,1))</f>
        <v>0</v>
      </c>
      <c r="L324" t="str" cm="1">
        <f t="array" aca="1" ref="L32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5" spans="1:12">
      <c r="A325" t="s">
        <v>2152</v>
      </c>
      <c r="B325" s="15" t="s">
        <v>2164</v>
      </c>
      <c r="C325" s="15" t="s">
        <v>2017</v>
      </c>
      <c r="D325" t="s">
        <v>98</v>
      </c>
      <c r="E325">
        <v>3</v>
      </c>
      <c r="F325" s="1"/>
      <c r="G325" s="1"/>
      <c r="H325">
        <f ca="1">IF(T_LEAVE[[#This Row],[EMPLOYEE]]="","",MATCH(T_LEAVE[[#This Row],[EMPLOYEE]],L_EMPLABELS,0))</f>
        <v>239</v>
      </c>
      <c r="I325">
        <f ca="1">IF(T_LEAVE[[#This Row],[EMPLOYEE]]="","",MATCH(T_LEAVE[[#This Row],[LEAVE TYPE]],L_LEAVETYPES,0))</f>
        <v>7</v>
      </c>
      <c r="J325" t="str" cm="1">
        <f t="array" aca="1" ref="J325" ca="1">IFERROR(INDEX(T_LEAVE_TYPES[SYMBOL],T_LEAVE[[#This Row],[LEAVE TYPE SYS ID]]),"")</f>
        <v>C</v>
      </c>
      <c r="K325">
        <f ca="1">IF(T_LEAVE[[#This Row],[EMPLOYEE]]="","",IF(T_LEAVE[[#This Row],[ERROR]]="",0,1))</f>
        <v>0</v>
      </c>
      <c r="L325" t="str" cm="1">
        <f t="array" aca="1" ref="L32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6" spans="1:12">
      <c r="A326" t="s">
        <v>1981</v>
      </c>
      <c r="B326" s="15" t="s">
        <v>2165</v>
      </c>
      <c r="C326" s="15" t="s">
        <v>2165</v>
      </c>
      <c r="D326" t="s">
        <v>92</v>
      </c>
      <c r="E326">
        <v>1</v>
      </c>
      <c r="F326" s="1"/>
      <c r="G326" s="1"/>
      <c r="H326">
        <f ca="1">IF(T_LEAVE[[#This Row],[EMPLOYEE]]="","",MATCH(T_LEAVE[[#This Row],[EMPLOYEE]],L_EMPLABELS,0))</f>
        <v>366</v>
      </c>
      <c r="I326">
        <f ca="1">IF(T_LEAVE[[#This Row],[EMPLOYEE]]="","",MATCH(T_LEAVE[[#This Row],[LEAVE TYPE]],L_LEAVETYPES,0))</f>
        <v>6</v>
      </c>
      <c r="J326" t="str" cm="1">
        <f t="array" aca="1" ref="J326" ca="1">IFERROR(INDEX(T_LEAVE_TYPES[SYMBOL],T_LEAVE[[#This Row],[LEAVE TYPE SYS ID]]),"")</f>
        <v>PR</v>
      </c>
      <c r="K326">
        <f ca="1">IF(T_LEAVE[[#This Row],[EMPLOYEE]]="","",IF(T_LEAVE[[#This Row],[ERROR]]="",0,1))</f>
        <v>0</v>
      </c>
      <c r="L326" t="str" cm="1">
        <f t="array" aca="1" ref="L32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7" spans="1:12">
      <c r="A327" t="s">
        <v>2152</v>
      </c>
      <c r="B327" s="15" t="s">
        <v>2166</v>
      </c>
      <c r="C327" s="15" t="s">
        <v>2166</v>
      </c>
      <c r="D327" t="s">
        <v>98</v>
      </c>
      <c r="E327">
        <v>1</v>
      </c>
      <c r="F327" s="1"/>
      <c r="G327" s="1"/>
      <c r="H327">
        <f ca="1">IF(T_LEAVE[[#This Row],[EMPLOYEE]]="","",MATCH(T_LEAVE[[#This Row],[EMPLOYEE]],L_EMPLABELS,0))</f>
        <v>239</v>
      </c>
      <c r="I327">
        <f ca="1">IF(T_LEAVE[[#This Row],[EMPLOYEE]]="","",MATCH(T_LEAVE[[#This Row],[LEAVE TYPE]],L_LEAVETYPES,0))</f>
        <v>7</v>
      </c>
      <c r="J327" t="str" cm="1">
        <f t="array" aca="1" ref="J327" ca="1">IFERROR(INDEX(T_LEAVE_TYPES[SYMBOL],T_LEAVE[[#This Row],[LEAVE TYPE SYS ID]]),"")</f>
        <v>C</v>
      </c>
      <c r="K327">
        <f ca="1">IF(T_LEAVE[[#This Row],[EMPLOYEE]]="","",IF(T_LEAVE[[#This Row],[ERROR]]="",0,1))</f>
        <v>0</v>
      </c>
      <c r="L327" t="str" cm="1">
        <f t="array" aca="1" ref="L32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8" spans="1:12">
      <c r="A328" t="s">
        <v>2027</v>
      </c>
      <c r="B328" s="15" t="s">
        <v>2167</v>
      </c>
      <c r="C328" s="15" t="s">
        <v>2168</v>
      </c>
      <c r="D328" t="s">
        <v>73</v>
      </c>
      <c r="E328">
        <v>3</v>
      </c>
      <c r="F328" s="1"/>
      <c r="G328" s="1"/>
      <c r="H328">
        <f ca="1">IF(T_LEAVE[[#This Row],[EMPLOYEE]]="","",MATCH(T_LEAVE[[#This Row],[EMPLOYEE]],L_EMPLABELS,0))</f>
        <v>101</v>
      </c>
      <c r="I328">
        <f ca="1">IF(T_LEAVE[[#This Row],[EMPLOYEE]]="","",MATCH(T_LEAVE[[#This Row],[LEAVE TYPE]],L_LEAVETYPES,0))</f>
        <v>4</v>
      </c>
      <c r="J328" t="str" cm="1">
        <f t="array" aca="1" ref="J328" ca="1">IFERROR(INDEX(T_LEAVE_TYPES[SYMBOL],T_LEAVE[[#This Row],[LEAVE TYPE SYS ID]]),"")</f>
        <v>P</v>
      </c>
      <c r="K328">
        <f ca="1">IF(T_LEAVE[[#This Row],[EMPLOYEE]]="","",IF(T_LEAVE[[#This Row],[ERROR]]="",0,1))</f>
        <v>0</v>
      </c>
      <c r="L328" t="str" cm="1">
        <f t="array" aca="1" ref="L32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9" spans="1:12">
      <c r="A329" t="s">
        <v>2027</v>
      </c>
      <c r="B329" s="28" t="s">
        <v>2121</v>
      </c>
      <c r="C329" s="15" t="s">
        <v>2121</v>
      </c>
      <c r="D329" t="s">
        <v>98</v>
      </c>
      <c r="E329">
        <v>1</v>
      </c>
      <c r="F329" s="1"/>
      <c r="G329" s="1"/>
      <c r="H329">
        <f ca="1">IF(T_LEAVE[[#This Row],[EMPLOYEE]]="","",MATCH(T_LEAVE[[#This Row],[EMPLOYEE]],L_EMPLABELS,0))</f>
        <v>101</v>
      </c>
      <c r="I329">
        <f ca="1">IF(T_LEAVE[[#This Row],[EMPLOYEE]]="","",MATCH(T_LEAVE[[#This Row],[LEAVE TYPE]],L_LEAVETYPES,0))</f>
        <v>7</v>
      </c>
      <c r="J329" t="str" cm="1">
        <f t="array" aca="1" ref="J329" ca="1">IFERROR(INDEX(T_LEAVE_TYPES[SYMBOL],T_LEAVE[[#This Row],[LEAVE TYPE SYS ID]]),"")</f>
        <v>C</v>
      </c>
      <c r="K329">
        <f ca="1">IF(T_LEAVE[[#This Row],[EMPLOYEE]]="","",IF(T_LEAVE[[#This Row],[ERROR]]="",0,1))</f>
        <v>0</v>
      </c>
      <c r="L329" t="str" cm="1">
        <f t="array" aca="1" ref="L32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0" spans="1:12">
      <c r="A330" t="s">
        <v>1981</v>
      </c>
      <c r="B330" s="15" t="s">
        <v>2169</v>
      </c>
      <c r="C330" s="15" t="s">
        <v>2170</v>
      </c>
      <c r="D330" t="s">
        <v>98</v>
      </c>
      <c r="E330">
        <v>2</v>
      </c>
      <c r="F330" s="1"/>
      <c r="G330" s="1"/>
      <c r="H330">
        <f ca="1">IF(T_LEAVE[[#This Row],[EMPLOYEE]]="","",MATCH(T_LEAVE[[#This Row],[EMPLOYEE]],L_EMPLABELS,0))</f>
        <v>366</v>
      </c>
      <c r="I330">
        <f ca="1">IF(T_LEAVE[[#This Row],[EMPLOYEE]]="","",MATCH(T_LEAVE[[#This Row],[LEAVE TYPE]],L_LEAVETYPES,0))</f>
        <v>7</v>
      </c>
      <c r="J330" t="str" cm="1">
        <f t="array" aca="1" ref="J330" ca="1">IFERROR(INDEX(T_LEAVE_TYPES[SYMBOL],T_LEAVE[[#This Row],[LEAVE TYPE SYS ID]]),"")</f>
        <v>C</v>
      </c>
      <c r="K330">
        <f ca="1">IF(T_LEAVE[[#This Row],[EMPLOYEE]]="","",IF(T_LEAVE[[#This Row],[ERROR]]="",0,1))</f>
        <v>0</v>
      </c>
      <c r="L330" t="str" cm="1">
        <f t="array" aca="1" ref="L33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1" spans="1:12">
      <c r="A331" t="s">
        <v>2152</v>
      </c>
      <c r="B331" s="15" t="s">
        <v>2171</v>
      </c>
      <c r="C331" s="15" t="s">
        <v>2171</v>
      </c>
      <c r="D331" t="s">
        <v>98</v>
      </c>
      <c r="E331">
        <v>1</v>
      </c>
      <c r="F331" s="1"/>
      <c r="G331" s="1"/>
      <c r="H331">
        <f ca="1">IF(T_LEAVE[[#This Row],[EMPLOYEE]]="","",MATCH(T_LEAVE[[#This Row],[EMPLOYEE]],L_EMPLABELS,0))</f>
        <v>239</v>
      </c>
      <c r="I331">
        <f ca="1">IF(T_LEAVE[[#This Row],[EMPLOYEE]]="","",MATCH(T_LEAVE[[#This Row],[LEAVE TYPE]],L_LEAVETYPES,0))</f>
        <v>7</v>
      </c>
      <c r="J331" t="str" cm="1">
        <f t="array" aca="1" ref="J331" ca="1">IFERROR(INDEX(T_LEAVE_TYPES[SYMBOL],T_LEAVE[[#This Row],[LEAVE TYPE SYS ID]]),"")</f>
        <v>C</v>
      </c>
      <c r="K331">
        <f ca="1">IF(T_LEAVE[[#This Row],[EMPLOYEE]]="","",IF(T_LEAVE[[#This Row],[ERROR]]="",0,1))</f>
        <v>0</v>
      </c>
      <c r="L331" t="str" cm="1">
        <f t="array" aca="1" ref="L33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2" spans="1:12">
      <c r="A332" t="s">
        <v>2064</v>
      </c>
      <c r="B332" s="15" t="s">
        <v>2166</v>
      </c>
      <c r="C332" s="15" t="s">
        <v>2166</v>
      </c>
      <c r="D332" t="s">
        <v>92</v>
      </c>
      <c r="E332">
        <v>1</v>
      </c>
      <c r="F332" s="1"/>
      <c r="G332" s="1"/>
      <c r="H332">
        <f ca="1">IF(T_LEAVE[[#This Row],[EMPLOYEE]]="","",MATCH(T_LEAVE[[#This Row],[EMPLOYEE]],L_EMPLABELS,0))</f>
        <v>210</v>
      </c>
      <c r="I332">
        <f ca="1">IF(T_LEAVE[[#This Row],[EMPLOYEE]]="","",MATCH(T_LEAVE[[#This Row],[LEAVE TYPE]],L_LEAVETYPES,0))</f>
        <v>6</v>
      </c>
      <c r="J332" t="str" cm="1">
        <f t="array" aca="1" ref="J332" ca="1">IFERROR(INDEX(T_LEAVE_TYPES[SYMBOL],T_LEAVE[[#This Row],[LEAVE TYPE SYS ID]]),"")</f>
        <v>PR</v>
      </c>
      <c r="K332">
        <f ca="1">IF(T_LEAVE[[#This Row],[EMPLOYEE]]="","",IF(T_LEAVE[[#This Row],[ERROR]]="",0,1))</f>
        <v>0</v>
      </c>
      <c r="L332" t="str" cm="1">
        <f t="array" aca="1" ref="L33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3" spans="1:12">
      <c r="A333" t="s">
        <v>2027</v>
      </c>
      <c r="B333" s="15" t="s">
        <v>2144</v>
      </c>
      <c r="C333" s="15" t="s">
        <v>2144</v>
      </c>
      <c r="D333" t="s">
        <v>92</v>
      </c>
      <c r="E333">
        <v>1</v>
      </c>
      <c r="F333" s="1"/>
      <c r="G333" s="1"/>
      <c r="H333">
        <f ca="1">IF(T_LEAVE[[#This Row],[EMPLOYEE]]="","",MATCH(T_LEAVE[[#This Row],[EMPLOYEE]],L_EMPLABELS,0))</f>
        <v>101</v>
      </c>
      <c r="I333">
        <f ca="1">IF(T_LEAVE[[#This Row],[EMPLOYEE]]="","",MATCH(T_LEAVE[[#This Row],[LEAVE TYPE]],L_LEAVETYPES,0))</f>
        <v>6</v>
      </c>
      <c r="J333" t="str" cm="1">
        <f t="array" aca="1" ref="J333" ca="1">IFERROR(INDEX(T_LEAVE_TYPES[SYMBOL],T_LEAVE[[#This Row],[LEAVE TYPE SYS ID]]),"")</f>
        <v>PR</v>
      </c>
      <c r="K333">
        <f ca="1">IF(T_LEAVE[[#This Row],[EMPLOYEE]]="","",IF(T_LEAVE[[#This Row],[ERROR]]="",0,1))</f>
        <v>0</v>
      </c>
      <c r="L333" t="str" cm="1">
        <f t="array" aca="1" ref="L33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4" spans="1:12">
      <c r="A334" t="s">
        <v>1995</v>
      </c>
      <c r="B334" s="15" t="s">
        <v>2172</v>
      </c>
      <c r="C334" s="15" t="s">
        <v>2173</v>
      </c>
      <c r="D334" t="s">
        <v>92</v>
      </c>
      <c r="E334">
        <v>3</v>
      </c>
      <c r="F334" s="1"/>
      <c r="G334" s="1"/>
      <c r="H334">
        <f ca="1">IF(T_LEAVE[[#This Row],[EMPLOYEE]]="","",MATCH(T_LEAVE[[#This Row],[EMPLOYEE]],L_EMPLABELS,0))</f>
        <v>408</v>
      </c>
      <c r="I334">
        <f ca="1">IF(T_LEAVE[[#This Row],[EMPLOYEE]]="","",MATCH(T_LEAVE[[#This Row],[LEAVE TYPE]],L_LEAVETYPES,0))</f>
        <v>6</v>
      </c>
      <c r="J334" t="str" cm="1">
        <f t="array" aca="1" ref="J334" ca="1">IFERROR(INDEX(T_LEAVE_TYPES[SYMBOL],T_LEAVE[[#This Row],[LEAVE TYPE SYS ID]]),"")</f>
        <v>PR</v>
      </c>
      <c r="K334">
        <f ca="1">IF(T_LEAVE[[#This Row],[EMPLOYEE]]="","",IF(T_LEAVE[[#This Row],[ERROR]]="",0,1))</f>
        <v>0</v>
      </c>
      <c r="L334" t="str" cm="1">
        <f t="array" aca="1" ref="L33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5" spans="1:12">
      <c r="A335" t="s">
        <v>1995</v>
      </c>
      <c r="B335" s="15" t="s">
        <v>2174</v>
      </c>
      <c r="C335" s="15" t="s">
        <v>2174</v>
      </c>
      <c r="D335" t="s">
        <v>98</v>
      </c>
      <c r="E335">
        <v>1</v>
      </c>
      <c r="F335" s="1"/>
      <c r="G335" s="1"/>
      <c r="H335">
        <f ca="1">IF(T_LEAVE[[#This Row],[EMPLOYEE]]="","",MATCH(T_LEAVE[[#This Row],[EMPLOYEE]],L_EMPLABELS,0))</f>
        <v>408</v>
      </c>
      <c r="I335">
        <f ca="1">IF(T_LEAVE[[#This Row],[EMPLOYEE]]="","",MATCH(T_LEAVE[[#This Row],[LEAVE TYPE]],L_LEAVETYPES,0))</f>
        <v>7</v>
      </c>
      <c r="J335" t="str" cm="1">
        <f t="array" aca="1" ref="J335" ca="1">IFERROR(INDEX(T_LEAVE_TYPES[SYMBOL],T_LEAVE[[#This Row],[LEAVE TYPE SYS ID]]),"")</f>
        <v>C</v>
      </c>
      <c r="K335">
        <f ca="1">IF(T_LEAVE[[#This Row],[EMPLOYEE]]="","",IF(T_LEAVE[[#This Row],[ERROR]]="",0,1))</f>
        <v>0</v>
      </c>
      <c r="L335" t="str" cm="1">
        <f t="array" aca="1" ref="L33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6" spans="1:12">
      <c r="A336" t="s">
        <v>1995</v>
      </c>
      <c r="B336" s="15" t="s">
        <v>2171</v>
      </c>
      <c r="C336" s="15" t="s">
        <v>2171</v>
      </c>
      <c r="D336" t="s">
        <v>98</v>
      </c>
      <c r="E336">
        <v>1</v>
      </c>
      <c r="F336" s="1"/>
      <c r="G336" s="1"/>
      <c r="H336">
        <f ca="1">IF(T_LEAVE[[#This Row],[EMPLOYEE]]="","",MATCH(T_LEAVE[[#This Row],[EMPLOYEE]],L_EMPLABELS,0))</f>
        <v>408</v>
      </c>
      <c r="I336">
        <f ca="1">IF(T_LEAVE[[#This Row],[EMPLOYEE]]="","",MATCH(T_LEAVE[[#This Row],[LEAVE TYPE]],L_LEAVETYPES,0))</f>
        <v>7</v>
      </c>
      <c r="J336" t="str" cm="1">
        <f t="array" aca="1" ref="J336" ca="1">IFERROR(INDEX(T_LEAVE_TYPES[SYMBOL],T_LEAVE[[#This Row],[LEAVE TYPE SYS ID]]),"")</f>
        <v>C</v>
      </c>
      <c r="K336">
        <f ca="1">IF(T_LEAVE[[#This Row],[EMPLOYEE]]="","",IF(T_LEAVE[[#This Row],[ERROR]]="",0,1))</f>
        <v>0</v>
      </c>
      <c r="L336" t="str" cm="1">
        <f t="array" aca="1" ref="L33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7" spans="1:12">
      <c r="A337" t="s">
        <v>1995</v>
      </c>
      <c r="B337" s="15" t="s">
        <v>2175</v>
      </c>
      <c r="C337" s="15" t="s">
        <v>2176</v>
      </c>
      <c r="D337" t="s">
        <v>98</v>
      </c>
      <c r="E337">
        <v>6</v>
      </c>
      <c r="F337" s="1"/>
      <c r="G337" s="1"/>
      <c r="H337">
        <f ca="1">IF(T_LEAVE[[#This Row],[EMPLOYEE]]="","",MATCH(T_LEAVE[[#This Row],[EMPLOYEE]],L_EMPLABELS,0))</f>
        <v>408</v>
      </c>
      <c r="I337">
        <f ca="1">IF(T_LEAVE[[#This Row],[EMPLOYEE]]="","",MATCH(T_LEAVE[[#This Row],[LEAVE TYPE]],L_LEAVETYPES,0))</f>
        <v>7</v>
      </c>
      <c r="J337" t="str" cm="1">
        <f t="array" aca="1" ref="J337" ca="1">IFERROR(INDEX(T_LEAVE_TYPES[SYMBOL],T_LEAVE[[#This Row],[LEAVE TYPE SYS ID]]),"")</f>
        <v>C</v>
      </c>
      <c r="K337">
        <f ca="1">IF(T_LEAVE[[#This Row],[EMPLOYEE]]="","",IF(T_LEAVE[[#This Row],[ERROR]]="",0,1))</f>
        <v>0</v>
      </c>
      <c r="L337" t="str" cm="1">
        <f t="array" aca="1" ref="L33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8" spans="1:12">
      <c r="A338" t="s">
        <v>1987</v>
      </c>
      <c r="B338" s="15" t="s">
        <v>2177</v>
      </c>
      <c r="C338" s="15" t="s">
        <v>2177</v>
      </c>
      <c r="D338" t="s">
        <v>98</v>
      </c>
      <c r="E338">
        <v>1</v>
      </c>
      <c r="F338" s="1"/>
      <c r="G338" s="1"/>
      <c r="H338">
        <f ca="1">IF(T_LEAVE[[#This Row],[EMPLOYEE]]="","",MATCH(T_LEAVE[[#This Row],[EMPLOYEE]],L_EMPLABELS,0))</f>
        <v>538</v>
      </c>
      <c r="I338">
        <f ca="1">IF(T_LEAVE[[#This Row],[EMPLOYEE]]="","",MATCH(T_LEAVE[[#This Row],[LEAVE TYPE]],L_LEAVETYPES,0))</f>
        <v>7</v>
      </c>
      <c r="J338" t="str" cm="1">
        <f t="array" aca="1" ref="J338" ca="1">IFERROR(INDEX(T_LEAVE_TYPES[SYMBOL],T_LEAVE[[#This Row],[LEAVE TYPE SYS ID]]),"")</f>
        <v>C</v>
      </c>
      <c r="K338">
        <f ca="1">IF(T_LEAVE[[#This Row],[EMPLOYEE]]="","",IF(T_LEAVE[[#This Row],[ERROR]]="",0,1))</f>
        <v>0</v>
      </c>
      <c r="L338" t="str" cm="1">
        <f t="array" aca="1" ref="L33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9" spans="1:12">
      <c r="A339" t="s">
        <v>1976</v>
      </c>
      <c r="B339" s="15" t="s">
        <v>2145</v>
      </c>
      <c r="C339" s="15" t="s">
        <v>2145</v>
      </c>
      <c r="D339" t="s">
        <v>92</v>
      </c>
      <c r="E339">
        <v>1</v>
      </c>
      <c r="F339" s="1"/>
      <c r="G339" s="1"/>
      <c r="H339">
        <f ca="1">IF(T_LEAVE[[#This Row],[EMPLOYEE]]="","",MATCH(T_LEAVE[[#This Row],[EMPLOYEE]],L_EMPLABELS,0))</f>
        <v>167</v>
      </c>
      <c r="I339">
        <f ca="1">IF(T_LEAVE[[#This Row],[EMPLOYEE]]="","",MATCH(T_LEAVE[[#This Row],[LEAVE TYPE]],L_LEAVETYPES,0))</f>
        <v>6</v>
      </c>
      <c r="J339" t="str" cm="1">
        <f t="array" aca="1" ref="J339" ca="1">IFERROR(INDEX(T_LEAVE_TYPES[SYMBOL],T_LEAVE[[#This Row],[LEAVE TYPE SYS ID]]),"")</f>
        <v>PR</v>
      </c>
      <c r="K339">
        <f ca="1">IF(T_LEAVE[[#This Row],[EMPLOYEE]]="","",IF(T_LEAVE[[#This Row],[ERROR]]="",0,1))</f>
        <v>0</v>
      </c>
      <c r="L339" t="str" cm="1">
        <f t="array" aca="1" ref="L33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0" spans="1:12">
      <c r="A340" t="s">
        <v>1987</v>
      </c>
      <c r="B340" s="15" t="s">
        <v>2061</v>
      </c>
      <c r="C340" s="15" t="s">
        <v>2061</v>
      </c>
      <c r="D340" t="s">
        <v>98</v>
      </c>
      <c r="E340">
        <v>1</v>
      </c>
      <c r="F340" s="1"/>
      <c r="G340" s="1"/>
      <c r="H340">
        <f ca="1">IF(T_LEAVE[[#This Row],[EMPLOYEE]]="","",MATCH(T_LEAVE[[#This Row],[EMPLOYEE]],L_EMPLABELS,0))</f>
        <v>538</v>
      </c>
      <c r="I340">
        <f ca="1">IF(T_LEAVE[[#This Row],[EMPLOYEE]]="","",MATCH(T_LEAVE[[#This Row],[LEAVE TYPE]],L_LEAVETYPES,0))</f>
        <v>7</v>
      </c>
      <c r="J340" t="str" cm="1">
        <f t="array" aca="1" ref="J340" ca="1">IFERROR(INDEX(T_LEAVE_TYPES[SYMBOL],T_LEAVE[[#This Row],[LEAVE TYPE SYS ID]]),"")</f>
        <v>C</v>
      </c>
      <c r="K340">
        <f ca="1">IF(T_LEAVE[[#This Row],[EMPLOYEE]]="","",IF(T_LEAVE[[#This Row],[ERROR]]="",0,1))</f>
        <v>0</v>
      </c>
      <c r="L340" t="str" cm="1">
        <f t="array" aca="1" ref="L34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1" spans="1:12">
      <c r="A341" t="s">
        <v>1919</v>
      </c>
      <c r="B341" s="15" t="s">
        <v>2178</v>
      </c>
      <c r="C341" s="15" t="s">
        <v>2178</v>
      </c>
      <c r="D341" t="s">
        <v>98</v>
      </c>
      <c r="E341">
        <v>1</v>
      </c>
      <c r="F341" s="1"/>
      <c r="G341" s="1"/>
      <c r="H341">
        <f ca="1">IF(T_LEAVE[[#This Row],[EMPLOYEE]]="","",MATCH(T_LEAVE[[#This Row],[EMPLOYEE]],L_EMPLABELS,0))</f>
        <v>99</v>
      </c>
      <c r="I341">
        <f ca="1">IF(T_LEAVE[[#This Row],[EMPLOYEE]]="","",MATCH(T_LEAVE[[#This Row],[LEAVE TYPE]],L_LEAVETYPES,0))</f>
        <v>7</v>
      </c>
      <c r="J341" t="str" cm="1">
        <f t="array" aca="1" ref="J341" ca="1">IFERROR(INDEX(T_LEAVE_TYPES[SYMBOL],T_LEAVE[[#This Row],[LEAVE TYPE SYS ID]]),"")</f>
        <v>C</v>
      </c>
      <c r="K341">
        <f ca="1">IF(T_LEAVE[[#This Row],[EMPLOYEE]]="","",IF(T_LEAVE[[#This Row],[ERROR]]="",0,1))</f>
        <v>0</v>
      </c>
      <c r="L341" t="str" cm="1">
        <f t="array" aca="1" ref="L34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2" spans="1:12">
      <c r="A342" t="s">
        <v>1976</v>
      </c>
      <c r="B342" s="15" t="s">
        <v>2179</v>
      </c>
      <c r="C342" s="15" t="s">
        <v>2179</v>
      </c>
      <c r="D342" t="s">
        <v>92</v>
      </c>
      <c r="E342">
        <v>1</v>
      </c>
      <c r="F342" s="1"/>
      <c r="G342" s="1"/>
      <c r="H342">
        <f ca="1">IF(T_LEAVE[[#This Row],[EMPLOYEE]]="","",MATCH(T_LEAVE[[#This Row],[EMPLOYEE]],L_EMPLABELS,0))</f>
        <v>167</v>
      </c>
      <c r="I342">
        <f ca="1">IF(T_LEAVE[[#This Row],[EMPLOYEE]]="","",MATCH(T_LEAVE[[#This Row],[LEAVE TYPE]],L_LEAVETYPES,0))</f>
        <v>6</v>
      </c>
      <c r="J342" t="str" cm="1">
        <f t="array" aca="1" ref="J342" ca="1">IFERROR(INDEX(T_LEAVE_TYPES[SYMBOL],T_LEAVE[[#This Row],[LEAVE TYPE SYS ID]]),"")</f>
        <v>PR</v>
      </c>
      <c r="K342">
        <f ca="1">IF(T_LEAVE[[#This Row],[EMPLOYEE]]="","",IF(T_LEAVE[[#This Row],[ERROR]]="",0,1))</f>
        <v>0</v>
      </c>
      <c r="L342" t="str" cm="1">
        <f t="array" aca="1" ref="L34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3" spans="1:12">
      <c r="A343" t="s">
        <v>1919</v>
      </c>
      <c r="B343" s="15" t="s">
        <v>2180</v>
      </c>
      <c r="C343" s="15" t="s">
        <v>2180</v>
      </c>
      <c r="D343" t="s">
        <v>98</v>
      </c>
      <c r="E343">
        <v>1</v>
      </c>
      <c r="F343" s="1"/>
      <c r="G343" s="1"/>
      <c r="H343">
        <f ca="1">IF(T_LEAVE[[#This Row],[EMPLOYEE]]="","",MATCH(T_LEAVE[[#This Row],[EMPLOYEE]],L_EMPLABELS,0))</f>
        <v>99</v>
      </c>
      <c r="I343">
        <f ca="1">IF(T_LEAVE[[#This Row],[EMPLOYEE]]="","",MATCH(T_LEAVE[[#This Row],[LEAVE TYPE]],L_LEAVETYPES,0))</f>
        <v>7</v>
      </c>
      <c r="J343" t="str" cm="1">
        <f t="array" aca="1" ref="J343" ca="1">IFERROR(INDEX(T_LEAVE_TYPES[SYMBOL],T_LEAVE[[#This Row],[LEAVE TYPE SYS ID]]),"")</f>
        <v>C</v>
      </c>
      <c r="K343">
        <f ca="1">IF(T_LEAVE[[#This Row],[EMPLOYEE]]="","",IF(T_LEAVE[[#This Row],[ERROR]]="",0,1))</f>
        <v>0</v>
      </c>
      <c r="L343" t="str" cm="1">
        <f t="array" aca="1" ref="L34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4" spans="1:12">
      <c r="A344" t="s">
        <v>1976</v>
      </c>
      <c r="B344" s="15" t="s">
        <v>2181</v>
      </c>
      <c r="C344" s="15" t="s">
        <v>2182</v>
      </c>
      <c r="D344" t="s">
        <v>98</v>
      </c>
      <c r="E344">
        <v>2</v>
      </c>
      <c r="F344" s="1"/>
      <c r="G344" s="1"/>
      <c r="H344">
        <f ca="1">IF(T_LEAVE[[#This Row],[EMPLOYEE]]="","",MATCH(T_LEAVE[[#This Row],[EMPLOYEE]],L_EMPLABELS,0))</f>
        <v>167</v>
      </c>
      <c r="I344">
        <f ca="1">IF(T_LEAVE[[#This Row],[EMPLOYEE]]="","",MATCH(T_LEAVE[[#This Row],[LEAVE TYPE]],L_LEAVETYPES,0))</f>
        <v>7</v>
      </c>
      <c r="J344" t="str" cm="1">
        <f t="array" aca="1" ref="J344" ca="1">IFERROR(INDEX(T_LEAVE_TYPES[SYMBOL],T_LEAVE[[#This Row],[LEAVE TYPE SYS ID]]),"")</f>
        <v>C</v>
      </c>
      <c r="K344">
        <f ca="1">IF(T_LEAVE[[#This Row],[EMPLOYEE]]="","",IF(T_LEAVE[[#This Row],[ERROR]]="",0,1))</f>
        <v>0</v>
      </c>
      <c r="L344" t="str" cm="1">
        <f t="array" aca="1" ref="L34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5" spans="1:12">
      <c r="A345" t="s">
        <v>1987</v>
      </c>
      <c r="B345" s="15" t="s">
        <v>2183</v>
      </c>
      <c r="C345" s="15" t="s">
        <v>2183</v>
      </c>
      <c r="D345" t="s">
        <v>98</v>
      </c>
      <c r="E345">
        <v>1</v>
      </c>
      <c r="F345" s="1"/>
      <c r="G345" s="1"/>
      <c r="H345">
        <f ca="1">IF(T_LEAVE[[#This Row],[EMPLOYEE]]="","",MATCH(T_LEAVE[[#This Row],[EMPLOYEE]],L_EMPLABELS,0))</f>
        <v>538</v>
      </c>
      <c r="I345">
        <f ca="1">IF(T_LEAVE[[#This Row],[EMPLOYEE]]="","",MATCH(T_LEAVE[[#This Row],[LEAVE TYPE]],L_LEAVETYPES,0))</f>
        <v>7</v>
      </c>
      <c r="J345" t="str" cm="1">
        <f t="array" aca="1" ref="J345" ca="1">IFERROR(INDEX(T_LEAVE_TYPES[SYMBOL],T_LEAVE[[#This Row],[LEAVE TYPE SYS ID]]),"")</f>
        <v>C</v>
      </c>
      <c r="K345">
        <f ca="1">IF(T_LEAVE[[#This Row],[EMPLOYEE]]="","",IF(T_LEAVE[[#This Row],[ERROR]]="",0,1))</f>
        <v>0</v>
      </c>
      <c r="L345" t="str" cm="1">
        <f t="array" aca="1" ref="L34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6" spans="1:12">
      <c r="A346" t="s">
        <v>1919</v>
      </c>
      <c r="B346" s="15" t="s">
        <v>2184</v>
      </c>
      <c r="C346" s="15" t="s">
        <v>2184</v>
      </c>
      <c r="D346" t="s">
        <v>98</v>
      </c>
      <c r="E346">
        <v>1</v>
      </c>
      <c r="F346" s="1"/>
      <c r="G346" s="1"/>
      <c r="H346">
        <f ca="1">IF(T_LEAVE[[#This Row],[EMPLOYEE]]="","",MATCH(T_LEAVE[[#This Row],[EMPLOYEE]],L_EMPLABELS,0))</f>
        <v>99</v>
      </c>
      <c r="I346">
        <f ca="1">IF(T_LEAVE[[#This Row],[EMPLOYEE]]="","",MATCH(T_LEAVE[[#This Row],[LEAVE TYPE]],L_LEAVETYPES,0))</f>
        <v>7</v>
      </c>
      <c r="J346" t="str" cm="1">
        <f t="array" aca="1" ref="J346" ca="1">IFERROR(INDEX(T_LEAVE_TYPES[SYMBOL],T_LEAVE[[#This Row],[LEAVE TYPE SYS ID]]),"")</f>
        <v>C</v>
      </c>
      <c r="K346">
        <f ca="1">IF(T_LEAVE[[#This Row],[EMPLOYEE]]="","",IF(T_LEAVE[[#This Row],[ERROR]]="",0,1))</f>
        <v>0</v>
      </c>
      <c r="L346" t="str" cm="1">
        <f t="array" aca="1" ref="L34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7" spans="1:12">
      <c r="A347" t="s">
        <v>1919</v>
      </c>
      <c r="B347" s="15" t="s">
        <v>2185</v>
      </c>
      <c r="C347" s="15" t="s">
        <v>2185</v>
      </c>
      <c r="D347" t="s">
        <v>92</v>
      </c>
      <c r="E347">
        <v>1</v>
      </c>
      <c r="F347" s="1"/>
      <c r="G347" s="1"/>
      <c r="H347">
        <f ca="1">IF(T_LEAVE[[#This Row],[EMPLOYEE]]="","",MATCH(T_LEAVE[[#This Row],[EMPLOYEE]],L_EMPLABELS,0))</f>
        <v>99</v>
      </c>
      <c r="I347">
        <f ca="1">IF(T_LEAVE[[#This Row],[EMPLOYEE]]="","",MATCH(T_LEAVE[[#This Row],[LEAVE TYPE]],L_LEAVETYPES,0))</f>
        <v>6</v>
      </c>
      <c r="J347" t="str" cm="1">
        <f t="array" aca="1" ref="J347" ca="1">IFERROR(INDEX(T_LEAVE_TYPES[SYMBOL],T_LEAVE[[#This Row],[LEAVE TYPE SYS ID]]),"")</f>
        <v>PR</v>
      </c>
      <c r="K347">
        <f ca="1">IF(T_LEAVE[[#This Row],[EMPLOYEE]]="","",IF(T_LEAVE[[#This Row],[ERROR]]="",0,1))</f>
        <v>0</v>
      </c>
      <c r="L347" t="str" cm="1">
        <f t="array" aca="1" ref="L34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8" spans="1:12">
      <c r="A348" t="s">
        <v>1919</v>
      </c>
      <c r="B348" s="15" t="s">
        <v>2186</v>
      </c>
      <c r="C348" s="15" t="s">
        <v>2187</v>
      </c>
      <c r="D348" t="s">
        <v>92</v>
      </c>
      <c r="E348">
        <v>2</v>
      </c>
      <c r="F348" s="1"/>
      <c r="G348" s="1"/>
      <c r="H348">
        <f ca="1">IF(T_LEAVE[[#This Row],[EMPLOYEE]]="","",MATCH(T_LEAVE[[#This Row],[EMPLOYEE]],L_EMPLABELS,0))</f>
        <v>99</v>
      </c>
      <c r="I348">
        <f ca="1">IF(T_LEAVE[[#This Row],[EMPLOYEE]]="","",MATCH(T_LEAVE[[#This Row],[LEAVE TYPE]],L_LEAVETYPES,0))</f>
        <v>6</v>
      </c>
      <c r="J348" t="str" cm="1">
        <f t="array" aca="1" ref="J348" ca="1">IFERROR(INDEX(T_LEAVE_TYPES[SYMBOL],T_LEAVE[[#This Row],[LEAVE TYPE SYS ID]]),"")</f>
        <v>PR</v>
      </c>
      <c r="K348">
        <f ca="1">IF(T_LEAVE[[#This Row],[EMPLOYEE]]="","",IF(T_LEAVE[[#This Row],[ERROR]]="",0,1))</f>
        <v>0</v>
      </c>
      <c r="L348" t="str" cm="1">
        <f t="array" aca="1" ref="L34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9" spans="1:12">
      <c r="A349" t="s">
        <v>1919</v>
      </c>
      <c r="B349" s="15" t="s">
        <v>2188</v>
      </c>
      <c r="C349" s="15" t="s">
        <v>2188</v>
      </c>
      <c r="D349" t="s">
        <v>92</v>
      </c>
      <c r="E349">
        <v>1</v>
      </c>
      <c r="F349" s="1"/>
      <c r="G349" s="1"/>
      <c r="H349">
        <f ca="1">IF(T_LEAVE[[#This Row],[EMPLOYEE]]="","",MATCH(T_LEAVE[[#This Row],[EMPLOYEE]],L_EMPLABELS,0))</f>
        <v>99</v>
      </c>
      <c r="I349">
        <f ca="1">IF(T_LEAVE[[#This Row],[EMPLOYEE]]="","",MATCH(T_LEAVE[[#This Row],[LEAVE TYPE]],L_LEAVETYPES,0))</f>
        <v>6</v>
      </c>
      <c r="J349" t="str" cm="1">
        <f t="array" aca="1" ref="J349" ca="1">IFERROR(INDEX(T_LEAVE_TYPES[SYMBOL],T_LEAVE[[#This Row],[LEAVE TYPE SYS ID]]),"")</f>
        <v>PR</v>
      </c>
      <c r="K349">
        <f ca="1">IF(T_LEAVE[[#This Row],[EMPLOYEE]]="","",IF(T_LEAVE[[#This Row],[ERROR]]="",0,1))</f>
        <v>0</v>
      </c>
      <c r="L349" t="str" cm="1">
        <f t="array" aca="1" ref="L34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0" spans="1:12">
      <c r="A350" t="s">
        <v>1919</v>
      </c>
      <c r="B350" s="15" t="s">
        <v>2189</v>
      </c>
      <c r="C350" s="15" t="s">
        <v>2189</v>
      </c>
      <c r="D350" t="s">
        <v>92</v>
      </c>
      <c r="E350">
        <v>1</v>
      </c>
      <c r="F350" s="1"/>
      <c r="G350" s="1"/>
      <c r="H350">
        <f ca="1">IF(T_LEAVE[[#This Row],[EMPLOYEE]]="","",MATCH(T_LEAVE[[#This Row],[EMPLOYEE]],L_EMPLABELS,0))</f>
        <v>99</v>
      </c>
      <c r="I350">
        <f ca="1">IF(T_LEAVE[[#This Row],[EMPLOYEE]]="","",MATCH(T_LEAVE[[#This Row],[LEAVE TYPE]],L_LEAVETYPES,0))</f>
        <v>6</v>
      </c>
      <c r="J350" t="str" cm="1">
        <f t="array" aca="1" ref="J350" ca="1">IFERROR(INDEX(T_LEAVE_TYPES[SYMBOL],T_LEAVE[[#This Row],[LEAVE TYPE SYS ID]]),"")</f>
        <v>PR</v>
      </c>
      <c r="K350">
        <f ca="1">IF(T_LEAVE[[#This Row],[EMPLOYEE]]="","",IF(T_LEAVE[[#This Row],[ERROR]]="",0,1))</f>
        <v>0</v>
      </c>
      <c r="L350" t="str" cm="1">
        <f t="array" aca="1" ref="L35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1" spans="1:12">
      <c r="A351" t="s">
        <v>1919</v>
      </c>
      <c r="B351" s="15" t="s">
        <v>2190</v>
      </c>
      <c r="C351" s="15" t="s">
        <v>2190</v>
      </c>
      <c r="D351" t="s">
        <v>92</v>
      </c>
      <c r="E351">
        <v>1</v>
      </c>
      <c r="F351" s="1"/>
      <c r="G351" s="1"/>
      <c r="H351">
        <f ca="1">IF(T_LEAVE[[#This Row],[EMPLOYEE]]="","",MATCH(T_LEAVE[[#This Row],[EMPLOYEE]],L_EMPLABELS,0))</f>
        <v>99</v>
      </c>
      <c r="I351">
        <f ca="1">IF(T_LEAVE[[#This Row],[EMPLOYEE]]="","",MATCH(T_LEAVE[[#This Row],[LEAVE TYPE]],L_LEAVETYPES,0))</f>
        <v>6</v>
      </c>
      <c r="J351" t="str" cm="1">
        <f t="array" aca="1" ref="J351" ca="1">IFERROR(INDEX(T_LEAVE_TYPES[SYMBOL],T_LEAVE[[#This Row],[LEAVE TYPE SYS ID]]),"")</f>
        <v>PR</v>
      </c>
      <c r="K351">
        <f ca="1">IF(T_LEAVE[[#This Row],[EMPLOYEE]]="","",IF(T_LEAVE[[#This Row],[ERROR]]="",0,1))</f>
        <v>0</v>
      </c>
      <c r="L351" t="str" cm="1">
        <f t="array" aca="1" ref="L35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2" spans="1:12">
      <c r="A352" t="s">
        <v>1919</v>
      </c>
      <c r="B352" s="15" t="s">
        <v>2191</v>
      </c>
      <c r="C352" s="15" t="s">
        <v>2191</v>
      </c>
      <c r="D352" t="s">
        <v>92</v>
      </c>
      <c r="E352">
        <v>1</v>
      </c>
      <c r="F352" s="1"/>
      <c r="G352" s="1"/>
      <c r="H352">
        <f ca="1">IF(T_LEAVE[[#This Row],[EMPLOYEE]]="","",MATCH(T_LEAVE[[#This Row],[EMPLOYEE]],L_EMPLABELS,0))</f>
        <v>99</v>
      </c>
      <c r="I352">
        <f ca="1">IF(T_LEAVE[[#This Row],[EMPLOYEE]]="","",MATCH(T_LEAVE[[#This Row],[LEAVE TYPE]],L_LEAVETYPES,0))</f>
        <v>6</v>
      </c>
      <c r="J352" t="str" cm="1">
        <f t="array" aca="1" ref="J352" ca="1">IFERROR(INDEX(T_LEAVE_TYPES[SYMBOL],T_LEAVE[[#This Row],[LEAVE TYPE SYS ID]]),"")</f>
        <v>PR</v>
      </c>
      <c r="K352">
        <f ca="1">IF(T_LEAVE[[#This Row],[EMPLOYEE]]="","",IF(T_LEAVE[[#This Row],[ERROR]]="",0,1))</f>
        <v>0</v>
      </c>
      <c r="L352" t="str" cm="1">
        <f t="array" aca="1" ref="L35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3" spans="1:12">
      <c r="A353" t="s">
        <v>1919</v>
      </c>
      <c r="B353" s="15" t="s">
        <v>2028</v>
      </c>
      <c r="C353" s="15" t="s">
        <v>2028</v>
      </c>
      <c r="D353" t="s">
        <v>98</v>
      </c>
      <c r="E353">
        <v>1</v>
      </c>
      <c r="F353" s="1"/>
      <c r="G353" s="1"/>
      <c r="H353">
        <f ca="1">IF(T_LEAVE[[#This Row],[EMPLOYEE]]="","",MATCH(T_LEAVE[[#This Row],[EMPLOYEE]],L_EMPLABELS,0))</f>
        <v>99</v>
      </c>
      <c r="I353">
        <f ca="1">IF(T_LEAVE[[#This Row],[EMPLOYEE]]="","",MATCH(T_LEAVE[[#This Row],[LEAVE TYPE]],L_LEAVETYPES,0))</f>
        <v>7</v>
      </c>
      <c r="J353" t="str" cm="1">
        <f t="array" aca="1" ref="J353" ca="1">IFERROR(INDEX(T_LEAVE_TYPES[SYMBOL],T_LEAVE[[#This Row],[LEAVE TYPE SYS ID]]),"")</f>
        <v>C</v>
      </c>
      <c r="K353">
        <f ca="1">IF(T_LEAVE[[#This Row],[EMPLOYEE]]="","",IF(T_LEAVE[[#This Row],[ERROR]]="",0,1))</f>
        <v>0</v>
      </c>
      <c r="L353" t="str" cm="1">
        <f t="array" aca="1" ref="L35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4" spans="1:12">
      <c r="A354" t="s">
        <v>1976</v>
      </c>
      <c r="B354" s="15" t="s">
        <v>2192</v>
      </c>
      <c r="C354" s="15" t="s">
        <v>2192</v>
      </c>
      <c r="D354" t="s">
        <v>92</v>
      </c>
      <c r="E354">
        <v>1</v>
      </c>
      <c r="F354" s="1"/>
      <c r="G354" s="1"/>
      <c r="H354">
        <f ca="1">IF(T_LEAVE[[#This Row],[EMPLOYEE]]="","",MATCH(T_LEAVE[[#This Row],[EMPLOYEE]],L_EMPLABELS,0))</f>
        <v>167</v>
      </c>
      <c r="I354">
        <f ca="1">IF(T_LEAVE[[#This Row],[EMPLOYEE]]="","",MATCH(T_LEAVE[[#This Row],[LEAVE TYPE]],L_LEAVETYPES,0))</f>
        <v>6</v>
      </c>
      <c r="J354" t="str" cm="1">
        <f t="array" aca="1" ref="J354" ca="1">IFERROR(INDEX(T_LEAVE_TYPES[SYMBOL],T_LEAVE[[#This Row],[LEAVE TYPE SYS ID]]),"")</f>
        <v>PR</v>
      </c>
      <c r="K354">
        <f ca="1">IF(T_LEAVE[[#This Row],[EMPLOYEE]]="","",IF(T_LEAVE[[#This Row],[ERROR]]="",0,1))</f>
        <v>0</v>
      </c>
      <c r="L354" t="str" cm="1">
        <f t="array" aca="1" ref="L35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5" spans="1:12">
      <c r="A355" t="s">
        <v>2027</v>
      </c>
      <c r="B355" s="15" t="s">
        <v>2169</v>
      </c>
      <c r="C355" s="15" t="s">
        <v>2169</v>
      </c>
      <c r="D355" t="s">
        <v>92</v>
      </c>
      <c r="E355">
        <v>1</v>
      </c>
      <c r="F355" s="1"/>
      <c r="G355" s="1"/>
      <c r="H355">
        <f ca="1">IF(T_LEAVE[[#This Row],[EMPLOYEE]]="","",MATCH(T_LEAVE[[#This Row],[EMPLOYEE]],L_EMPLABELS,0))</f>
        <v>101</v>
      </c>
      <c r="I355">
        <f ca="1">IF(T_LEAVE[[#This Row],[EMPLOYEE]]="","",MATCH(T_LEAVE[[#This Row],[LEAVE TYPE]],L_LEAVETYPES,0))</f>
        <v>6</v>
      </c>
      <c r="J355" t="str" cm="1">
        <f t="array" aca="1" ref="J355" ca="1">IFERROR(INDEX(T_LEAVE_TYPES[SYMBOL],T_LEAVE[[#This Row],[LEAVE TYPE SYS ID]]),"")</f>
        <v>PR</v>
      </c>
      <c r="K355">
        <f ca="1">IF(T_LEAVE[[#This Row],[EMPLOYEE]]="","",IF(T_LEAVE[[#This Row],[ERROR]]="",0,1))</f>
        <v>0</v>
      </c>
      <c r="L355" t="str" cm="1">
        <f t="array" aca="1" ref="L35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6" spans="1:12">
      <c r="A356" t="s">
        <v>1987</v>
      </c>
      <c r="B356" s="15" t="s">
        <v>2193</v>
      </c>
      <c r="C356" s="15" t="s">
        <v>2193</v>
      </c>
      <c r="D356" t="s">
        <v>98</v>
      </c>
      <c r="E356">
        <v>1</v>
      </c>
      <c r="F356" s="1"/>
      <c r="G356" s="1"/>
      <c r="H356">
        <f ca="1">IF(T_LEAVE[[#This Row],[EMPLOYEE]]="","",MATCH(T_LEAVE[[#This Row],[EMPLOYEE]],L_EMPLABELS,0))</f>
        <v>538</v>
      </c>
      <c r="I356">
        <f ca="1">IF(T_LEAVE[[#This Row],[EMPLOYEE]]="","",MATCH(T_LEAVE[[#This Row],[LEAVE TYPE]],L_LEAVETYPES,0))</f>
        <v>7</v>
      </c>
      <c r="J356" t="str" cm="1">
        <f t="array" aca="1" ref="J356" ca="1">IFERROR(INDEX(T_LEAVE_TYPES[SYMBOL],T_LEAVE[[#This Row],[LEAVE TYPE SYS ID]]),"")</f>
        <v>C</v>
      </c>
      <c r="K356">
        <f ca="1">IF(T_LEAVE[[#This Row],[EMPLOYEE]]="","",IF(T_LEAVE[[#This Row],[ERROR]]="",0,1))</f>
        <v>0</v>
      </c>
      <c r="L356" t="str" cm="1">
        <f t="array" aca="1" ref="L35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7" spans="1:12">
      <c r="A357" t="s">
        <v>2027</v>
      </c>
      <c r="B357" s="15" t="s">
        <v>2194</v>
      </c>
      <c r="C357" s="15" t="s">
        <v>2194</v>
      </c>
      <c r="D357" t="s">
        <v>98</v>
      </c>
      <c r="E357">
        <v>1</v>
      </c>
      <c r="F357" s="1"/>
      <c r="G357" s="1"/>
      <c r="H357">
        <f ca="1">IF(T_LEAVE[[#This Row],[EMPLOYEE]]="","",MATCH(T_LEAVE[[#This Row],[EMPLOYEE]],L_EMPLABELS,0))</f>
        <v>101</v>
      </c>
      <c r="I357">
        <f ca="1">IF(T_LEAVE[[#This Row],[EMPLOYEE]]="","",MATCH(T_LEAVE[[#This Row],[LEAVE TYPE]],L_LEAVETYPES,0))</f>
        <v>7</v>
      </c>
      <c r="J357" t="str" cm="1">
        <f t="array" aca="1" ref="J357" ca="1">IFERROR(INDEX(T_LEAVE_TYPES[SYMBOL],T_LEAVE[[#This Row],[LEAVE TYPE SYS ID]]),"")</f>
        <v>C</v>
      </c>
      <c r="K357">
        <f ca="1">IF(T_LEAVE[[#This Row],[EMPLOYEE]]="","",IF(T_LEAVE[[#This Row],[ERROR]]="",0,1))</f>
        <v>0</v>
      </c>
      <c r="L357" t="str" cm="1">
        <f t="array" aca="1" ref="L35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8" spans="1:12">
      <c r="A358" t="s">
        <v>1976</v>
      </c>
      <c r="B358" s="15" t="s">
        <v>2195</v>
      </c>
      <c r="C358" s="15" t="s">
        <v>2196</v>
      </c>
      <c r="D358" t="s">
        <v>98</v>
      </c>
      <c r="E358">
        <v>2</v>
      </c>
      <c r="F358" s="1"/>
      <c r="G358" s="1"/>
      <c r="H358">
        <f ca="1">IF(T_LEAVE[[#This Row],[EMPLOYEE]]="","",MATCH(T_LEAVE[[#This Row],[EMPLOYEE]],L_EMPLABELS,0))</f>
        <v>167</v>
      </c>
      <c r="I358">
        <f ca="1">IF(T_LEAVE[[#This Row],[EMPLOYEE]]="","",MATCH(T_LEAVE[[#This Row],[LEAVE TYPE]],L_LEAVETYPES,0))</f>
        <v>7</v>
      </c>
      <c r="J358" t="str" cm="1">
        <f t="array" aca="1" ref="J358" ca="1">IFERROR(INDEX(T_LEAVE_TYPES[SYMBOL],T_LEAVE[[#This Row],[LEAVE TYPE SYS ID]]),"")</f>
        <v>C</v>
      </c>
      <c r="K358">
        <f ca="1">IF(T_LEAVE[[#This Row],[EMPLOYEE]]="","",IF(T_LEAVE[[#This Row],[ERROR]]="",0,1))</f>
        <v>0</v>
      </c>
      <c r="L358" t="str" cm="1">
        <f t="array" aca="1" ref="L35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9" spans="1:12">
      <c r="A359" t="s">
        <v>1987</v>
      </c>
      <c r="B359" s="15" t="s">
        <v>2197</v>
      </c>
      <c r="C359" s="15" t="s">
        <v>2197</v>
      </c>
      <c r="D359" t="s">
        <v>98</v>
      </c>
      <c r="E359">
        <v>1</v>
      </c>
      <c r="F359" s="1"/>
      <c r="G359" s="1"/>
      <c r="H359">
        <f ca="1">IF(T_LEAVE[[#This Row],[EMPLOYEE]]="","",MATCH(T_LEAVE[[#This Row],[EMPLOYEE]],L_EMPLABELS,0))</f>
        <v>538</v>
      </c>
      <c r="I359">
        <f ca="1">IF(T_LEAVE[[#This Row],[EMPLOYEE]]="","",MATCH(T_LEAVE[[#This Row],[LEAVE TYPE]],L_LEAVETYPES,0))</f>
        <v>7</v>
      </c>
      <c r="J359" t="str" cm="1">
        <f t="array" aca="1" ref="J359" ca="1">IFERROR(INDEX(T_LEAVE_TYPES[SYMBOL],T_LEAVE[[#This Row],[LEAVE TYPE SYS ID]]),"")</f>
        <v>C</v>
      </c>
      <c r="K359">
        <f ca="1">IF(T_LEAVE[[#This Row],[EMPLOYEE]]="","",IF(T_LEAVE[[#This Row],[ERROR]]="",0,1))</f>
        <v>0</v>
      </c>
      <c r="L359" t="str" cm="1">
        <f t="array" aca="1" ref="L35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0" spans="1:12">
      <c r="A360" t="s">
        <v>1976</v>
      </c>
      <c r="B360" s="15" t="s">
        <v>2198</v>
      </c>
      <c r="C360" s="15" t="s">
        <v>2198</v>
      </c>
      <c r="D360" t="s">
        <v>98</v>
      </c>
      <c r="E360">
        <v>1</v>
      </c>
      <c r="F360" s="1"/>
      <c r="G360" s="1"/>
      <c r="H360">
        <f ca="1">IF(T_LEAVE[[#This Row],[EMPLOYEE]]="","",MATCH(T_LEAVE[[#This Row],[EMPLOYEE]],L_EMPLABELS,0))</f>
        <v>167</v>
      </c>
      <c r="I360">
        <f ca="1">IF(T_LEAVE[[#This Row],[EMPLOYEE]]="","",MATCH(T_LEAVE[[#This Row],[LEAVE TYPE]],L_LEAVETYPES,0))</f>
        <v>7</v>
      </c>
      <c r="J360" t="str" cm="1">
        <f t="array" aca="1" ref="J360" ca="1">IFERROR(INDEX(T_LEAVE_TYPES[SYMBOL],T_LEAVE[[#This Row],[LEAVE TYPE SYS ID]]),"")</f>
        <v>C</v>
      </c>
      <c r="K360">
        <f ca="1">IF(T_LEAVE[[#This Row],[EMPLOYEE]]="","",IF(T_LEAVE[[#This Row],[ERROR]]="",0,1))</f>
        <v>0</v>
      </c>
      <c r="L360" t="str" cm="1">
        <f t="array" aca="1" ref="L36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1" spans="1:12">
      <c r="A361" t="s">
        <v>1919</v>
      </c>
      <c r="B361" s="15" t="s">
        <v>2199</v>
      </c>
      <c r="C361" s="15" t="s">
        <v>2199</v>
      </c>
      <c r="D361" t="s">
        <v>98</v>
      </c>
      <c r="E361">
        <v>1</v>
      </c>
      <c r="F361" s="1"/>
      <c r="G361" s="1"/>
      <c r="H361">
        <f ca="1">IF(T_LEAVE[[#This Row],[EMPLOYEE]]="","",MATCH(T_LEAVE[[#This Row],[EMPLOYEE]],L_EMPLABELS,0))</f>
        <v>99</v>
      </c>
      <c r="I361">
        <f ca="1">IF(T_LEAVE[[#This Row],[EMPLOYEE]]="","",MATCH(T_LEAVE[[#This Row],[LEAVE TYPE]],L_LEAVETYPES,0))</f>
        <v>7</v>
      </c>
      <c r="J361" t="str" cm="1">
        <f t="array" aca="1" ref="J361" ca="1">IFERROR(INDEX(T_LEAVE_TYPES[SYMBOL],T_LEAVE[[#This Row],[LEAVE TYPE SYS ID]]),"")</f>
        <v>C</v>
      </c>
      <c r="K361">
        <f ca="1">IF(T_LEAVE[[#This Row],[EMPLOYEE]]="","",IF(T_LEAVE[[#This Row],[ERROR]]="",0,1))</f>
        <v>0</v>
      </c>
      <c r="L361" t="str" cm="1">
        <f t="array" aca="1" ref="L36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2" spans="1:12">
      <c r="A362" t="s">
        <v>1976</v>
      </c>
      <c r="B362" s="15" t="s">
        <v>2200</v>
      </c>
      <c r="C362" s="15" t="s">
        <v>2200</v>
      </c>
      <c r="D362" t="s">
        <v>98</v>
      </c>
      <c r="E362">
        <v>1</v>
      </c>
      <c r="F362" s="1"/>
      <c r="G362" s="1"/>
      <c r="H362">
        <f ca="1">IF(T_LEAVE[[#This Row],[EMPLOYEE]]="","",MATCH(T_LEAVE[[#This Row],[EMPLOYEE]],L_EMPLABELS,0))</f>
        <v>167</v>
      </c>
      <c r="I362">
        <f ca="1">IF(T_LEAVE[[#This Row],[EMPLOYEE]]="","",MATCH(T_LEAVE[[#This Row],[LEAVE TYPE]],L_LEAVETYPES,0))</f>
        <v>7</v>
      </c>
      <c r="J362" t="str" cm="1">
        <f t="array" aca="1" ref="J362" ca="1">IFERROR(INDEX(T_LEAVE_TYPES[SYMBOL],T_LEAVE[[#This Row],[LEAVE TYPE SYS ID]]),"")</f>
        <v>C</v>
      </c>
      <c r="K362">
        <f ca="1">IF(T_LEAVE[[#This Row],[EMPLOYEE]]="","",IF(T_LEAVE[[#This Row],[ERROR]]="",0,1))</f>
        <v>0</v>
      </c>
      <c r="L362" t="str" cm="1">
        <f t="array" aca="1" ref="L36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3" spans="1:12">
      <c r="A363" t="s">
        <v>2027</v>
      </c>
      <c r="B363" s="15" t="s">
        <v>2201</v>
      </c>
      <c r="C363" s="15" t="s">
        <v>2202</v>
      </c>
      <c r="D363" t="s">
        <v>92</v>
      </c>
      <c r="E363">
        <v>5</v>
      </c>
      <c r="F363" s="1"/>
      <c r="G363" s="1"/>
      <c r="H363">
        <f ca="1">IF(T_LEAVE[[#This Row],[EMPLOYEE]]="","",MATCH(T_LEAVE[[#This Row],[EMPLOYEE]],L_EMPLABELS,0))</f>
        <v>101</v>
      </c>
      <c r="I363">
        <f ca="1">IF(T_LEAVE[[#This Row],[EMPLOYEE]]="","",MATCH(T_LEAVE[[#This Row],[LEAVE TYPE]],L_LEAVETYPES,0))</f>
        <v>6</v>
      </c>
      <c r="J363" t="str" cm="1">
        <f t="array" aca="1" ref="J363" ca="1">IFERROR(INDEX(T_LEAVE_TYPES[SYMBOL],T_LEAVE[[#This Row],[LEAVE TYPE SYS ID]]),"")</f>
        <v>PR</v>
      </c>
      <c r="K363">
        <f ca="1">IF(T_LEAVE[[#This Row],[EMPLOYEE]]="","",IF(T_LEAVE[[#This Row],[ERROR]]="",0,1))</f>
        <v>0</v>
      </c>
      <c r="L363" t="str" cm="1">
        <f t="array" aca="1" ref="L36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4" spans="1:12">
      <c r="A364" t="s">
        <v>2203</v>
      </c>
      <c r="B364" s="15" t="s">
        <v>1989</v>
      </c>
      <c r="C364" s="15" t="s">
        <v>1989</v>
      </c>
      <c r="D364" t="s">
        <v>98</v>
      </c>
      <c r="E364">
        <v>1</v>
      </c>
      <c r="F364" s="1"/>
      <c r="G364" s="1"/>
      <c r="H364">
        <f ca="1">IF(T_LEAVE[[#This Row],[EMPLOYEE]]="","",MATCH(T_LEAVE[[#This Row],[EMPLOYEE]],L_EMPLABELS,0))</f>
        <v>136</v>
      </c>
      <c r="I364">
        <f ca="1">IF(T_LEAVE[[#This Row],[EMPLOYEE]]="","",MATCH(T_LEAVE[[#This Row],[LEAVE TYPE]],L_LEAVETYPES,0))</f>
        <v>7</v>
      </c>
      <c r="J364" t="str" cm="1">
        <f t="array" aca="1" ref="J364" ca="1">IFERROR(INDEX(T_LEAVE_TYPES[SYMBOL],T_LEAVE[[#This Row],[LEAVE TYPE SYS ID]]),"")</f>
        <v>C</v>
      </c>
      <c r="K364">
        <f ca="1">IF(T_LEAVE[[#This Row],[EMPLOYEE]]="","",IF(T_LEAVE[[#This Row],[ERROR]]="",0,1))</f>
        <v>0</v>
      </c>
      <c r="L364" t="str" cm="1">
        <f t="array" aca="1" ref="L36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5" spans="1:12">
      <c r="A365" t="s">
        <v>2203</v>
      </c>
      <c r="B365" s="15" t="s">
        <v>2204</v>
      </c>
      <c r="C365" s="15" t="s">
        <v>2204</v>
      </c>
      <c r="D365" t="s">
        <v>92</v>
      </c>
      <c r="E365">
        <v>1</v>
      </c>
      <c r="F365" s="1"/>
      <c r="G365" s="1"/>
      <c r="H365">
        <f ca="1">IF(T_LEAVE[[#This Row],[EMPLOYEE]]="","",MATCH(T_LEAVE[[#This Row],[EMPLOYEE]],L_EMPLABELS,0))</f>
        <v>136</v>
      </c>
      <c r="I365">
        <f ca="1">IF(T_LEAVE[[#This Row],[EMPLOYEE]]="","",MATCH(T_LEAVE[[#This Row],[LEAVE TYPE]],L_LEAVETYPES,0))</f>
        <v>6</v>
      </c>
      <c r="J365" t="str" cm="1">
        <f t="array" aca="1" ref="J365" ca="1">IFERROR(INDEX(T_LEAVE_TYPES[SYMBOL],T_LEAVE[[#This Row],[LEAVE TYPE SYS ID]]),"")</f>
        <v>PR</v>
      </c>
      <c r="K365">
        <f ca="1">IF(T_LEAVE[[#This Row],[EMPLOYEE]]="","",IF(T_LEAVE[[#This Row],[ERROR]]="",0,1))</f>
        <v>0</v>
      </c>
      <c r="L365" t="str" cm="1">
        <f t="array" aca="1" ref="L36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6" spans="1:12">
      <c r="A366" t="s">
        <v>1987</v>
      </c>
      <c r="B366" s="15" t="s">
        <v>2205</v>
      </c>
      <c r="C366" s="15" t="s">
        <v>2205</v>
      </c>
      <c r="D366" t="s">
        <v>98</v>
      </c>
      <c r="E366">
        <v>1</v>
      </c>
      <c r="F366" s="1"/>
      <c r="G366" s="1"/>
      <c r="H366">
        <f ca="1">IF(T_LEAVE[[#This Row],[EMPLOYEE]]="","",MATCH(T_LEAVE[[#This Row],[EMPLOYEE]],L_EMPLABELS,0))</f>
        <v>538</v>
      </c>
      <c r="I366">
        <f ca="1">IF(T_LEAVE[[#This Row],[EMPLOYEE]]="","",MATCH(T_LEAVE[[#This Row],[LEAVE TYPE]],L_LEAVETYPES,0))</f>
        <v>7</v>
      </c>
      <c r="J366" t="str" cm="1">
        <f t="array" aca="1" ref="J366" ca="1">IFERROR(INDEX(T_LEAVE_TYPES[SYMBOL],T_LEAVE[[#This Row],[LEAVE TYPE SYS ID]]),"")</f>
        <v>C</v>
      </c>
      <c r="K366">
        <f ca="1">IF(T_LEAVE[[#This Row],[EMPLOYEE]]="","",IF(T_LEAVE[[#This Row],[ERROR]]="",0,1))</f>
        <v>0</v>
      </c>
      <c r="L366" t="str" cm="1">
        <f t="array" aca="1" ref="L36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7" spans="1:12">
      <c r="A367" t="s">
        <v>2203</v>
      </c>
      <c r="B367" s="15" t="s">
        <v>2070</v>
      </c>
      <c r="C367" s="15" t="s">
        <v>2070</v>
      </c>
      <c r="D367" t="s">
        <v>98</v>
      </c>
      <c r="E367">
        <v>1</v>
      </c>
      <c r="F367" s="1"/>
      <c r="G367" s="1"/>
      <c r="H367">
        <f ca="1">IF(T_LEAVE[[#This Row],[EMPLOYEE]]="","",MATCH(T_LEAVE[[#This Row],[EMPLOYEE]],L_EMPLABELS,0))</f>
        <v>136</v>
      </c>
      <c r="I367">
        <f ca="1">IF(T_LEAVE[[#This Row],[EMPLOYEE]]="","",MATCH(T_LEAVE[[#This Row],[LEAVE TYPE]],L_LEAVETYPES,0))</f>
        <v>7</v>
      </c>
      <c r="J367" t="str" cm="1">
        <f t="array" aca="1" ref="J367" ca="1">IFERROR(INDEX(T_LEAVE_TYPES[SYMBOL],T_LEAVE[[#This Row],[LEAVE TYPE SYS ID]]),"")</f>
        <v>C</v>
      </c>
      <c r="K367">
        <f ca="1">IF(T_LEAVE[[#This Row],[EMPLOYEE]]="","",IF(T_LEAVE[[#This Row],[ERROR]]="",0,1))</f>
        <v>0</v>
      </c>
      <c r="L367" t="str" cm="1">
        <f t="array" aca="1" ref="L36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8" spans="1:12">
      <c r="A368" t="s">
        <v>2203</v>
      </c>
      <c r="B368" s="15" t="s">
        <v>2059</v>
      </c>
      <c r="C368" s="15" t="s">
        <v>2059</v>
      </c>
      <c r="D368" t="s">
        <v>98</v>
      </c>
      <c r="E368">
        <v>1</v>
      </c>
      <c r="F368" s="1"/>
      <c r="G368" s="1"/>
      <c r="H368">
        <f ca="1">IF(T_LEAVE[[#This Row],[EMPLOYEE]]="","",MATCH(T_LEAVE[[#This Row],[EMPLOYEE]],L_EMPLABELS,0))</f>
        <v>136</v>
      </c>
      <c r="I368">
        <f ca="1">IF(T_LEAVE[[#This Row],[EMPLOYEE]]="","",MATCH(T_LEAVE[[#This Row],[LEAVE TYPE]],L_LEAVETYPES,0))</f>
        <v>7</v>
      </c>
      <c r="J368" t="str" cm="1">
        <f t="array" aca="1" ref="J368" ca="1">IFERROR(INDEX(T_LEAVE_TYPES[SYMBOL],T_LEAVE[[#This Row],[LEAVE TYPE SYS ID]]),"")</f>
        <v>C</v>
      </c>
      <c r="K368">
        <f ca="1">IF(T_LEAVE[[#This Row],[EMPLOYEE]]="","",IF(T_LEAVE[[#This Row],[ERROR]]="",0,1))</f>
        <v>0</v>
      </c>
      <c r="L368" t="str" cm="1">
        <f t="array" aca="1" ref="L36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9" spans="1:12">
      <c r="A369" t="s">
        <v>2203</v>
      </c>
      <c r="B369" s="15" t="s">
        <v>2080</v>
      </c>
      <c r="C369" s="15" t="s">
        <v>2080</v>
      </c>
      <c r="D369" t="s">
        <v>98</v>
      </c>
      <c r="E369">
        <v>1</v>
      </c>
      <c r="F369" s="1"/>
      <c r="G369" s="1"/>
      <c r="H369">
        <f ca="1">IF(T_LEAVE[[#This Row],[EMPLOYEE]]="","",MATCH(T_LEAVE[[#This Row],[EMPLOYEE]],L_EMPLABELS,0))</f>
        <v>136</v>
      </c>
      <c r="I369">
        <f ca="1">IF(T_LEAVE[[#This Row],[EMPLOYEE]]="","",MATCH(T_LEAVE[[#This Row],[LEAVE TYPE]],L_LEAVETYPES,0))</f>
        <v>7</v>
      </c>
      <c r="J369" t="str" cm="1">
        <f t="array" aca="1" ref="J369" ca="1">IFERROR(INDEX(T_LEAVE_TYPES[SYMBOL],T_LEAVE[[#This Row],[LEAVE TYPE SYS ID]]),"")</f>
        <v>C</v>
      </c>
      <c r="K369">
        <f ca="1">IF(T_LEAVE[[#This Row],[EMPLOYEE]]="","",IF(T_LEAVE[[#This Row],[ERROR]]="",0,1))</f>
        <v>0</v>
      </c>
      <c r="L369" t="str" cm="1">
        <f t="array" aca="1" ref="L36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0" spans="1:12">
      <c r="A370" t="s">
        <v>2203</v>
      </c>
      <c r="B370" s="15" t="s">
        <v>2206</v>
      </c>
      <c r="C370" s="15" t="s">
        <v>2206</v>
      </c>
      <c r="D370" t="s">
        <v>98</v>
      </c>
      <c r="E370">
        <v>1</v>
      </c>
      <c r="F370" s="1"/>
      <c r="G370" s="1"/>
      <c r="H370">
        <f ca="1">IF(T_LEAVE[[#This Row],[EMPLOYEE]]="","",MATCH(T_LEAVE[[#This Row],[EMPLOYEE]],L_EMPLABELS,0))</f>
        <v>136</v>
      </c>
      <c r="I370">
        <f ca="1">IF(T_LEAVE[[#This Row],[EMPLOYEE]]="","",MATCH(T_LEAVE[[#This Row],[LEAVE TYPE]],L_LEAVETYPES,0))</f>
        <v>7</v>
      </c>
      <c r="J370" t="str" cm="1">
        <f t="array" aca="1" ref="J370" ca="1">IFERROR(INDEX(T_LEAVE_TYPES[SYMBOL],T_LEAVE[[#This Row],[LEAVE TYPE SYS ID]]),"")</f>
        <v>C</v>
      </c>
      <c r="K370">
        <f ca="1">IF(T_LEAVE[[#This Row],[EMPLOYEE]]="","",IF(T_LEAVE[[#This Row],[ERROR]]="",0,1))</f>
        <v>0</v>
      </c>
      <c r="L370" t="str" cm="1">
        <f t="array" aca="1" ref="L37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1" spans="1:12">
      <c r="A371" t="s">
        <v>2203</v>
      </c>
      <c r="B371" s="15" t="s">
        <v>2207</v>
      </c>
      <c r="C371" s="15" t="s">
        <v>2207</v>
      </c>
      <c r="D371" t="s">
        <v>92</v>
      </c>
      <c r="E371">
        <v>1</v>
      </c>
      <c r="F371" s="1"/>
      <c r="G371" s="1"/>
      <c r="H371">
        <f ca="1">IF(T_LEAVE[[#This Row],[EMPLOYEE]]="","",MATCH(T_LEAVE[[#This Row],[EMPLOYEE]],L_EMPLABELS,0))</f>
        <v>136</v>
      </c>
      <c r="I371">
        <f ca="1">IF(T_LEAVE[[#This Row],[EMPLOYEE]]="","",MATCH(T_LEAVE[[#This Row],[LEAVE TYPE]],L_LEAVETYPES,0))</f>
        <v>6</v>
      </c>
      <c r="J371" t="str" cm="1">
        <f t="array" aca="1" ref="J371" ca="1">IFERROR(INDEX(T_LEAVE_TYPES[SYMBOL],T_LEAVE[[#This Row],[LEAVE TYPE SYS ID]]),"")</f>
        <v>PR</v>
      </c>
      <c r="K371">
        <f ca="1">IF(T_LEAVE[[#This Row],[EMPLOYEE]]="","",IF(T_LEAVE[[#This Row],[ERROR]]="",0,1))</f>
        <v>0</v>
      </c>
      <c r="L371" t="str" cm="1">
        <f t="array" aca="1" ref="L37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2" spans="1:12">
      <c r="A372" t="s">
        <v>2203</v>
      </c>
      <c r="B372" s="15" t="s">
        <v>2114</v>
      </c>
      <c r="C372" s="15" t="s">
        <v>2114</v>
      </c>
      <c r="D372" t="s">
        <v>98</v>
      </c>
      <c r="E372">
        <v>1</v>
      </c>
      <c r="F372" s="1"/>
      <c r="G372" s="1"/>
      <c r="H372">
        <f ca="1">IF(T_LEAVE[[#This Row],[EMPLOYEE]]="","",MATCH(T_LEAVE[[#This Row],[EMPLOYEE]],L_EMPLABELS,0))</f>
        <v>136</v>
      </c>
      <c r="I372">
        <f ca="1">IF(T_LEAVE[[#This Row],[EMPLOYEE]]="","",MATCH(T_LEAVE[[#This Row],[LEAVE TYPE]],L_LEAVETYPES,0))</f>
        <v>7</v>
      </c>
      <c r="J372" t="str" cm="1">
        <f t="array" aca="1" ref="J372" ca="1">IFERROR(INDEX(T_LEAVE_TYPES[SYMBOL],T_LEAVE[[#This Row],[LEAVE TYPE SYS ID]]),"")</f>
        <v>C</v>
      </c>
      <c r="K372">
        <f ca="1">IF(T_LEAVE[[#This Row],[EMPLOYEE]]="","",IF(T_LEAVE[[#This Row],[ERROR]]="",0,1))</f>
        <v>0</v>
      </c>
      <c r="L372" t="str" cm="1">
        <f t="array" aca="1" ref="L37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3" spans="1:12">
      <c r="A373" t="s">
        <v>2203</v>
      </c>
      <c r="B373" s="15" t="s">
        <v>2208</v>
      </c>
      <c r="C373" s="15" t="s">
        <v>2208</v>
      </c>
      <c r="D373" t="s">
        <v>98</v>
      </c>
      <c r="E373">
        <v>1</v>
      </c>
      <c r="F373" s="1"/>
      <c r="G373" s="1"/>
      <c r="H373">
        <f ca="1">IF(T_LEAVE[[#This Row],[EMPLOYEE]]="","",MATCH(T_LEAVE[[#This Row],[EMPLOYEE]],L_EMPLABELS,0))</f>
        <v>136</v>
      </c>
      <c r="I373">
        <f ca="1">IF(T_LEAVE[[#This Row],[EMPLOYEE]]="","",MATCH(T_LEAVE[[#This Row],[LEAVE TYPE]],L_LEAVETYPES,0))</f>
        <v>7</v>
      </c>
      <c r="J373" t="str" cm="1">
        <f t="array" aca="1" ref="J373" ca="1">IFERROR(INDEX(T_LEAVE_TYPES[SYMBOL],T_LEAVE[[#This Row],[LEAVE TYPE SYS ID]]),"")</f>
        <v>C</v>
      </c>
      <c r="K373">
        <f ca="1">IF(T_LEAVE[[#This Row],[EMPLOYEE]]="","",IF(T_LEAVE[[#This Row],[ERROR]]="",0,1))</f>
        <v>0</v>
      </c>
      <c r="L373" t="str" cm="1">
        <f t="array" aca="1" ref="L37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4" spans="1:12">
      <c r="A374" t="s">
        <v>2203</v>
      </c>
      <c r="B374" s="15" t="s">
        <v>2209</v>
      </c>
      <c r="C374" s="15" t="s">
        <v>2209</v>
      </c>
      <c r="D374" t="s">
        <v>98</v>
      </c>
      <c r="E374">
        <v>1</v>
      </c>
      <c r="F374" s="1"/>
      <c r="G374" s="1"/>
      <c r="H374">
        <f ca="1">IF(T_LEAVE[[#This Row],[EMPLOYEE]]="","",MATCH(T_LEAVE[[#This Row],[EMPLOYEE]],L_EMPLABELS,0))</f>
        <v>136</v>
      </c>
      <c r="I374">
        <f ca="1">IF(T_LEAVE[[#This Row],[EMPLOYEE]]="","",MATCH(T_LEAVE[[#This Row],[LEAVE TYPE]],L_LEAVETYPES,0))</f>
        <v>7</v>
      </c>
      <c r="J374" t="str" cm="1">
        <f t="array" aca="1" ref="J374" ca="1">IFERROR(INDEX(T_LEAVE_TYPES[SYMBOL],T_LEAVE[[#This Row],[LEAVE TYPE SYS ID]]),"")</f>
        <v>C</v>
      </c>
      <c r="K374">
        <f ca="1">IF(T_LEAVE[[#This Row],[EMPLOYEE]]="","",IF(T_LEAVE[[#This Row],[ERROR]]="",0,1))</f>
        <v>0</v>
      </c>
      <c r="L374" t="str" cm="1">
        <f t="array" aca="1" ref="L37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5" spans="1:12">
      <c r="A375" t="s">
        <v>2203</v>
      </c>
      <c r="B375" s="15" t="s">
        <v>2164</v>
      </c>
      <c r="C375" s="15" t="s">
        <v>2164</v>
      </c>
      <c r="D375" t="s">
        <v>98</v>
      </c>
      <c r="E375">
        <v>1</v>
      </c>
      <c r="F375" s="1"/>
      <c r="G375" s="1"/>
      <c r="H375">
        <f ca="1">IF(T_LEAVE[[#This Row],[EMPLOYEE]]="","",MATCH(T_LEAVE[[#This Row],[EMPLOYEE]],L_EMPLABELS,0))</f>
        <v>136</v>
      </c>
      <c r="I375">
        <f ca="1">IF(T_LEAVE[[#This Row],[EMPLOYEE]]="","",MATCH(T_LEAVE[[#This Row],[LEAVE TYPE]],L_LEAVETYPES,0))</f>
        <v>7</v>
      </c>
      <c r="J375" t="str" cm="1">
        <f t="array" aca="1" ref="J375" ca="1">IFERROR(INDEX(T_LEAVE_TYPES[SYMBOL],T_LEAVE[[#This Row],[LEAVE TYPE SYS ID]]),"")</f>
        <v>C</v>
      </c>
      <c r="K375">
        <f ca="1">IF(T_LEAVE[[#This Row],[EMPLOYEE]]="","",IF(T_LEAVE[[#This Row],[ERROR]]="",0,1))</f>
        <v>0</v>
      </c>
      <c r="L375" t="str" cm="1">
        <f t="array" aca="1" ref="L37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6" spans="1:12">
      <c r="A376" t="s">
        <v>2027</v>
      </c>
      <c r="B376" s="15" t="s">
        <v>2210</v>
      </c>
      <c r="C376" s="15" t="s">
        <v>2211</v>
      </c>
      <c r="D376" t="s">
        <v>92</v>
      </c>
      <c r="E376">
        <v>4</v>
      </c>
      <c r="F376" s="1"/>
      <c r="G376" s="1"/>
      <c r="H376">
        <f ca="1">IF(T_LEAVE[[#This Row],[EMPLOYEE]]="","",MATCH(T_LEAVE[[#This Row],[EMPLOYEE]],L_EMPLABELS,0))</f>
        <v>101</v>
      </c>
      <c r="I376">
        <f ca="1">IF(T_LEAVE[[#This Row],[EMPLOYEE]]="","",MATCH(T_LEAVE[[#This Row],[LEAVE TYPE]],L_LEAVETYPES,0))</f>
        <v>6</v>
      </c>
      <c r="J376" t="str" cm="1">
        <f t="array" aca="1" ref="J376" ca="1">IFERROR(INDEX(T_LEAVE_TYPES[SYMBOL],T_LEAVE[[#This Row],[LEAVE TYPE SYS ID]]),"")</f>
        <v>PR</v>
      </c>
      <c r="K376">
        <f ca="1">IF(T_LEAVE[[#This Row],[EMPLOYEE]]="","",IF(T_LEAVE[[#This Row],[ERROR]]="",0,1))</f>
        <v>0</v>
      </c>
      <c r="L376" t="str" cm="1">
        <f t="array" aca="1" ref="L37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7" spans="1:12">
      <c r="A377" t="s">
        <v>2203</v>
      </c>
      <c r="B377" s="15" t="s">
        <v>2103</v>
      </c>
      <c r="C377" s="15" t="s">
        <v>2103</v>
      </c>
      <c r="D377" t="s">
        <v>98</v>
      </c>
      <c r="E377">
        <v>1</v>
      </c>
      <c r="F377" s="1"/>
      <c r="G377" s="1"/>
      <c r="H377">
        <f ca="1">IF(T_LEAVE[[#This Row],[EMPLOYEE]]="","",MATCH(T_LEAVE[[#This Row],[EMPLOYEE]],L_EMPLABELS,0))</f>
        <v>136</v>
      </c>
      <c r="I377">
        <f ca="1">IF(T_LEAVE[[#This Row],[EMPLOYEE]]="","",MATCH(T_LEAVE[[#This Row],[LEAVE TYPE]],L_LEAVETYPES,0))</f>
        <v>7</v>
      </c>
      <c r="J377" t="str" cm="1">
        <f t="array" aca="1" ref="J377" ca="1">IFERROR(INDEX(T_LEAVE_TYPES[SYMBOL],T_LEAVE[[#This Row],[LEAVE TYPE SYS ID]]),"")</f>
        <v>C</v>
      </c>
      <c r="K377">
        <f ca="1">IF(T_LEAVE[[#This Row],[EMPLOYEE]]="","",IF(T_LEAVE[[#This Row],[ERROR]]="",0,1))</f>
        <v>0</v>
      </c>
      <c r="L377" t="str" cm="1">
        <f t="array" aca="1" ref="L37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8" spans="1:12">
      <c r="A378" t="s">
        <v>2203</v>
      </c>
      <c r="B378" s="15" t="s">
        <v>2177</v>
      </c>
      <c r="C378" s="15" t="s">
        <v>2177</v>
      </c>
      <c r="D378" t="s">
        <v>98</v>
      </c>
      <c r="E378">
        <v>1</v>
      </c>
      <c r="F378" s="1"/>
      <c r="G378" s="1"/>
      <c r="H378">
        <f ca="1">IF(T_LEAVE[[#This Row],[EMPLOYEE]]="","",MATCH(T_LEAVE[[#This Row],[EMPLOYEE]],L_EMPLABELS,0))</f>
        <v>136</v>
      </c>
      <c r="I378">
        <f ca="1">IF(T_LEAVE[[#This Row],[EMPLOYEE]]="","",MATCH(T_LEAVE[[#This Row],[LEAVE TYPE]],L_LEAVETYPES,0))</f>
        <v>7</v>
      </c>
      <c r="J378" t="str" cm="1">
        <f t="array" aca="1" ref="J378" ca="1">IFERROR(INDEX(T_LEAVE_TYPES[SYMBOL],T_LEAVE[[#This Row],[LEAVE TYPE SYS ID]]),"")</f>
        <v>C</v>
      </c>
      <c r="K378">
        <f ca="1">IF(T_LEAVE[[#This Row],[EMPLOYEE]]="","",IF(T_LEAVE[[#This Row],[ERROR]]="",0,1))</f>
        <v>0</v>
      </c>
      <c r="L378" t="str" cm="1">
        <f t="array" aca="1" ref="L37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9" spans="1:12">
      <c r="A379" t="s">
        <v>2203</v>
      </c>
      <c r="B379" s="15" t="s">
        <v>2212</v>
      </c>
      <c r="C379" s="15" t="s">
        <v>2212</v>
      </c>
      <c r="D379" t="s">
        <v>98</v>
      </c>
      <c r="E379">
        <v>1</v>
      </c>
      <c r="F379" s="1"/>
      <c r="G379" s="1"/>
      <c r="H379">
        <f ca="1">IF(T_LEAVE[[#This Row],[EMPLOYEE]]="","",MATCH(T_LEAVE[[#This Row],[EMPLOYEE]],L_EMPLABELS,0))</f>
        <v>136</v>
      </c>
      <c r="I379">
        <f ca="1">IF(T_LEAVE[[#This Row],[EMPLOYEE]]="","",MATCH(T_LEAVE[[#This Row],[LEAVE TYPE]],L_LEAVETYPES,0))</f>
        <v>7</v>
      </c>
      <c r="J379" t="str" cm="1">
        <f t="array" aca="1" ref="J379" ca="1">IFERROR(INDEX(T_LEAVE_TYPES[SYMBOL],T_LEAVE[[#This Row],[LEAVE TYPE SYS ID]]),"")</f>
        <v>C</v>
      </c>
      <c r="K379">
        <f ca="1">IF(T_LEAVE[[#This Row],[EMPLOYEE]]="","",IF(T_LEAVE[[#This Row],[ERROR]]="",0,1))</f>
        <v>0</v>
      </c>
      <c r="L379" t="str" cm="1">
        <f t="array" aca="1" ref="L37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0" spans="1:12">
      <c r="A380" t="s">
        <v>2203</v>
      </c>
      <c r="B380" s="15" t="s">
        <v>2213</v>
      </c>
      <c r="C380" s="15" t="s">
        <v>2213</v>
      </c>
      <c r="D380" t="s">
        <v>98</v>
      </c>
      <c r="E380">
        <v>1</v>
      </c>
      <c r="F380" s="1"/>
      <c r="G380" s="1"/>
      <c r="H380">
        <f ca="1">IF(T_LEAVE[[#This Row],[EMPLOYEE]]="","",MATCH(T_LEAVE[[#This Row],[EMPLOYEE]],L_EMPLABELS,0))</f>
        <v>136</v>
      </c>
      <c r="I380">
        <f ca="1">IF(T_LEAVE[[#This Row],[EMPLOYEE]]="","",MATCH(T_LEAVE[[#This Row],[LEAVE TYPE]],L_LEAVETYPES,0))</f>
        <v>7</v>
      </c>
      <c r="J380" t="str" cm="1">
        <f t="array" aca="1" ref="J380" ca="1">IFERROR(INDEX(T_LEAVE_TYPES[SYMBOL],T_LEAVE[[#This Row],[LEAVE TYPE SYS ID]]),"")</f>
        <v>C</v>
      </c>
      <c r="K380">
        <f ca="1">IF(T_LEAVE[[#This Row],[EMPLOYEE]]="","",IF(T_LEAVE[[#This Row],[ERROR]]="",0,1))</f>
        <v>0</v>
      </c>
      <c r="L380" t="str" cm="1">
        <f t="array" aca="1" ref="L38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1" spans="1:12">
      <c r="A381" t="s">
        <v>2203</v>
      </c>
      <c r="B381" s="15" t="s">
        <v>2214</v>
      </c>
      <c r="C381" s="15" t="s">
        <v>2214</v>
      </c>
      <c r="D381" t="s">
        <v>92</v>
      </c>
      <c r="E381">
        <v>1</v>
      </c>
      <c r="F381" s="1"/>
      <c r="G381" s="1"/>
      <c r="H381">
        <f ca="1">IF(T_LEAVE[[#This Row],[EMPLOYEE]]="","",MATCH(T_LEAVE[[#This Row],[EMPLOYEE]],L_EMPLABELS,0))</f>
        <v>136</v>
      </c>
      <c r="I381">
        <f ca="1">IF(T_LEAVE[[#This Row],[EMPLOYEE]]="","",MATCH(T_LEAVE[[#This Row],[LEAVE TYPE]],L_LEAVETYPES,0))</f>
        <v>6</v>
      </c>
      <c r="J381" t="str" cm="1">
        <f t="array" aca="1" ref="J381" ca="1">IFERROR(INDEX(T_LEAVE_TYPES[SYMBOL],T_LEAVE[[#This Row],[LEAVE TYPE SYS ID]]),"")</f>
        <v>PR</v>
      </c>
      <c r="K381">
        <f ca="1">IF(T_LEAVE[[#This Row],[EMPLOYEE]]="","",IF(T_LEAVE[[#This Row],[ERROR]]="",0,1))</f>
        <v>0</v>
      </c>
      <c r="L381" t="str" cm="1">
        <f t="array" aca="1" ref="L38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2" spans="1:12">
      <c r="A382" t="s">
        <v>2203</v>
      </c>
      <c r="B382" s="15" t="s">
        <v>2215</v>
      </c>
      <c r="C382" s="15" t="s">
        <v>2215</v>
      </c>
      <c r="D382" t="s">
        <v>98</v>
      </c>
      <c r="E382">
        <v>1</v>
      </c>
      <c r="F382" s="1"/>
      <c r="G382" s="1"/>
      <c r="H382">
        <f ca="1">IF(T_LEAVE[[#This Row],[EMPLOYEE]]="","",MATCH(T_LEAVE[[#This Row],[EMPLOYEE]],L_EMPLABELS,0))</f>
        <v>136</v>
      </c>
      <c r="I382">
        <f ca="1">IF(T_LEAVE[[#This Row],[EMPLOYEE]]="","",MATCH(T_LEAVE[[#This Row],[LEAVE TYPE]],L_LEAVETYPES,0))</f>
        <v>7</v>
      </c>
      <c r="J382" t="str" cm="1">
        <f t="array" aca="1" ref="J382" ca="1">IFERROR(INDEX(T_LEAVE_TYPES[SYMBOL],T_LEAVE[[#This Row],[LEAVE TYPE SYS ID]]),"")</f>
        <v>C</v>
      </c>
      <c r="K382">
        <f ca="1">IF(T_LEAVE[[#This Row],[EMPLOYEE]]="","",IF(T_LEAVE[[#This Row],[ERROR]]="",0,1))</f>
        <v>0</v>
      </c>
      <c r="L382" t="str" cm="1">
        <f t="array" aca="1" ref="L38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3" spans="1:12">
      <c r="A383" t="s">
        <v>2027</v>
      </c>
      <c r="B383" s="15" t="s">
        <v>2210</v>
      </c>
      <c r="C383" s="15" t="s">
        <v>2216</v>
      </c>
      <c r="D383" t="s">
        <v>92</v>
      </c>
      <c r="E383">
        <v>5</v>
      </c>
      <c r="F383" s="1"/>
      <c r="G383" s="1"/>
      <c r="H383">
        <f ca="1">IF(T_LEAVE[[#This Row],[EMPLOYEE]]="","",MATCH(T_LEAVE[[#This Row],[EMPLOYEE]],L_EMPLABELS,0))</f>
        <v>101</v>
      </c>
      <c r="I383">
        <f ca="1">IF(T_LEAVE[[#This Row],[EMPLOYEE]]="","",MATCH(T_LEAVE[[#This Row],[LEAVE TYPE]],L_LEAVETYPES,0))</f>
        <v>6</v>
      </c>
      <c r="J383" t="str" cm="1">
        <f t="array" aca="1" ref="J383" ca="1">IFERROR(INDEX(T_LEAVE_TYPES[SYMBOL],T_LEAVE[[#This Row],[LEAVE TYPE SYS ID]]),"")</f>
        <v>PR</v>
      </c>
      <c r="K383">
        <f ca="1">IF(T_LEAVE[[#This Row],[EMPLOYEE]]="","",IF(T_LEAVE[[#This Row],[ERROR]]="",0,1))</f>
        <v>0</v>
      </c>
      <c r="L383" t="str" cm="1">
        <f t="array" aca="1" ref="L38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4" spans="1:12">
      <c r="A384" t="s">
        <v>2203</v>
      </c>
      <c r="B384" s="15" t="s">
        <v>2217</v>
      </c>
      <c r="C384" s="15" t="s">
        <v>2217</v>
      </c>
      <c r="D384" t="s">
        <v>92</v>
      </c>
      <c r="E384">
        <v>1</v>
      </c>
      <c r="F384" s="1"/>
      <c r="G384" s="1"/>
      <c r="H384">
        <f ca="1">IF(T_LEAVE[[#This Row],[EMPLOYEE]]="","",MATCH(T_LEAVE[[#This Row],[EMPLOYEE]],L_EMPLABELS,0))</f>
        <v>136</v>
      </c>
      <c r="I384">
        <f ca="1">IF(T_LEAVE[[#This Row],[EMPLOYEE]]="","",MATCH(T_LEAVE[[#This Row],[LEAVE TYPE]],L_LEAVETYPES,0))</f>
        <v>6</v>
      </c>
      <c r="J384" t="str" cm="1">
        <f t="array" aca="1" ref="J384" ca="1">IFERROR(INDEX(T_LEAVE_TYPES[SYMBOL],T_LEAVE[[#This Row],[LEAVE TYPE SYS ID]]),"")</f>
        <v>PR</v>
      </c>
      <c r="K384">
        <f ca="1">IF(T_LEAVE[[#This Row],[EMPLOYEE]]="","",IF(T_LEAVE[[#This Row],[ERROR]]="",0,1))</f>
        <v>0</v>
      </c>
      <c r="L384" t="str" cm="1">
        <f t="array" aca="1" ref="L38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5" spans="1:12">
      <c r="A385" t="s">
        <v>2203</v>
      </c>
      <c r="B385" s="15" t="s">
        <v>2198</v>
      </c>
      <c r="C385" s="15" t="s">
        <v>2198</v>
      </c>
      <c r="D385" t="s">
        <v>92</v>
      </c>
      <c r="E385">
        <v>1</v>
      </c>
      <c r="F385" s="1"/>
      <c r="G385" s="1"/>
      <c r="H385">
        <f ca="1">IF(T_LEAVE[[#This Row],[EMPLOYEE]]="","",MATCH(T_LEAVE[[#This Row],[EMPLOYEE]],L_EMPLABELS,0))</f>
        <v>136</v>
      </c>
      <c r="I385">
        <f ca="1">IF(T_LEAVE[[#This Row],[EMPLOYEE]]="","",MATCH(T_LEAVE[[#This Row],[LEAVE TYPE]],L_LEAVETYPES,0))</f>
        <v>6</v>
      </c>
      <c r="J385" t="str" cm="1">
        <f t="array" aca="1" ref="J385" ca="1">IFERROR(INDEX(T_LEAVE_TYPES[SYMBOL],T_LEAVE[[#This Row],[LEAVE TYPE SYS ID]]),"")</f>
        <v>PR</v>
      </c>
      <c r="K385">
        <f ca="1">IF(T_LEAVE[[#This Row],[EMPLOYEE]]="","",IF(T_LEAVE[[#This Row],[ERROR]]="",0,1))</f>
        <v>0</v>
      </c>
      <c r="L385" t="str" cm="1">
        <f t="array" aca="1" ref="L38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6" spans="1:12">
      <c r="A386" t="s">
        <v>2203</v>
      </c>
      <c r="B386" s="15" t="s">
        <v>2218</v>
      </c>
      <c r="C386" s="15" t="s">
        <v>2218</v>
      </c>
      <c r="D386" t="s">
        <v>92</v>
      </c>
      <c r="E386">
        <v>1</v>
      </c>
      <c r="F386" s="1"/>
      <c r="G386" s="1"/>
      <c r="H386">
        <f ca="1">IF(T_LEAVE[[#This Row],[EMPLOYEE]]="","",MATCH(T_LEAVE[[#This Row],[EMPLOYEE]],L_EMPLABELS,0))</f>
        <v>136</v>
      </c>
      <c r="I386">
        <f ca="1">IF(T_LEAVE[[#This Row],[EMPLOYEE]]="","",MATCH(T_LEAVE[[#This Row],[LEAVE TYPE]],L_LEAVETYPES,0))</f>
        <v>6</v>
      </c>
      <c r="J386" t="str" cm="1">
        <f t="array" aca="1" ref="J386" ca="1">IFERROR(INDEX(T_LEAVE_TYPES[SYMBOL],T_LEAVE[[#This Row],[LEAVE TYPE SYS ID]]),"")</f>
        <v>PR</v>
      </c>
      <c r="K386">
        <f ca="1">IF(T_LEAVE[[#This Row],[EMPLOYEE]]="","",IF(T_LEAVE[[#This Row],[ERROR]]="",0,1))</f>
        <v>0</v>
      </c>
      <c r="L386" t="str" cm="1">
        <f t="array" aca="1" ref="L38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7" spans="1:12">
      <c r="A387" t="s">
        <v>2203</v>
      </c>
      <c r="B387" s="15" t="s">
        <v>2219</v>
      </c>
      <c r="C387" s="15" t="s">
        <v>2219</v>
      </c>
      <c r="D387" t="s">
        <v>98</v>
      </c>
      <c r="E387">
        <v>1</v>
      </c>
      <c r="F387" s="1"/>
      <c r="G387" s="1"/>
      <c r="H387">
        <f ca="1">IF(T_LEAVE[[#This Row],[EMPLOYEE]]="","",MATCH(T_LEAVE[[#This Row],[EMPLOYEE]],L_EMPLABELS,0))</f>
        <v>136</v>
      </c>
      <c r="I387">
        <f ca="1">IF(T_LEAVE[[#This Row],[EMPLOYEE]]="","",MATCH(T_LEAVE[[#This Row],[LEAVE TYPE]],L_LEAVETYPES,0))</f>
        <v>7</v>
      </c>
      <c r="J387" t="str" cm="1">
        <f t="array" aca="1" ref="J387" ca="1">IFERROR(INDEX(T_LEAVE_TYPES[SYMBOL],T_LEAVE[[#This Row],[LEAVE TYPE SYS ID]]),"")</f>
        <v>C</v>
      </c>
      <c r="K387">
        <f ca="1">IF(T_LEAVE[[#This Row],[EMPLOYEE]]="","",IF(T_LEAVE[[#This Row],[ERROR]]="",0,1))</f>
        <v>0</v>
      </c>
      <c r="L387" t="str" cm="1">
        <f t="array" aca="1" ref="L38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8" spans="1:12">
      <c r="A388" t="s">
        <v>2203</v>
      </c>
      <c r="B388" s="15" t="s">
        <v>2220</v>
      </c>
      <c r="C388" s="15" t="s">
        <v>2220</v>
      </c>
      <c r="D388" t="s">
        <v>98</v>
      </c>
      <c r="E388">
        <v>1</v>
      </c>
      <c r="F388" s="1"/>
      <c r="G388" s="1"/>
      <c r="H388">
        <f ca="1">IF(T_LEAVE[[#This Row],[EMPLOYEE]]="","",MATCH(T_LEAVE[[#This Row],[EMPLOYEE]],L_EMPLABELS,0))</f>
        <v>136</v>
      </c>
      <c r="I388">
        <f ca="1">IF(T_LEAVE[[#This Row],[EMPLOYEE]]="","",MATCH(T_LEAVE[[#This Row],[LEAVE TYPE]],L_LEAVETYPES,0))</f>
        <v>7</v>
      </c>
      <c r="J388" t="str" cm="1">
        <f t="array" aca="1" ref="J388" ca="1">IFERROR(INDEX(T_LEAVE_TYPES[SYMBOL],T_LEAVE[[#This Row],[LEAVE TYPE SYS ID]]),"")</f>
        <v>C</v>
      </c>
      <c r="K388">
        <f ca="1">IF(T_LEAVE[[#This Row],[EMPLOYEE]]="","",IF(T_LEAVE[[#This Row],[ERROR]]="",0,1))</f>
        <v>0</v>
      </c>
      <c r="L388" t="str" cm="1">
        <f t="array" aca="1" ref="L38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9" spans="1:12">
      <c r="A389" t="s">
        <v>2203</v>
      </c>
      <c r="B389" s="15" t="s">
        <v>2221</v>
      </c>
      <c r="C389" s="15" t="s">
        <v>2205</v>
      </c>
      <c r="D389" t="s">
        <v>98</v>
      </c>
      <c r="E389">
        <v>2</v>
      </c>
      <c r="F389" s="1"/>
      <c r="G389" s="1"/>
      <c r="H389">
        <f ca="1">IF(T_LEAVE[[#This Row],[EMPLOYEE]]="","",MATCH(T_LEAVE[[#This Row],[EMPLOYEE]],L_EMPLABELS,0))</f>
        <v>136</v>
      </c>
      <c r="I389">
        <f ca="1">IF(T_LEAVE[[#This Row],[EMPLOYEE]]="","",MATCH(T_LEAVE[[#This Row],[LEAVE TYPE]],L_LEAVETYPES,0))</f>
        <v>7</v>
      </c>
      <c r="J389" t="str" cm="1">
        <f t="array" aca="1" ref="J389" ca="1">IFERROR(INDEX(T_LEAVE_TYPES[SYMBOL],T_LEAVE[[#This Row],[LEAVE TYPE SYS ID]]),"")</f>
        <v>C</v>
      </c>
      <c r="K389">
        <f ca="1">IF(T_LEAVE[[#This Row],[EMPLOYEE]]="","",IF(T_LEAVE[[#This Row],[ERROR]]="",0,1))</f>
        <v>0</v>
      </c>
      <c r="L389" t="str" cm="1">
        <f t="array" aca="1" ref="L38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0" spans="1:12">
      <c r="A390" t="s">
        <v>2203</v>
      </c>
      <c r="B390" s="15" t="s">
        <v>2222</v>
      </c>
      <c r="C390" s="15" t="s">
        <v>2223</v>
      </c>
      <c r="D390" t="s">
        <v>92</v>
      </c>
      <c r="E390">
        <v>4</v>
      </c>
      <c r="F390" s="1"/>
      <c r="G390" s="1"/>
      <c r="H390">
        <f ca="1">IF(T_LEAVE[[#This Row],[EMPLOYEE]]="","",MATCH(T_LEAVE[[#This Row],[EMPLOYEE]],L_EMPLABELS,0))</f>
        <v>136</v>
      </c>
      <c r="I390">
        <f ca="1">IF(T_LEAVE[[#This Row],[EMPLOYEE]]="","",MATCH(T_LEAVE[[#This Row],[LEAVE TYPE]],L_LEAVETYPES,0))</f>
        <v>6</v>
      </c>
      <c r="J390" t="str" cm="1">
        <f t="array" aca="1" ref="J390" ca="1">IFERROR(INDEX(T_LEAVE_TYPES[SYMBOL],T_LEAVE[[#This Row],[LEAVE TYPE SYS ID]]),"")</f>
        <v>PR</v>
      </c>
      <c r="K390">
        <f ca="1">IF(T_LEAVE[[#This Row],[EMPLOYEE]]="","",IF(T_LEAVE[[#This Row],[ERROR]]="",0,1))</f>
        <v>0</v>
      </c>
      <c r="L390" t="str" cm="1">
        <f t="array" aca="1" ref="L39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1" spans="1:12">
      <c r="A391" t="s">
        <v>2203</v>
      </c>
      <c r="B391" s="15" t="s">
        <v>2224</v>
      </c>
      <c r="C391" s="15" t="s">
        <v>2224</v>
      </c>
      <c r="D391" t="s">
        <v>98</v>
      </c>
      <c r="E391">
        <v>1</v>
      </c>
      <c r="F391" s="1"/>
      <c r="G391" s="1"/>
      <c r="H391">
        <f ca="1">IF(T_LEAVE[[#This Row],[EMPLOYEE]]="","",MATCH(T_LEAVE[[#This Row],[EMPLOYEE]],L_EMPLABELS,0))</f>
        <v>136</v>
      </c>
      <c r="I391">
        <f ca="1">IF(T_LEAVE[[#This Row],[EMPLOYEE]]="","",MATCH(T_LEAVE[[#This Row],[LEAVE TYPE]],L_LEAVETYPES,0))</f>
        <v>7</v>
      </c>
      <c r="J391" t="str" cm="1">
        <f t="array" aca="1" ref="J391" ca="1">IFERROR(INDEX(T_LEAVE_TYPES[SYMBOL],T_LEAVE[[#This Row],[LEAVE TYPE SYS ID]]),"")</f>
        <v>C</v>
      </c>
      <c r="K391">
        <f ca="1">IF(T_LEAVE[[#This Row],[EMPLOYEE]]="","",IF(T_LEAVE[[#This Row],[ERROR]]="",0,1))</f>
        <v>0</v>
      </c>
      <c r="L391" t="str" cm="1">
        <f t="array" aca="1" ref="L39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2" spans="1:12">
      <c r="A392" t="s">
        <v>2203</v>
      </c>
      <c r="B392" s="15" t="s">
        <v>2225</v>
      </c>
      <c r="C392" s="15" t="s">
        <v>2225</v>
      </c>
      <c r="D392" t="s">
        <v>98</v>
      </c>
      <c r="E392">
        <v>1</v>
      </c>
      <c r="F392" s="1"/>
      <c r="G392" s="1"/>
      <c r="H392">
        <f ca="1">IF(T_LEAVE[[#This Row],[EMPLOYEE]]="","",MATCH(T_LEAVE[[#This Row],[EMPLOYEE]],L_EMPLABELS,0))</f>
        <v>136</v>
      </c>
      <c r="I392">
        <f ca="1">IF(T_LEAVE[[#This Row],[EMPLOYEE]]="","",MATCH(T_LEAVE[[#This Row],[LEAVE TYPE]],L_LEAVETYPES,0))</f>
        <v>7</v>
      </c>
      <c r="J392" t="str" cm="1">
        <f t="array" aca="1" ref="J392" ca="1">IFERROR(INDEX(T_LEAVE_TYPES[SYMBOL],T_LEAVE[[#This Row],[LEAVE TYPE SYS ID]]),"")</f>
        <v>C</v>
      </c>
      <c r="K392">
        <f ca="1">IF(T_LEAVE[[#This Row],[EMPLOYEE]]="","",IF(T_LEAVE[[#This Row],[ERROR]]="",0,1))</f>
        <v>0</v>
      </c>
      <c r="L392" t="str" cm="1">
        <f t="array" aca="1" ref="L39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3" spans="1:12">
      <c r="A393" t="s">
        <v>2203</v>
      </c>
      <c r="B393" s="15" t="s">
        <v>2226</v>
      </c>
      <c r="C393" s="15" t="s">
        <v>2226</v>
      </c>
      <c r="D393" t="s">
        <v>92</v>
      </c>
      <c r="E393">
        <v>1</v>
      </c>
      <c r="F393" s="1"/>
      <c r="G393" s="1"/>
      <c r="H393">
        <f ca="1">IF(T_LEAVE[[#This Row],[EMPLOYEE]]="","",MATCH(T_LEAVE[[#This Row],[EMPLOYEE]],L_EMPLABELS,0))</f>
        <v>136</v>
      </c>
      <c r="I393">
        <f ca="1">IF(T_LEAVE[[#This Row],[EMPLOYEE]]="","",MATCH(T_LEAVE[[#This Row],[LEAVE TYPE]],L_LEAVETYPES,0))</f>
        <v>6</v>
      </c>
      <c r="J393" t="str" cm="1">
        <f t="array" aca="1" ref="J393" ca="1">IFERROR(INDEX(T_LEAVE_TYPES[SYMBOL],T_LEAVE[[#This Row],[LEAVE TYPE SYS ID]]),"")</f>
        <v>PR</v>
      </c>
      <c r="K393">
        <f ca="1">IF(T_LEAVE[[#This Row],[EMPLOYEE]]="","",IF(T_LEAVE[[#This Row],[ERROR]]="",0,1))</f>
        <v>0</v>
      </c>
      <c r="L393" t="str" cm="1">
        <f t="array" aca="1" ref="L39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4" spans="1:12">
      <c r="A394" t="s">
        <v>2203</v>
      </c>
      <c r="B394" s="15" t="s">
        <v>2227</v>
      </c>
      <c r="C394" s="15" t="s">
        <v>2227</v>
      </c>
      <c r="D394" t="s">
        <v>92</v>
      </c>
      <c r="E394">
        <v>1</v>
      </c>
      <c r="F394" s="1"/>
      <c r="G394" s="1"/>
      <c r="H394">
        <f ca="1">IF(T_LEAVE[[#This Row],[EMPLOYEE]]="","",MATCH(T_LEAVE[[#This Row],[EMPLOYEE]],L_EMPLABELS,0))</f>
        <v>136</v>
      </c>
      <c r="I394">
        <f ca="1">IF(T_LEAVE[[#This Row],[EMPLOYEE]]="","",MATCH(T_LEAVE[[#This Row],[LEAVE TYPE]],L_LEAVETYPES,0))</f>
        <v>6</v>
      </c>
      <c r="J394" t="str" cm="1">
        <f t="array" aca="1" ref="J394" ca="1">IFERROR(INDEX(T_LEAVE_TYPES[SYMBOL],T_LEAVE[[#This Row],[LEAVE TYPE SYS ID]]),"")</f>
        <v>PR</v>
      </c>
      <c r="K394">
        <f ca="1">IF(T_LEAVE[[#This Row],[EMPLOYEE]]="","",IF(T_LEAVE[[#This Row],[ERROR]]="",0,1))</f>
        <v>0</v>
      </c>
      <c r="L394" t="str" cm="1">
        <f t="array" aca="1" ref="L39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5" spans="1:12">
      <c r="A395" t="s">
        <v>2203</v>
      </c>
      <c r="B395" s="15" t="s">
        <v>2228</v>
      </c>
      <c r="C395" s="15" t="s">
        <v>2228</v>
      </c>
      <c r="D395" t="s">
        <v>92</v>
      </c>
      <c r="E395">
        <v>1</v>
      </c>
      <c r="F395" s="1"/>
      <c r="G395" s="1"/>
      <c r="H395">
        <f ca="1">IF(T_LEAVE[[#This Row],[EMPLOYEE]]="","",MATCH(T_LEAVE[[#This Row],[EMPLOYEE]],L_EMPLABELS,0))</f>
        <v>136</v>
      </c>
      <c r="I395">
        <f ca="1">IF(T_LEAVE[[#This Row],[EMPLOYEE]]="","",MATCH(T_LEAVE[[#This Row],[LEAVE TYPE]],L_LEAVETYPES,0))</f>
        <v>6</v>
      </c>
      <c r="J395" t="str" cm="1">
        <f t="array" aca="1" ref="J395" ca="1">IFERROR(INDEX(T_LEAVE_TYPES[SYMBOL],T_LEAVE[[#This Row],[LEAVE TYPE SYS ID]]),"")</f>
        <v>PR</v>
      </c>
      <c r="K395">
        <f ca="1">IF(T_LEAVE[[#This Row],[EMPLOYEE]]="","",IF(T_LEAVE[[#This Row],[ERROR]]="",0,1))</f>
        <v>0</v>
      </c>
      <c r="L395" t="str" cm="1">
        <f t="array" aca="1" ref="L39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6" spans="1:12">
      <c r="A396" t="s">
        <v>2203</v>
      </c>
      <c r="B396" s="15" t="s">
        <v>2229</v>
      </c>
      <c r="C396" s="15" t="s">
        <v>2229</v>
      </c>
      <c r="D396" t="s">
        <v>98</v>
      </c>
      <c r="E396">
        <v>1</v>
      </c>
      <c r="F396" s="1"/>
      <c r="G396" s="1"/>
      <c r="H396">
        <f ca="1">IF(T_LEAVE[[#This Row],[EMPLOYEE]]="","",MATCH(T_LEAVE[[#This Row],[EMPLOYEE]],L_EMPLABELS,0))</f>
        <v>136</v>
      </c>
      <c r="I396">
        <f ca="1">IF(T_LEAVE[[#This Row],[EMPLOYEE]]="","",MATCH(T_LEAVE[[#This Row],[LEAVE TYPE]],L_LEAVETYPES,0))</f>
        <v>7</v>
      </c>
      <c r="J396" t="str" cm="1">
        <f t="array" aca="1" ref="J396" ca="1">IFERROR(INDEX(T_LEAVE_TYPES[SYMBOL],T_LEAVE[[#This Row],[LEAVE TYPE SYS ID]]),"")</f>
        <v>C</v>
      </c>
      <c r="K396">
        <f ca="1">IF(T_LEAVE[[#This Row],[EMPLOYEE]]="","",IF(T_LEAVE[[#This Row],[ERROR]]="",0,1))</f>
        <v>0</v>
      </c>
      <c r="L396" t="str" cm="1">
        <f t="array" aca="1" ref="L39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7" spans="1:12">
      <c r="A397" t="s">
        <v>2203</v>
      </c>
      <c r="B397" s="15" t="s">
        <v>2230</v>
      </c>
      <c r="C397" s="15" t="s">
        <v>2231</v>
      </c>
      <c r="D397" t="s">
        <v>98</v>
      </c>
      <c r="E397">
        <v>2</v>
      </c>
      <c r="F397" s="1"/>
      <c r="G397" s="1"/>
      <c r="H397">
        <f ca="1">IF(T_LEAVE[[#This Row],[EMPLOYEE]]="","",MATCH(T_LEAVE[[#This Row],[EMPLOYEE]],L_EMPLABELS,0))</f>
        <v>136</v>
      </c>
      <c r="I397">
        <f ca="1">IF(T_LEAVE[[#This Row],[EMPLOYEE]]="","",MATCH(T_LEAVE[[#This Row],[LEAVE TYPE]],L_LEAVETYPES,0))</f>
        <v>7</v>
      </c>
      <c r="J397" t="str" cm="1">
        <f t="array" aca="1" ref="J397" ca="1">IFERROR(INDEX(T_LEAVE_TYPES[SYMBOL],T_LEAVE[[#This Row],[LEAVE TYPE SYS ID]]),"")</f>
        <v>C</v>
      </c>
      <c r="K397">
        <f ca="1">IF(T_LEAVE[[#This Row],[EMPLOYEE]]="","",IF(T_LEAVE[[#This Row],[ERROR]]="",0,1))</f>
        <v>0</v>
      </c>
      <c r="L397" t="str" cm="1">
        <f t="array" aca="1" ref="L39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8" spans="1:12">
      <c r="A398" t="s">
        <v>2203</v>
      </c>
      <c r="B398" s="15" t="s">
        <v>2232</v>
      </c>
      <c r="C398" s="15" t="s">
        <v>2232</v>
      </c>
      <c r="D398" t="s">
        <v>98</v>
      </c>
      <c r="E398">
        <v>1</v>
      </c>
      <c r="F398" s="1"/>
      <c r="G398" s="1"/>
      <c r="H398">
        <f ca="1">IF(T_LEAVE[[#This Row],[EMPLOYEE]]="","",MATCH(T_LEAVE[[#This Row],[EMPLOYEE]],L_EMPLABELS,0))</f>
        <v>136</v>
      </c>
      <c r="I398">
        <f ca="1">IF(T_LEAVE[[#This Row],[EMPLOYEE]]="","",MATCH(T_LEAVE[[#This Row],[LEAVE TYPE]],L_LEAVETYPES,0))</f>
        <v>7</v>
      </c>
      <c r="J398" t="str" cm="1">
        <f t="array" aca="1" ref="J398" ca="1">IFERROR(INDEX(T_LEAVE_TYPES[SYMBOL],T_LEAVE[[#This Row],[LEAVE TYPE SYS ID]]),"")</f>
        <v>C</v>
      </c>
      <c r="K398">
        <f ca="1">IF(T_LEAVE[[#This Row],[EMPLOYEE]]="","",IF(T_LEAVE[[#This Row],[ERROR]]="",0,1))</f>
        <v>0</v>
      </c>
      <c r="L398" t="str" cm="1">
        <f t="array" aca="1" ref="L39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9" spans="1:12">
      <c r="A399" t="s">
        <v>2027</v>
      </c>
      <c r="B399" s="28" t="s">
        <v>1968</v>
      </c>
      <c r="C399" s="15" t="s">
        <v>2098</v>
      </c>
      <c r="D399" t="s">
        <v>98</v>
      </c>
      <c r="E399">
        <v>2</v>
      </c>
      <c r="F399" s="1"/>
      <c r="G399" s="1"/>
      <c r="H399">
        <f ca="1">IF(T_LEAVE[[#This Row],[EMPLOYEE]]="","",MATCH(T_LEAVE[[#This Row],[EMPLOYEE]],L_EMPLABELS,0))</f>
        <v>101</v>
      </c>
      <c r="I399">
        <f ca="1">IF(T_LEAVE[[#This Row],[EMPLOYEE]]="","",MATCH(T_LEAVE[[#This Row],[LEAVE TYPE]],L_LEAVETYPES,0))</f>
        <v>7</v>
      </c>
      <c r="J399" t="str" cm="1">
        <f t="array" aca="1" ref="J399" ca="1">IFERROR(INDEX(T_LEAVE_TYPES[SYMBOL],T_LEAVE[[#This Row],[LEAVE TYPE SYS ID]]),"")</f>
        <v>C</v>
      </c>
      <c r="K399">
        <f ca="1">IF(T_LEAVE[[#This Row],[EMPLOYEE]]="","",IF(T_LEAVE[[#This Row],[ERROR]]="",0,1))</f>
        <v>0</v>
      </c>
      <c r="L399" t="str" cm="1">
        <f t="array" aca="1" ref="L39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0" spans="1:12">
      <c r="A400" t="s">
        <v>1919</v>
      </c>
      <c r="B400" s="15" t="s">
        <v>2233</v>
      </c>
      <c r="C400" s="15" t="s">
        <v>2233</v>
      </c>
      <c r="D400" t="s">
        <v>92</v>
      </c>
      <c r="E400">
        <v>1</v>
      </c>
      <c r="F400" s="1"/>
      <c r="G400" s="1"/>
      <c r="H400">
        <f ca="1">IF(T_LEAVE[[#This Row],[EMPLOYEE]]="","",MATCH(T_LEAVE[[#This Row],[EMPLOYEE]],L_EMPLABELS,0))</f>
        <v>99</v>
      </c>
      <c r="I400">
        <f ca="1">IF(T_LEAVE[[#This Row],[EMPLOYEE]]="","",MATCH(T_LEAVE[[#This Row],[LEAVE TYPE]],L_LEAVETYPES,0))</f>
        <v>6</v>
      </c>
      <c r="J400" t="str" cm="1">
        <f t="array" aca="1" ref="J400" ca="1">IFERROR(INDEX(T_LEAVE_TYPES[SYMBOL],T_LEAVE[[#This Row],[LEAVE TYPE SYS ID]]),"")</f>
        <v>PR</v>
      </c>
      <c r="K400">
        <f ca="1">IF(T_LEAVE[[#This Row],[EMPLOYEE]]="","",IF(T_LEAVE[[#This Row],[ERROR]]="",0,1))</f>
        <v>0</v>
      </c>
      <c r="L400" t="str" cm="1">
        <f t="array" aca="1" ref="L40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1" spans="1:12">
      <c r="A401" t="s">
        <v>1919</v>
      </c>
      <c r="B401" s="15" t="s">
        <v>2211</v>
      </c>
      <c r="C401" s="15" t="s">
        <v>2211</v>
      </c>
      <c r="D401" t="s">
        <v>92</v>
      </c>
      <c r="E401">
        <v>1</v>
      </c>
      <c r="F401" s="1"/>
      <c r="G401" s="1"/>
      <c r="H401">
        <f ca="1">IF(T_LEAVE[[#This Row],[EMPLOYEE]]="","",MATCH(T_LEAVE[[#This Row],[EMPLOYEE]],L_EMPLABELS,0))</f>
        <v>99</v>
      </c>
      <c r="I401">
        <f ca="1">IF(T_LEAVE[[#This Row],[EMPLOYEE]]="","",MATCH(T_LEAVE[[#This Row],[LEAVE TYPE]],L_LEAVETYPES,0))</f>
        <v>6</v>
      </c>
      <c r="J401" t="str" cm="1">
        <f t="array" aca="1" ref="J401" ca="1">IFERROR(INDEX(T_LEAVE_TYPES[SYMBOL],T_LEAVE[[#This Row],[LEAVE TYPE SYS ID]]),"")</f>
        <v>PR</v>
      </c>
      <c r="K401">
        <f ca="1">IF(T_LEAVE[[#This Row],[EMPLOYEE]]="","",IF(T_LEAVE[[#This Row],[ERROR]]="",0,1))</f>
        <v>0</v>
      </c>
      <c r="L401" t="str" cm="1">
        <f t="array" aca="1" ref="L40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2" spans="1:12">
      <c r="A402" t="s">
        <v>1919</v>
      </c>
      <c r="B402" s="15" t="s">
        <v>2201</v>
      </c>
      <c r="C402" s="15" t="s">
        <v>2201</v>
      </c>
      <c r="D402" t="s">
        <v>92</v>
      </c>
      <c r="E402">
        <v>1</v>
      </c>
      <c r="F402" s="1"/>
      <c r="G402" s="1"/>
      <c r="H402">
        <f ca="1">IF(T_LEAVE[[#This Row],[EMPLOYEE]]="","",MATCH(T_LEAVE[[#This Row],[EMPLOYEE]],L_EMPLABELS,0))</f>
        <v>99</v>
      </c>
      <c r="I402">
        <f ca="1">IF(T_LEAVE[[#This Row],[EMPLOYEE]]="","",MATCH(T_LEAVE[[#This Row],[LEAVE TYPE]],L_LEAVETYPES,0))</f>
        <v>6</v>
      </c>
      <c r="J402" t="str" cm="1">
        <f t="array" aca="1" ref="J402" ca="1">IFERROR(INDEX(T_LEAVE_TYPES[SYMBOL],T_LEAVE[[#This Row],[LEAVE TYPE SYS ID]]),"")</f>
        <v>PR</v>
      </c>
      <c r="K402">
        <f ca="1">IF(T_LEAVE[[#This Row],[EMPLOYEE]]="","",IF(T_LEAVE[[#This Row],[ERROR]]="",0,1))</f>
        <v>0</v>
      </c>
      <c r="L402" t="str" cm="1">
        <f t="array" aca="1" ref="L40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3" spans="1:12">
      <c r="A403" t="s">
        <v>2234</v>
      </c>
      <c r="B403" s="15" t="s">
        <v>2235</v>
      </c>
      <c r="C403" s="15" t="s">
        <v>2236</v>
      </c>
      <c r="D403" t="s">
        <v>92</v>
      </c>
      <c r="E403">
        <v>4</v>
      </c>
      <c r="F403" s="1"/>
      <c r="G403" s="1"/>
      <c r="H403">
        <f ca="1">IF(T_LEAVE[[#This Row],[EMPLOYEE]]="","",MATCH(T_LEAVE[[#This Row],[EMPLOYEE]],L_EMPLABELS,0))</f>
        <v>523</v>
      </c>
      <c r="I403">
        <f ca="1">IF(T_LEAVE[[#This Row],[EMPLOYEE]]="","",MATCH(T_LEAVE[[#This Row],[LEAVE TYPE]],L_LEAVETYPES,0))</f>
        <v>6</v>
      </c>
      <c r="J403" t="str" cm="1">
        <f t="array" aca="1" ref="J403" ca="1">IFERROR(INDEX(T_LEAVE_TYPES[SYMBOL],T_LEAVE[[#This Row],[LEAVE TYPE SYS ID]]),"")</f>
        <v>PR</v>
      </c>
      <c r="K403">
        <f ca="1">IF(T_LEAVE[[#This Row],[EMPLOYEE]]="","",IF(T_LEAVE[[#This Row],[ERROR]]="",0,1))</f>
        <v>0</v>
      </c>
      <c r="L403" t="str" cm="1">
        <f t="array" aca="1" ref="L40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4" spans="1:12">
      <c r="A404" t="s">
        <v>2234</v>
      </c>
      <c r="B404" s="15" t="s">
        <v>1996</v>
      </c>
      <c r="C404" s="15" t="s">
        <v>1960</v>
      </c>
      <c r="D404" t="s">
        <v>98</v>
      </c>
      <c r="E404">
        <v>2</v>
      </c>
      <c r="F404" s="1"/>
      <c r="G404" s="1"/>
      <c r="H404">
        <f ca="1">IF(T_LEAVE[[#This Row],[EMPLOYEE]]="","",MATCH(T_LEAVE[[#This Row],[EMPLOYEE]],L_EMPLABELS,0))</f>
        <v>523</v>
      </c>
      <c r="I404">
        <f ca="1">IF(T_LEAVE[[#This Row],[EMPLOYEE]]="","",MATCH(T_LEAVE[[#This Row],[LEAVE TYPE]],L_LEAVETYPES,0))</f>
        <v>7</v>
      </c>
      <c r="J404" t="str" cm="1">
        <f t="array" aca="1" ref="J404" ca="1">IFERROR(INDEX(T_LEAVE_TYPES[SYMBOL],T_LEAVE[[#This Row],[LEAVE TYPE SYS ID]]),"")</f>
        <v>C</v>
      </c>
      <c r="K404">
        <f ca="1">IF(T_LEAVE[[#This Row],[EMPLOYEE]]="","",IF(T_LEAVE[[#This Row],[ERROR]]="",0,1))</f>
        <v>0</v>
      </c>
      <c r="L404" t="str" cm="1">
        <f t="array" aca="1" ref="L40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5" spans="1:12">
      <c r="A405" t="s">
        <v>2234</v>
      </c>
      <c r="B405" s="15" t="s">
        <v>2025</v>
      </c>
      <c r="C405" s="15" t="s">
        <v>2025</v>
      </c>
      <c r="D405" t="s">
        <v>98</v>
      </c>
      <c r="E405">
        <v>1</v>
      </c>
      <c r="F405" s="1"/>
      <c r="G405" s="1"/>
      <c r="H405">
        <f ca="1">IF(T_LEAVE[[#This Row],[EMPLOYEE]]="","",MATCH(T_LEAVE[[#This Row],[EMPLOYEE]],L_EMPLABELS,0))</f>
        <v>523</v>
      </c>
      <c r="I405">
        <f ca="1">IF(T_LEAVE[[#This Row],[EMPLOYEE]]="","",MATCH(T_LEAVE[[#This Row],[LEAVE TYPE]],L_LEAVETYPES,0))</f>
        <v>7</v>
      </c>
      <c r="J405" t="str" cm="1">
        <f t="array" aca="1" ref="J405" ca="1">IFERROR(INDEX(T_LEAVE_TYPES[SYMBOL],T_LEAVE[[#This Row],[LEAVE TYPE SYS ID]]),"")</f>
        <v>C</v>
      </c>
      <c r="K405">
        <f ca="1">IF(T_LEAVE[[#This Row],[EMPLOYEE]]="","",IF(T_LEAVE[[#This Row],[ERROR]]="",0,1))</f>
        <v>0</v>
      </c>
      <c r="L405" t="str" cm="1">
        <f t="array" aca="1" ref="L40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6" spans="1:12">
      <c r="A406" t="s">
        <v>2234</v>
      </c>
      <c r="B406" s="15" t="s">
        <v>2237</v>
      </c>
      <c r="C406" s="15" t="s">
        <v>1952</v>
      </c>
      <c r="D406" t="s">
        <v>92</v>
      </c>
      <c r="E406">
        <v>3</v>
      </c>
      <c r="F406" s="1"/>
      <c r="G406" s="1"/>
      <c r="H406">
        <f ca="1">IF(T_LEAVE[[#This Row],[EMPLOYEE]]="","",MATCH(T_LEAVE[[#This Row],[EMPLOYEE]],L_EMPLABELS,0))</f>
        <v>523</v>
      </c>
      <c r="I406">
        <f ca="1">IF(T_LEAVE[[#This Row],[EMPLOYEE]]="","",MATCH(T_LEAVE[[#This Row],[LEAVE TYPE]],L_LEAVETYPES,0))</f>
        <v>6</v>
      </c>
      <c r="J406" t="str" cm="1">
        <f t="array" aca="1" ref="J406" ca="1">IFERROR(INDEX(T_LEAVE_TYPES[SYMBOL],T_LEAVE[[#This Row],[LEAVE TYPE SYS ID]]),"")</f>
        <v>PR</v>
      </c>
      <c r="K406">
        <f ca="1">IF(T_LEAVE[[#This Row],[EMPLOYEE]]="","",IF(T_LEAVE[[#This Row],[ERROR]]="",0,1))</f>
        <v>0</v>
      </c>
      <c r="L406" t="str" cm="1">
        <f t="array" aca="1" ref="L40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7" spans="1:12">
      <c r="A407" t="s">
        <v>2234</v>
      </c>
      <c r="B407" s="15" t="s">
        <v>2043</v>
      </c>
      <c r="C407" s="15" t="s">
        <v>2043</v>
      </c>
      <c r="D407" t="s">
        <v>98</v>
      </c>
      <c r="E407">
        <v>1</v>
      </c>
      <c r="F407" s="1"/>
      <c r="G407" s="1"/>
      <c r="H407">
        <f ca="1">IF(T_LEAVE[[#This Row],[EMPLOYEE]]="","",MATCH(T_LEAVE[[#This Row],[EMPLOYEE]],L_EMPLABELS,0))</f>
        <v>523</v>
      </c>
      <c r="I407">
        <f ca="1">IF(T_LEAVE[[#This Row],[EMPLOYEE]]="","",MATCH(T_LEAVE[[#This Row],[LEAVE TYPE]],L_LEAVETYPES,0))</f>
        <v>7</v>
      </c>
      <c r="J407" t="str" cm="1">
        <f t="array" aca="1" ref="J407" ca="1">IFERROR(INDEX(T_LEAVE_TYPES[SYMBOL],T_LEAVE[[#This Row],[LEAVE TYPE SYS ID]]),"")</f>
        <v>C</v>
      </c>
      <c r="K407">
        <f ca="1">IF(T_LEAVE[[#This Row],[EMPLOYEE]]="","",IF(T_LEAVE[[#This Row],[ERROR]]="",0,1))</f>
        <v>0</v>
      </c>
      <c r="L407" t="str" cm="1">
        <f t="array" aca="1" ref="L40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8" spans="1:12">
      <c r="A408" t="s">
        <v>2234</v>
      </c>
      <c r="B408" s="15" t="s">
        <v>2238</v>
      </c>
      <c r="C408" s="15" t="s">
        <v>2238</v>
      </c>
      <c r="D408" t="s">
        <v>98</v>
      </c>
      <c r="E408">
        <v>1</v>
      </c>
      <c r="F408" s="1"/>
      <c r="G408" s="1"/>
      <c r="H408">
        <f ca="1">IF(T_LEAVE[[#This Row],[EMPLOYEE]]="","",MATCH(T_LEAVE[[#This Row],[EMPLOYEE]],L_EMPLABELS,0))</f>
        <v>523</v>
      </c>
      <c r="I408">
        <f ca="1">IF(T_LEAVE[[#This Row],[EMPLOYEE]]="","",MATCH(T_LEAVE[[#This Row],[LEAVE TYPE]],L_LEAVETYPES,0))</f>
        <v>7</v>
      </c>
      <c r="J408" t="str" cm="1">
        <f t="array" aca="1" ref="J408" ca="1">IFERROR(INDEX(T_LEAVE_TYPES[SYMBOL],T_LEAVE[[#This Row],[LEAVE TYPE SYS ID]]),"")</f>
        <v>C</v>
      </c>
      <c r="K408">
        <f ca="1">IF(T_LEAVE[[#This Row],[EMPLOYEE]]="","",IF(T_LEAVE[[#This Row],[ERROR]]="",0,1))</f>
        <v>0</v>
      </c>
      <c r="L408" t="str" cm="1">
        <f t="array" aca="1" ref="L40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9" spans="1:12">
      <c r="A409" t="s">
        <v>2027</v>
      </c>
      <c r="B409" s="15" t="s">
        <v>2239</v>
      </c>
      <c r="C409" s="15" t="s">
        <v>2240</v>
      </c>
      <c r="D409" t="s">
        <v>98</v>
      </c>
      <c r="E409">
        <v>3</v>
      </c>
      <c r="F409" s="1"/>
      <c r="G409" s="1"/>
      <c r="H409">
        <f ca="1">IF(T_LEAVE[[#This Row],[EMPLOYEE]]="","",MATCH(T_LEAVE[[#This Row],[EMPLOYEE]],L_EMPLABELS,0))</f>
        <v>101</v>
      </c>
      <c r="I409">
        <f ca="1">IF(T_LEAVE[[#This Row],[EMPLOYEE]]="","",MATCH(T_LEAVE[[#This Row],[LEAVE TYPE]],L_LEAVETYPES,0))</f>
        <v>7</v>
      </c>
      <c r="J409" t="str" cm="1">
        <f t="array" aca="1" ref="J409" ca="1">IFERROR(INDEX(T_LEAVE_TYPES[SYMBOL],T_LEAVE[[#This Row],[LEAVE TYPE SYS ID]]),"")</f>
        <v>C</v>
      </c>
      <c r="K409">
        <f ca="1">IF(T_LEAVE[[#This Row],[EMPLOYEE]]="","",IF(T_LEAVE[[#This Row],[ERROR]]="",0,1))</f>
        <v>0</v>
      </c>
      <c r="L409" t="str" cm="1">
        <f t="array" aca="1" ref="L40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0" spans="1:12">
      <c r="A410" t="s">
        <v>2234</v>
      </c>
      <c r="B410" s="15" t="s">
        <v>2047</v>
      </c>
      <c r="C410" s="15" t="s">
        <v>2047</v>
      </c>
      <c r="D410" t="s">
        <v>92</v>
      </c>
      <c r="E410">
        <v>1</v>
      </c>
      <c r="F410" s="1"/>
      <c r="G410" s="1"/>
      <c r="H410">
        <f ca="1">IF(T_LEAVE[[#This Row],[EMPLOYEE]]="","",MATCH(T_LEAVE[[#This Row],[EMPLOYEE]],L_EMPLABELS,0))</f>
        <v>523</v>
      </c>
      <c r="I410">
        <f ca="1">IF(T_LEAVE[[#This Row],[EMPLOYEE]]="","",MATCH(T_LEAVE[[#This Row],[LEAVE TYPE]],L_LEAVETYPES,0))</f>
        <v>6</v>
      </c>
      <c r="J410" t="str" cm="1">
        <f t="array" aca="1" ref="J410" ca="1">IFERROR(INDEX(T_LEAVE_TYPES[SYMBOL],T_LEAVE[[#This Row],[LEAVE TYPE SYS ID]]),"")</f>
        <v>PR</v>
      </c>
      <c r="K410">
        <f ca="1">IF(T_LEAVE[[#This Row],[EMPLOYEE]]="","",IF(T_LEAVE[[#This Row],[ERROR]]="",0,1))</f>
        <v>0</v>
      </c>
      <c r="L410" t="str" cm="1">
        <f t="array" aca="1" ref="L41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1" spans="1:12">
      <c r="A411" t="s">
        <v>2234</v>
      </c>
      <c r="B411" s="15" t="s">
        <v>2241</v>
      </c>
      <c r="C411" s="15" t="s">
        <v>2241</v>
      </c>
      <c r="D411" t="s">
        <v>92</v>
      </c>
      <c r="E411">
        <v>1</v>
      </c>
      <c r="F411" s="1"/>
      <c r="G411" s="1"/>
      <c r="H411">
        <f ca="1">IF(T_LEAVE[[#This Row],[EMPLOYEE]]="","",MATCH(T_LEAVE[[#This Row],[EMPLOYEE]],L_EMPLABELS,0))</f>
        <v>523</v>
      </c>
      <c r="I411">
        <f ca="1">IF(T_LEAVE[[#This Row],[EMPLOYEE]]="","",MATCH(T_LEAVE[[#This Row],[LEAVE TYPE]],L_LEAVETYPES,0))</f>
        <v>6</v>
      </c>
      <c r="J411" t="str" cm="1">
        <f t="array" aca="1" ref="J411" ca="1">IFERROR(INDEX(T_LEAVE_TYPES[SYMBOL],T_LEAVE[[#This Row],[LEAVE TYPE SYS ID]]),"")</f>
        <v>PR</v>
      </c>
      <c r="K411">
        <f ca="1">IF(T_LEAVE[[#This Row],[EMPLOYEE]]="","",IF(T_LEAVE[[#This Row],[ERROR]]="",0,1))</f>
        <v>0</v>
      </c>
      <c r="L411" t="str" cm="1">
        <f t="array" aca="1" ref="L41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2" spans="1:12">
      <c r="A412" t="s">
        <v>2234</v>
      </c>
      <c r="B412" s="15" t="s">
        <v>2129</v>
      </c>
      <c r="C412" s="15" t="s">
        <v>2129</v>
      </c>
      <c r="D412" t="s">
        <v>92</v>
      </c>
      <c r="E412">
        <v>1</v>
      </c>
      <c r="F412" s="1"/>
      <c r="G412" s="1"/>
      <c r="H412">
        <f ca="1">IF(T_LEAVE[[#This Row],[EMPLOYEE]]="","",MATCH(T_LEAVE[[#This Row],[EMPLOYEE]],L_EMPLABELS,0))</f>
        <v>523</v>
      </c>
      <c r="I412">
        <f ca="1">IF(T_LEAVE[[#This Row],[EMPLOYEE]]="","",MATCH(T_LEAVE[[#This Row],[LEAVE TYPE]],L_LEAVETYPES,0))</f>
        <v>6</v>
      </c>
      <c r="J412" t="str" cm="1">
        <f t="array" aca="1" ref="J412" ca="1">IFERROR(INDEX(T_LEAVE_TYPES[SYMBOL],T_LEAVE[[#This Row],[LEAVE TYPE SYS ID]]),"")</f>
        <v>PR</v>
      </c>
      <c r="K412">
        <f ca="1">IF(T_LEAVE[[#This Row],[EMPLOYEE]]="","",IF(T_LEAVE[[#This Row],[ERROR]]="",0,1))</f>
        <v>0</v>
      </c>
      <c r="L412" t="str" cm="1">
        <f t="array" aca="1" ref="L41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3" spans="1:12">
      <c r="A413" t="s">
        <v>2234</v>
      </c>
      <c r="B413" s="15" t="s">
        <v>2242</v>
      </c>
      <c r="C413" s="15" t="s">
        <v>2242</v>
      </c>
      <c r="D413" t="s">
        <v>98</v>
      </c>
      <c r="E413">
        <v>1</v>
      </c>
      <c r="F413" s="1"/>
      <c r="G413" s="1"/>
      <c r="H413">
        <f ca="1">IF(T_LEAVE[[#This Row],[EMPLOYEE]]="","",MATCH(T_LEAVE[[#This Row],[EMPLOYEE]],L_EMPLABELS,0))</f>
        <v>523</v>
      </c>
      <c r="I413">
        <f ca="1">IF(T_LEAVE[[#This Row],[EMPLOYEE]]="","",MATCH(T_LEAVE[[#This Row],[LEAVE TYPE]],L_LEAVETYPES,0))</f>
        <v>7</v>
      </c>
      <c r="J413" t="str" cm="1">
        <f t="array" aca="1" ref="J413" ca="1">IFERROR(INDEX(T_LEAVE_TYPES[SYMBOL],T_LEAVE[[#This Row],[LEAVE TYPE SYS ID]]),"")</f>
        <v>C</v>
      </c>
      <c r="K413">
        <f ca="1">IF(T_LEAVE[[#This Row],[EMPLOYEE]]="","",IF(T_LEAVE[[#This Row],[ERROR]]="",0,1))</f>
        <v>0</v>
      </c>
      <c r="L413" t="str" cm="1">
        <f t="array" aca="1" ref="L41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4" spans="1:12">
      <c r="A414" t="s">
        <v>2243</v>
      </c>
      <c r="B414" s="15" t="s">
        <v>1951</v>
      </c>
      <c r="C414" s="15" t="s">
        <v>2244</v>
      </c>
      <c r="D414" t="s">
        <v>103</v>
      </c>
      <c r="E414">
        <v>12</v>
      </c>
      <c r="F414" s="1"/>
      <c r="G414" s="1"/>
      <c r="H414">
        <f ca="1">IF(T_LEAVE[[#This Row],[EMPLOYEE]]="","",MATCH(T_LEAVE[[#This Row],[EMPLOYEE]],L_EMPLABELS,0))</f>
        <v>170</v>
      </c>
      <c r="I414">
        <f ca="1">IF(T_LEAVE[[#This Row],[EMPLOYEE]]="","",MATCH(T_LEAVE[[#This Row],[LEAVE TYPE]],L_LEAVETYPES,0))</f>
        <v>8</v>
      </c>
      <c r="J414" t="str" cm="1">
        <f t="array" aca="1" ref="J414" ca="1">IFERROR(INDEX(T_LEAVE_TYPES[SYMBOL],T_LEAVE[[#This Row],[LEAVE TYPE SYS ID]]),"")</f>
        <v>LOP</v>
      </c>
      <c r="K414">
        <f ca="1">IF(T_LEAVE[[#This Row],[EMPLOYEE]]="","",IF(T_LEAVE[[#This Row],[ERROR]]="",0,1))</f>
        <v>0</v>
      </c>
      <c r="L414" t="str" cm="1">
        <f t="array" aca="1" ref="L41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5" spans="1:12">
      <c r="A415" t="s">
        <v>2243</v>
      </c>
      <c r="B415" s="15" t="s">
        <v>1934</v>
      </c>
      <c r="C415" s="15" t="s">
        <v>1934</v>
      </c>
      <c r="D415" t="s">
        <v>103</v>
      </c>
      <c r="E415">
        <v>1</v>
      </c>
      <c r="F415" s="1"/>
      <c r="G415" s="1"/>
      <c r="H415">
        <f ca="1">IF(T_LEAVE[[#This Row],[EMPLOYEE]]="","",MATCH(T_LEAVE[[#This Row],[EMPLOYEE]],L_EMPLABELS,0))</f>
        <v>170</v>
      </c>
      <c r="I415">
        <f ca="1">IF(T_LEAVE[[#This Row],[EMPLOYEE]]="","",MATCH(T_LEAVE[[#This Row],[LEAVE TYPE]],L_LEAVETYPES,0))</f>
        <v>8</v>
      </c>
      <c r="J415" t="str" cm="1">
        <f t="array" aca="1" ref="J415" ca="1">IFERROR(INDEX(T_LEAVE_TYPES[SYMBOL],T_LEAVE[[#This Row],[LEAVE TYPE SYS ID]]),"")</f>
        <v>LOP</v>
      </c>
      <c r="K415">
        <f ca="1">IF(T_LEAVE[[#This Row],[EMPLOYEE]]="","",IF(T_LEAVE[[#This Row],[ERROR]]="",0,1))</f>
        <v>0</v>
      </c>
      <c r="L415" t="str" cm="1">
        <f t="array" aca="1" ref="L41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6" spans="1:12">
      <c r="A416" t="s">
        <v>2243</v>
      </c>
      <c r="B416" s="15" t="s">
        <v>1920</v>
      </c>
      <c r="C416" s="15" t="s">
        <v>1920</v>
      </c>
      <c r="D416" t="s">
        <v>103</v>
      </c>
      <c r="E416">
        <v>1</v>
      </c>
      <c r="F416" s="1"/>
      <c r="G416" s="1"/>
      <c r="H416">
        <f ca="1">IF(T_LEAVE[[#This Row],[EMPLOYEE]]="","",MATCH(T_LEAVE[[#This Row],[EMPLOYEE]],L_EMPLABELS,0))</f>
        <v>170</v>
      </c>
      <c r="I416">
        <f ca="1">IF(T_LEAVE[[#This Row],[EMPLOYEE]]="","",MATCH(T_LEAVE[[#This Row],[LEAVE TYPE]],L_LEAVETYPES,0))</f>
        <v>8</v>
      </c>
      <c r="J416" t="str" cm="1">
        <f t="array" aca="1" ref="J416" ca="1">IFERROR(INDEX(T_LEAVE_TYPES[SYMBOL],T_LEAVE[[#This Row],[LEAVE TYPE SYS ID]]),"")</f>
        <v>LOP</v>
      </c>
      <c r="K416">
        <f ca="1">IF(T_LEAVE[[#This Row],[EMPLOYEE]]="","",IF(T_LEAVE[[#This Row],[ERROR]]="",0,1))</f>
        <v>0</v>
      </c>
      <c r="L416" t="str" cm="1">
        <f t="array" aca="1" ref="L41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7" spans="1:12">
      <c r="A417" t="s">
        <v>2027</v>
      </c>
      <c r="B417" s="28" t="s">
        <v>2002</v>
      </c>
      <c r="C417" s="15" t="s">
        <v>2034</v>
      </c>
      <c r="D417" t="s">
        <v>92</v>
      </c>
      <c r="E417">
        <v>2</v>
      </c>
      <c r="F417" s="1"/>
      <c r="G417" s="1"/>
      <c r="H417">
        <f ca="1">IF(T_LEAVE[[#This Row],[EMPLOYEE]]="","",MATCH(T_LEAVE[[#This Row],[EMPLOYEE]],L_EMPLABELS,0))</f>
        <v>101</v>
      </c>
      <c r="I417">
        <f ca="1">IF(T_LEAVE[[#This Row],[EMPLOYEE]]="","",MATCH(T_LEAVE[[#This Row],[LEAVE TYPE]],L_LEAVETYPES,0))</f>
        <v>6</v>
      </c>
      <c r="J417" t="str" cm="1">
        <f t="array" aca="1" ref="J417" ca="1">IFERROR(INDEX(T_LEAVE_TYPES[SYMBOL],T_LEAVE[[#This Row],[LEAVE TYPE SYS ID]]),"")</f>
        <v>PR</v>
      </c>
      <c r="K417">
        <f ca="1">IF(T_LEAVE[[#This Row],[EMPLOYEE]]="","",IF(T_LEAVE[[#This Row],[ERROR]]="",0,1))</f>
        <v>0</v>
      </c>
      <c r="L417" t="str" cm="1">
        <f t="array" aca="1" ref="L41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8" spans="1:12">
      <c r="A418" t="s">
        <v>2027</v>
      </c>
      <c r="B418" s="15" t="s">
        <v>2245</v>
      </c>
      <c r="C418" s="15" t="s">
        <v>2245</v>
      </c>
      <c r="D418" t="s">
        <v>98</v>
      </c>
      <c r="E418">
        <v>1</v>
      </c>
      <c r="F418" s="1"/>
      <c r="G418" s="1"/>
      <c r="H418">
        <f ca="1">IF(T_LEAVE[[#This Row],[EMPLOYEE]]="","",MATCH(T_LEAVE[[#This Row],[EMPLOYEE]],L_EMPLABELS,0))</f>
        <v>101</v>
      </c>
      <c r="I418">
        <f ca="1">IF(T_LEAVE[[#This Row],[EMPLOYEE]]="","",MATCH(T_LEAVE[[#This Row],[LEAVE TYPE]],L_LEAVETYPES,0))</f>
        <v>7</v>
      </c>
      <c r="J418" t="str" cm="1">
        <f t="array" aca="1" ref="J418" ca="1">IFERROR(INDEX(T_LEAVE_TYPES[SYMBOL],T_LEAVE[[#This Row],[LEAVE TYPE SYS ID]]),"")</f>
        <v>C</v>
      </c>
      <c r="K418">
        <f ca="1">IF(T_LEAVE[[#This Row],[EMPLOYEE]]="","",IF(T_LEAVE[[#This Row],[ERROR]]="",0,1))</f>
        <v>0</v>
      </c>
      <c r="L418" t="str" cm="1">
        <f t="array" aca="1" ref="L41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9" spans="1:12">
      <c r="A419" t="s">
        <v>2243</v>
      </c>
      <c r="B419" s="15" t="s">
        <v>1959</v>
      </c>
      <c r="C419" s="15" t="s">
        <v>1959</v>
      </c>
      <c r="D419" t="s">
        <v>103</v>
      </c>
      <c r="E419">
        <v>1</v>
      </c>
      <c r="F419" s="1"/>
      <c r="G419" s="1"/>
      <c r="H419">
        <f ca="1">IF(T_LEAVE[[#This Row],[EMPLOYEE]]="","",MATCH(T_LEAVE[[#This Row],[EMPLOYEE]],L_EMPLABELS,0))</f>
        <v>170</v>
      </c>
      <c r="I419">
        <f ca="1">IF(T_LEAVE[[#This Row],[EMPLOYEE]]="","",MATCH(T_LEAVE[[#This Row],[LEAVE TYPE]],L_LEAVETYPES,0))</f>
        <v>8</v>
      </c>
      <c r="J419" t="str" cm="1">
        <f t="array" aca="1" ref="J419" ca="1">IFERROR(INDEX(T_LEAVE_TYPES[SYMBOL],T_LEAVE[[#This Row],[LEAVE TYPE SYS ID]]),"")</f>
        <v>LOP</v>
      </c>
      <c r="K419">
        <f ca="1">IF(T_LEAVE[[#This Row],[EMPLOYEE]]="","",IF(T_LEAVE[[#This Row],[ERROR]]="",0,1))</f>
        <v>0</v>
      </c>
      <c r="L419" t="str" cm="1">
        <f t="array" aca="1" ref="L41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0" spans="1:12">
      <c r="A420" t="s">
        <v>2243</v>
      </c>
      <c r="B420" s="15" t="s">
        <v>1958</v>
      </c>
      <c r="C420" s="15" t="s">
        <v>1958</v>
      </c>
      <c r="D420" t="s">
        <v>103</v>
      </c>
      <c r="E420">
        <v>1</v>
      </c>
      <c r="F420" s="1"/>
      <c r="G420" s="1"/>
      <c r="H420">
        <f ca="1">IF(T_LEAVE[[#This Row],[EMPLOYEE]]="","",MATCH(T_LEAVE[[#This Row],[EMPLOYEE]],L_EMPLABELS,0))</f>
        <v>170</v>
      </c>
      <c r="I420">
        <f ca="1">IF(T_LEAVE[[#This Row],[EMPLOYEE]]="","",MATCH(T_LEAVE[[#This Row],[LEAVE TYPE]],L_LEAVETYPES,0))</f>
        <v>8</v>
      </c>
      <c r="J420" t="str" cm="1">
        <f t="array" aca="1" ref="J420" ca="1">IFERROR(INDEX(T_LEAVE_TYPES[SYMBOL],T_LEAVE[[#This Row],[LEAVE TYPE SYS ID]]),"")</f>
        <v>LOP</v>
      </c>
      <c r="K420">
        <f ca="1">IF(T_LEAVE[[#This Row],[EMPLOYEE]]="","",IF(T_LEAVE[[#This Row],[ERROR]]="",0,1))</f>
        <v>0</v>
      </c>
      <c r="L420" t="str" cm="1">
        <f t="array" aca="1" ref="L42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1" spans="1:12">
      <c r="A421" t="s">
        <v>1919</v>
      </c>
      <c r="B421" s="15" t="s">
        <v>2246</v>
      </c>
      <c r="C421" s="15" t="s">
        <v>2246</v>
      </c>
      <c r="D421" t="s">
        <v>92</v>
      </c>
      <c r="E421">
        <v>1</v>
      </c>
      <c r="F421" s="1"/>
      <c r="G421" s="1"/>
      <c r="H421">
        <f ca="1">IF(T_LEAVE[[#This Row],[EMPLOYEE]]="","",MATCH(T_LEAVE[[#This Row],[EMPLOYEE]],L_EMPLABELS,0))</f>
        <v>99</v>
      </c>
      <c r="I421">
        <f ca="1">IF(T_LEAVE[[#This Row],[EMPLOYEE]]="","",MATCH(T_LEAVE[[#This Row],[LEAVE TYPE]],L_LEAVETYPES,0))</f>
        <v>6</v>
      </c>
      <c r="J421" t="str" cm="1">
        <f t="array" aca="1" ref="J421" ca="1">IFERROR(INDEX(T_LEAVE_TYPES[SYMBOL],T_LEAVE[[#This Row],[LEAVE TYPE SYS ID]]),"")</f>
        <v>PR</v>
      </c>
      <c r="K421">
        <f ca="1">IF(T_LEAVE[[#This Row],[EMPLOYEE]]="","",IF(T_LEAVE[[#This Row],[ERROR]]="",0,1))</f>
        <v>0</v>
      </c>
      <c r="L421" t="str" cm="1">
        <f t="array" aca="1" ref="L42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2" spans="1:12">
      <c r="A422" t="s">
        <v>1919</v>
      </c>
      <c r="B422" s="15" t="s">
        <v>2247</v>
      </c>
      <c r="C422" s="15" t="s">
        <v>2247</v>
      </c>
      <c r="D422" t="s">
        <v>92</v>
      </c>
      <c r="E422">
        <v>1</v>
      </c>
      <c r="F422" s="1"/>
      <c r="G422" s="1"/>
      <c r="H422">
        <f ca="1">IF(T_LEAVE[[#This Row],[EMPLOYEE]]="","",MATCH(T_LEAVE[[#This Row],[EMPLOYEE]],L_EMPLABELS,0))</f>
        <v>99</v>
      </c>
      <c r="I422">
        <f ca="1">IF(T_LEAVE[[#This Row],[EMPLOYEE]]="","",MATCH(T_LEAVE[[#This Row],[LEAVE TYPE]],L_LEAVETYPES,0))</f>
        <v>6</v>
      </c>
      <c r="J422" t="str" cm="1">
        <f t="array" aca="1" ref="J422" ca="1">IFERROR(INDEX(T_LEAVE_TYPES[SYMBOL],T_LEAVE[[#This Row],[LEAVE TYPE SYS ID]]),"")</f>
        <v>PR</v>
      </c>
      <c r="K422">
        <f ca="1">IF(T_LEAVE[[#This Row],[EMPLOYEE]]="","",IF(T_LEAVE[[#This Row],[ERROR]]="",0,1))</f>
        <v>0</v>
      </c>
      <c r="L422" t="str" cm="1">
        <f t="array" aca="1" ref="L42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3" spans="1:12">
      <c r="A423" t="s">
        <v>1919</v>
      </c>
      <c r="B423" s="15" t="s">
        <v>2248</v>
      </c>
      <c r="C423" s="15" t="s">
        <v>2249</v>
      </c>
      <c r="D423" t="s">
        <v>92</v>
      </c>
      <c r="E423">
        <v>2</v>
      </c>
      <c r="F423" s="1"/>
      <c r="G423" s="1"/>
      <c r="H423">
        <f ca="1">IF(T_LEAVE[[#This Row],[EMPLOYEE]]="","",MATCH(T_LEAVE[[#This Row],[EMPLOYEE]],L_EMPLABELS,0))</f>
        <v>99</v>
      </c>
      <c r="I423">
        <f ca="1">IF(T_LEAVE[[#This Row],[EMPLOYEE]]="","",MATCH(T_LEAVE[[#This Row],[LEAVE TYPE]],L_LEAVETYPES,0))</f>
        <v>6</v>
      </c>
      <c r="J423" t="str" cm="1">
        <f t="array" aca="1" ref="J423" ca="1">IFERROR(INDEX(T_LEAVE_TYPES[SYMBOL],T_LEAVE[[#This Row],[LEAVE TYPE SYS ID]]),"")</f>
        <v>PR</v>
      </c>
      <c r="K423">
        <f ca="1">IF(T_LEAVE[[#This Row],[EMPLOYEE]]="","",IF(T_LEAVE[[#This Row],[ERROR]]="",0,1))</f>
        <v>0</v>
      </c>
      <c r="L423" t="str" cm="1">
        <f t="array" aca="1" ref="L42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4" spans="1:12">
      <c r="A424" t="s">
        <v>1919</v>
      </c>
      <c r="B424" s="15" t="s">
        <v>2250</v>
      </c>
      <c r="C424" s="15" t="s">
        <v>2251</v>
      </c>
      <c r="D424" t="s">
        <v>98</v>
      </c>
      <c r="E424">
        <v>4</v>
      </c>
      <c r="F424" s="1"/>
      <c r="G424" s="1"/>
      <c r="H424">
        <f ca="1">IF(T_LEAVE[[#This Row],[EMPLOYEE]]="","",MATCH(T_LEAVE[[#This Row],[EMPLOYEE]],L_EMPLABELS,0))</f>
        <v>99</v>
      </c>
      <c r="I424">
        <f ca="1">IF(T_LEAVE[[#This Row],[EMPLOYEE]]="","",MATCH(T_LEAVE[[#This Row],[LEAVE TYPE]],L_LEAVETYPES,0))</f>
        <v>7</v>
      </c>
      <c r="J424" t="str" cm="1">
        <f t="array" aca="1" ref="J424" ca="1">IFERROR(INDEX(T_LEAVE_TYPES[SYMBOL],T_LEAVE[[#This Row],[LEAVE TYPE SYS ID]]),"")</f>
        <v>C</v>
      </c>
      <c r="K424">
        <f ca="1">IF(T_LEAVE[[#This Row],[EMPLOYEE]]="","",IF(T_LEAVE[[#This Row],[ERROR]]="",0,1))</f>
        <v>0</v>
      </c>
      <c r="L424" t="str" cm="1">
        <f t="array" aca="1" ref="L42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5" spans="1:12">
      <c r="A425" t="s">
        <v>2243</v>
      </c>
      <c r="B425" s="15" t="s">
        <v>1921</v>
      </c>
      <c r="C425" s="15" t="s">
        <v>1921</v>
      </c>
      <c r="D425" t="s">
        <v>103</v>
      </c>
      <c r="E425">
        <v>1</v>
      </c>
      <c r="F425" s="1"/>
      <c r="G425" s="1"/>
      <c r="H425">
        <f ca="1">IF(T_LEAVE[[#This Row],[EMPLOYEE]]="","",MATCH(T_LEAVE[[#This Row],[EMPLOYEE]],L_EMPLABELS,0))</f>
        <v>170</v>
      </c>
      <c r="I425">
        <f ca="1">IF(T_LEAVE[[#This Row],[EMPLOYEE]]="","",MATCH(T_LEAVE[[#This Row],[LEAVE TYPE]],L_LEAVETYPES,0))</f>
        <v>8</v>
      </c>
      <c r="J425" t="str" cm="1">
        <f t="array" aca="1" ref="J425" ca="1">IFERROR(INDEX(T_LEAVE_TYPES[SYMBOL],T_LEAVE[[#This Row],[LEAVE TYPE SYS ID]]),"")</f>
        <v>LOP</v>
      </c>
      <c r="K425">
        <f ca="1">IF(T_LEAVE[[#This Row],[EMPLOYEE]]="","",IF(T_LEAVE[[#This Row],[ERROR]]="",0,1))</f>
        <v>0</v>
      </c>
      <c r="L425" t="str" cm="1">
        <f t="array" aca="1" ref="L42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6" spans="1:12">
      <c r="A426" t="s">
        <v>2243</v>
      </c>
      <c r="B426" s="15" t="s">
        <v>1946</v>
      </c>
      <c r="C426" s="15" t="s">
        <v>1946</v>
      </c>
      <c r="D426" t="s">
        <v>103</v>
      </c>
      <c r="E426">
        <v>1</v>
      </c>
      <c r="F426" s="1"/>
      <c r="G426" s="1"/>
      <c r="H426">
        <f ca="1">IF(T_LEAVE[[#This Row],[EMPLOYEE]]="","",MATCH(T_LEAVE[[#This Row],[EMPLOYEE]],L_EMPLABELS,0))</f>
        <v>170</v>
      </c>
      <c r="I426">
        <f ca="1">IF(T_LEAVE[[#This Row],[EMPLOYEE]]="","",MATCH(T_LEAVE[[#This Row],[LEAVE TYPE]],L_LEAVETYPES,0))</f>
        <v>8</v>
      </c>
      <c r="J426" t="str" cm="1">
        <f t="array" aca="1" ref="J426" ca="1">IFERROR(INDEX(T_LEAVE_TYPES[SYMBOL],T_LEAVE[[#This Row],[LEAVE TYPE SYS ID]]),"")</f>
        <v>LOP</v>
      </c>
      <c r="K426">
        <f ca="1">IF(T_LEAVE[[#This Row],[EMPLOYEE]]="","",IF(T_LEAVE[[#This Row],[ERROR]]="",0,1))</f>
        <v>0</v>
      </c>
      <c r="L426" t="str" cm="1">
        <f t="array" aca="1" ref="L42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7" spans="1:12">
      <c r="A427" t="s">
        <v>2243</v>
      </c>
      <c r="B427" s="15" t="s">
        <v>1983</v>
      </c>
      <c r="C427" s="15" t="s">
        <v>1983</v>
      </c>
      <c r="D427" t="s">
        <v>103</v>
      </c>
      <c r="E427">
        <v>1</v>
      </c>
      <c r="F427" s="1"/>
      <c r="G427" s="1"/>
      <c r="H427">
        <f ca="1">IF(T_LEAVE[[#This Row],[EMPLOYEE]]="","",MATCH(T_LEAVE[[#This Row],[EMPLOYEE]],L_EMPLABELS,0))</f>
        <v>170</v>
      </c>
      <c r="I427">
        <f ca="1">IF(T_LEAVE[[#This Row],[EMPLOYEE]]="","",MATCH(T_LEAVE[[#This Row],[LEAVE TYPE]],L_LEAVETYPES,0))</f>
        <v>8</v>
      </c>
      <c r="J427" t="str" cm="1">
        <f t="array" aca="1" ref="J427" ca="1">IFERROR(INDEX(T_LEAVE_TYPES[SYMBOL],T_LEAVE[[#This Row],[LEAVE TYPE SYS ID]]),"")</f>
        <v>LOP</v>
      </c>
      <c r="K427">
        <f ca="1">IF(T_LEAVE[[#This Row],[EMPLOYEE]]="","",IF(T_LEAVE[[#This Row],[ERROR]]="",0,1))</f>
        <v>0</v>
      </c>
      <c r="L427" t="str" cm="1">
        <f t="array" aca="1" ref="L42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8" spans="1:12">
      <c r="A428" t="s">
        <v>2243</v>
      </c>
      <c r="B428" s="15" t="s">
        <v>1914</v>
      </c>
      <c r="C428" s="15" t="s">
        <v>1914</v>
      </c>
      <c r="D428" t="s">
        <v>98</v>
      </c>
      <c r="E428">
        <v>1</v>
      </c>
      <c r="F428" s="1"/>
      <c r="G428" s="1"/>
      <c r="H428">
        <f ca="1">IF(T_LEAVE[[#This Row],[EMPLOYEE]]="","",MATCH(T_LEAVE[[#This Row],[EMPLOYEE]],L_EMPLABELS,0))</f>
        <v>170</v>
      </c>
      <c r="I428">
        <f ca="1">IF(T_LEAVE[[#This Row],[EMPLOYEE]]="","",MATCH(T_LEAVE[[#This Row],[LEAVE TYPE]],L_LEAVETYPES,0))</f>
        <v>7</v>
      </c>
      <c r="J428" t="str" cm="1">
        <f t="array" aca="1" ref="J428" ca="1">IFERROR(INDEX(T_LEAVE_TYPES[SYMBOL],T_LEAVE[[#This Row],[LEAVE TYPE SYS ID]]),"")</f>
        <v>C</v>
      </c>
      <c r="K428">
        <f ca="1">IF(T_LEAVE[[#This Row],[EMPLOYEE]]="","",IF(T_LEAVE[[#This Row],[ERROR]]="",0,1))</f>
        <v>0</v>
      </c>
      <c r="L428" t="str" cm="1">
        <f t="array" aca="1" ref="L42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9" spans="1:12">
      <c r="A429" t="s">
        <v>2252</v>
      </c>
      <c r="B429" s="15" t="s">
        <v>2002</v>
      </c>
      <c r="C429" s="15" t="s">
        <v>2002</v>
      </c>
      <c r="D429" t="s">
        <v>98</v>
      </c>
      <c r="E429">
        <v>1</v>
      </c>
      <c r="F429" s="1"/>
      <c r="G429" s="1"/>
      <c r="H429">
        <f ca="1">IF(T_LEAVE[[#This Row],[EMPLOYEE]]="","",MATCH(T_LEAVE[[#This Row],[EMPLOYEE]],L_EMPLABELS,0))</f>
        <v>386</v>
      </c>
      <c r="I429">
        <f ca="1">IF(T_LEAVE[[#This Row],[EMPLOYEE]]="","",MATCH(T_LEAVE[[#This Row],[LEAVE TYPE]],L_LEAVETYPES,0))</f>
        <v>7</v>
      </c>
      <c r="J429" t="str" cm="1">
        <f t="array" aca="1" ref="J429" ca="1">IFERROR(INDEX(T_LEAVE_TYPES[SYMBOL],T_LEAVE[[#This Row],[LEAVE TYPE SYS ID]]),"")</f>
        <v>C</v>
      </c>
      <c r="K429">
        <f ca="1">IF(T_LEAVE[[#This Row],[EMPLOYEE]]="","",IF(T_LEAVE[[#This Row],[ERROR]]="",0,1))</f>
        <v>0</v>
      </c>
      <c r="L429" t="str" cm="1">
        <f t="array" aca="1" ref="L42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0" spans="1:12">
      <c r="A430" t="s">
        <v>2252</v>
      </c>
      <c r="B430" s="15" t="s">
        <v>2253</v>
      </c>
      <c r="C430" s="15" t="s">
        <v>2253</v>
      </c>
      <c r="D430" t="s">
        <v>92</v>
      </c>
      <c r="E430">
        <v>1</v>
      </c>
      <c r="F430" s="1"/>
      <c r="G430" s="1"/>
      <c r="H430">
        <f ca="1">IF(T_LEAVE[[#This Row],[EMPLOYEE]]="","",MATCH(T_LEAVE[[#This Row],[EMPLOYEE]],L_EMPLABELS,0))</f>
        <v>386</v>
      </c>
      <c r="I430">
        <f ca="1">IF(T_LEAVE[[#This Row],[EMPLOYEE]]="","",MATCH(T_LEAVE[[#This Row],[LEAVE TYPE]],L_LEAVETYPES,0))</f>
        <v>6</v>
      </c>
      <c r="J430" t="str" cm="1">
        <f t="array" aca="1" ref="J430" ca="1">IFERROR(INDEX(T_LEAVE_TYPES[SYMBOL],T_LEAVE[[#This Row],[LEAVE TYPE SYS ID]]),"")</f>
        <v>PR</v>
      </c>
      <c r="K430">
        <f ca="1">IF(T_LEAVE[[#This Row],[EMPLOYEE]]="","",IF(T_LEAVE[[#This Row],[ERROR]]="",0,1))</f>
        <v>0</v>
      </c>
      <c r="L430" t="str" cm="1">
        <f t="array" aca="1" ref="L43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1" spans="1:12">
      <c r="A431" t="s">
        <v>2252</v>
      </c>
      <c r="B431" s="15" t="s">
        <v>2112</v>
      </c>
      <c r="C431" s="15" t="s">
        <v>2112</v>
      </c>
      <c r="D431" t="s">
        <v>98</v>
      </c>
      <c r="E431">
        <v>1</v>
      </c>
      <c r="F431" s="1"/>
      <c r="G431" s="1"/>
      <c r="H431">
        <f ca="1">IF(T_LEAVE[[#This Row],[EMPLOYEE]]="","",MATCH(T_LEAVE[[#This Row],[EMPLOYEE]],L_EMPLABELS,0))</f>
        <v>386</v>
      </c>
      <c r="I431">
        <f ca="1">IF(T_LEAVE[[#This Row],[EMPLOYEE]]="","",MATCH(T_LEAVE[[#This Row],[LEAVE TYPE]],L_LEAVETYPES,0))</f>
        <v>7</v>
      </c>
      <c r="J431" t="str" cm="1">
        <f t="array" aca="1" ref="J431" ca="1">IFERROR(INDEX(T_LEAVE_TYPES[SYMBOL],T_LEAVE[[#This Row],[LEAVE TYPE SYS ID]]),"")</f>
        <v>C</v>
      </c>
      <c r="K431">
        <f ca="1">IF(T_LEAVE[[#This Row],[EMPLOYEE]]="","",IF(T_LEAVE[[#This Row],[ERROR]]="",0,1))</f>
        <v>0</v>
      </c>
      <c r="L431" t="str" cm="1">
        <f t="array" aca="1" ref="L43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2" spans="1:12">
      <c r="A432" t="s">
        <v>2252</v>
      </c>
      <c r="B432" s="15" t="s">
        <v>2145</v>
      </c>
      <c r="C432" s="15" t="s">
        <v>2145</v>
      </c>
      <c r="D432" s="17" t="s">
        <v>84</v>
      </c>
      <c r="E432">
        <v>1</v>
      </c>
      <c r="F432" s="1"/>
      <c r="G432" s="1"/>
      <c r="H432">
        <f ca="1">IF(T_LEAVE[[#This Row],[EMPLOYEE]]="","",MATCH(T_LEAVE[[#This Row],[EMPLOYEE]],L_EMPLABELS,0))</f>
        <v>386</v>
      </c>
      <c r="I432">
        <f ca="1">IF(T_LEAVE[[#This Row],[EMPLOYEE]]="","",MATCH(T_LEAVE[[#This Row],[LEAVE TYPE]],L_LEAVETYPES,0))</f>
        <v>5</v>
      </c>
      <c r="J432" t="str" cm="1">
        <f t="array" aca="1" ref="J432" ca="1">IFERROR(INDEX(T_LEAVE_TYPES[SYMBOL],T_LEAVE[[#This Row],[LEAVE TYPE SYS ID]]),"")</f>
        <v>B</v>
      </c>
      <c r="K432">
        <f ca="1">IF(T_LEAVE[[#This Row],[EMPLOYEE]]="","",IF(T_LEAVE[[#This Row],[ERROR]]="",0,1))</f>
        <v>0</v>
      </c>
      <c r="L432" t="str" cm="1">
        <f t="array" aca="1" ref="L43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3" spans="1:12">
      <c r="A433" t="s">
        <v>2252</v>
      </c>
      <c r="B433" s="15" t="s">
        <v>2254</v>
      </c>
      <c r="C433" s="15" t="s">
        <v>2254</v>
      </c>
      <c r="D433" t="s">
        <v>98</v>
      </c>
      <c r="E433">
        <v>1</v>
      </c>
      <c r="F433" s="1"/>
      <c r="G433" s="1"/>
      <c r="H433">
        <f ca="1">IF(T_LEAVE[[#This Row],[EMPLOYEE]]="","",MATCH(T_LEAVE[[#This Row],[EMPLOYEE]],L_EMPLABELS,0))</f>
        <v>386</v>
      </c>
      <c r="I433">
        <f ca="1">IF(T_LEAVE[[#This Row],[EMPLOYEE]]="","",MATCH(T_LEAVE[[#This Row],[LEAVE TYPE]],L_LEAVETYPES,0))</f>
        <v>7</v>
      </c>
      <c r="J433" t="str" cm="1">
        <f t="array" aca="1" ref="J433" ca="1">IFERROR(INDEX(T_LEAVE_TYPES[SYMBOL],T_LEAVE[[#This Row],[LEAVE TYPE SYS ID]]),"")</f>
        <v>C</v>
      </c>
      <c r="K433">
        <f ca="1">IF(T_LEAVE[[#This Row],[EMPLOYEE]]="","",IF(T_LEAVE[[#This Row],[ERROR]]="",0,1))</f>
        <v>0</v>
      </c>
      <c r="L433" t="str" cm="1">
        <f t="array" aca="1" ref="L43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4" spans="1:12">
      <c r="A434" t="s">
        <v>2252</v>
      </c>
      <c r="B434" s="15" t="s">
        <v>2255</v>
      </c>
      <c r="C434" s="15" t="s">
        <v>2255</v>
      </c>
      <c r="D434" t="s">
        <v>98</v>
      </c>
      <c r="E434">
        <v>1</v>
      </c>
      <c r="F434" s="1"/>
      <c r="G434" s="1"/>
      <c r="H434">
        <f ca="1">IF(T_LEAVE[[#This Row],[EMPLOYEE]]="","",MATCH(T_LEAVE[[#This Row],[EMPLOYEE]],L_EMPLABELS,0))</f>
        <v>386</v>
      </c>
      <c r="I434">
        <f ca="1">IF(T_LEAVE[[#This Row],[EMPLOYEE]]="","",MATCH(T_LEAVE[[#This Row],[LEAVE TYPE]],L_LEAVETYPES,0))</f>
        <v>7</v>
      </c>
      <c r="J434" t="str" cm="1">
        <f t="array" aca="1" ref="J434" ca="1">IFERROR(INDEX(T_LEAVE_TYPES[SYMBOL],T_LEAVE[[#This Row],[LEAVE TYPE SYS ID]]),"")</f>
        <v>C</v>
      </c>
      <c r="K434">
        <f ca="1">IF(T_LEAVE[[#This Row],[EMPLOYEE]]="","",IF(T_LEAVE[[#This Row],[ERROR]]="",0,1))</f>
        <v>0</v>
      </c>
      <c r="L434" t="str" cm="1">
        <f t="array" aca="1" ref="L43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5" spans="1:12">
      <c r="A435" t="s">
        <v>2252</v>
      </c>
      <c r="B435" s="15" t="s">
        <v>2256</v>
      </c>
      <c r="C435" s="15" t="s">
        <v>2256</v>
      </c>
      <c r="D435" t="s">
        <v>98</v>
      </c>
      <c r="E435">
        <v>1</v>
      </c>
      <c r="F435" s="1"/>
      <c r="G435" s="1"/>
      <c r="H435">
        <f ca="1">IF(T_LEAVE[[#This Row],[EMPLOYEE]]="","",MATCH(T_LEAVE[[#This Row],[EMPLOYEE]],L_EMPLABELS,0))</f>
        <v>386</v>
      </c>
      <c r="I435">
        <f ca="1">IF(T_LEAVE[[#This Row],[EMPLOYEE]]="","",MATCH(T_LEAVE[[#This Row],[LEAVE TYPE]],L_LEAVETYPES,0))</f>
        <v>7</v>
      </c>
      <c r="J435" t="str" cm="1">
        <f t="array" aca="1" ref="J435" ca="1">IFERROR(INDEX(T_LEAVE_TYPES[SYMBOL],T_LEAVE[[#This Row],[LEAVE TYPE SYS ID]]),"")</f>
        <v>C</v>
      </c>
      <c r="K435">
        <f ca="1">IF(T_LEAVE[[#This Row],[EMPLOYEE]]="","",IF(T_LEAVE[[#This Row],[ERROR]]="",0,1))</f>
        <v>0</v>
      </c>
      <c r="L435" t="str" cm="1">
        <f t="array" aca="1" ref="L43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6" spans="1:12">
      <c r="A436" t="s">
        <v>2252</v>
      </c>
      <c r="B436" s="15" t="s">
        <v>2195</v>
      </c>
      <c r="C436" s="15" t="s">
        <v>2195</v>
      </c>
      <c r="D436" t="s">
        <v>92</v>
      </c>
      <c r="E436">
        <v>1</v>
      </c>
      <c r="F436" s="1"/>
      <c r="G436" s="1"/>
      <c r="H436">
        <f ca="1">IF(T_LEAVE[[#This Row],[EMPLOYEE]]="","",MATCH(T_LEAVE[[#This Row],[EMPLOYEE]],L_EMPLABELS,0))</f>
        <v>386</v>
      </c>
      <c r="I436">
        <f ca="1">IF(T_LEAVE[[#This Row],[EMPLOYEE]]="","",MATCH(T_LEAVE[[#This Row],[LEAVE TYPE]],L_LEAVETYPES,0))</f>
        <v>6</v>
      </c>
      <c r="J436" t="str" cm="1">
        <f t="array" aca="1" ref="J436" ca="1">IFERROR(INDEX(T_LEAVE_TYPES[SYMBOL],T_LEAVE[[#This Row],[LEAVE TYPE SYS ID]]),"")</f>
        <v>PR</v>
      </c>
      <c r="K436">
        <f ca="1">IF(T_LEAVE[[#This Row],[EMPLOYEE]]="","",IF(T_LEAVE[[#This Row],[ERROR]]="",0,1))</f>
        <v>0</v>
      </c>
      <c r="L436" t="str" cm="1">
        <f t="array" aca="1" ref="L43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7" spans="1:12">
      <c r="A437" t="s">
        <v>2252</v>
      </c>
      <c r="B437" s="15" t="s">
        <v>2200</v>
      </c>
      <c r="C437" s="15" t="s">
        <v>2200</v>
      </c>
      <c r="D437" t="s">
        <v>92</v>
      </c>
      <c r="E437">
        <v>1</v>
      </c>
      <c r="F437" s="1"/>
      <c r="G437" s="1"/>
      <c r="H437">
        <f ca="1">IF(T_LEAVE[[#This Row],[EMPLOYEE]]="","",MATCH(T_LEAVE[[#This Row],[EMPLOYEE]],L_EMPLABELS,0))</f>
        <v>386</v>
      </c>
      <c r="I437">
        <f ca="1">IF(T_LEAVE[[#This Row],[EMPLOYEE]]="","",MATCH(T_LEAVE[[#This Row],[LEAVE TYPE]],L_LEAVETYPES,0))</f>
        <v>6</v>
      </c>
      <c r="J437" t="str" cm="1">
        <f t="array" aca="1" ref="J437" ca="1">IFERROR(INDEX(T_LEAVE_TYPES[SYMBOL],T_LEAVE[[#This Row],[LEAVE TYPE SYS ID]]),"")</f>
        <v>PR</v>
      </c>
      <c r="K437">
        <f ca="1">IF(T_LEAVE[[#This Row],[EMPLOYEE]]="","",IF(T_LEAVE[[#This Row],[ERROR]]="",0,1))</f>
        <v>0</v>
      </c>
      <c r="L437" t="str" cm="1">
        <f t="array" aca="1" ref="L43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8" spans="1:12">
      <c r="A438" t="s">
        <v>2252</v>
      </c>
      <c r="B438" s="15" t="s">
        <v>2257</v>
      </c>
      <c r="C438" s="15" t="s">
        <v>2257</v>
      </c>
      <c r="D438" t="s">
        <v>98</v>
      </c>
      <c r="E438">
        <v>1</v>
      </c>
      <c r="F438" s="1"/>
      <c r="G438" s="1"/>
      <c r="H438">
        <f ca="1">IF(T_LEAVE[[#This Row],[EMPLOYEE]]="","",MATCH(T_LEAVE[[#This Row],[EMPLOYEE]],L_EMPLABELS,0))</f>
        <v>386</v>
      </c>
      <c r="I438">
        <f ca="1">IF(T_LEAVE[[#This Row],[EMPLOYEE]]="","",MATCH(T_LEAVE[[#This Row],[LEAVE TYPE]],L_LEAVETYPES,0))</f>
        <v>7</v>
      </c>
      <c r="J438" t="str" cm="1">
        <f t="array" aca="1" ref="J438" ca="1">IFERROR(INDEX(T_LEAVE_TYPES[SYMBOL],T_LEAVE[[#This Row],[LEAVE TYPE SYS ID]]),"")</f>
        <v>C</v>
      </c>
      <c r="K438">
        <f ca="1">IF(T_LEAVE[[#This Row],[EMPLOYEE]]="","",IF(T_LEAVE[[#This Row],[ERROR]]="",0,1))</f>
        <v>0</v>
      </c>
      <c r="L438" t="str" cm="1">
        <f t="array" aca="1" ref="L43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9" spans="1:12">
      <c r="A439" t="s">
        <v>2252</v>
      </c>
      <c r="B439" s="15" t="s">
        <v>2258</v>
      </c>
      <c r="C439" s="15" t="s">
        <v>2259</v>
      </c>
      <c r="D439" t="s">
        <v>62</v>
      </c>
      <c r="E439">
        <v>182</v>
      </c>
      <c r="F439" s="1"/>
      <c r="G439" s="1"/>
      <c r="H439">
        <f ca="1">IF(T_LEAVE[[#This Row],[EMPLOYEE]]="","",MATCH(T_LEAVE[[#This Row],[EMPLOYEE]],L_EMPLABELS,0))</f>
        <v>386</v>
      </c>
      <c r="I439">
        <f ca="1">IF(T_LEAVE[[#This Row],[EMPLOYEE]]="","",MATCH(T_LEAVE[[#This Row],[LEAVE TYPE]],L_LEAVETYPES,0))</f>
        <v>3</v>
      </c>
      <c r="J439" t="str" cm="1">
        <f t="array" aca="1" ref="J439" ca="1">IFERROR(INDEX(T_LEAVE_TYPES[SYMBOL],T_LEAVE[[#This Row],[LEAVE TYPE SYS ID]]),"")</f>
        <v>M</v>
      </c>
      <c r="K439">
        <f ca="1">IF(T_LEAVE[[#This Row],[EMPLOYEE]]="","",IF(T_LEAVE[[#This Row],[ERROR]]="",0,1))</f>
        <v>0</v>
      </c>
      <c r="L439" t="str" cm="1">
        <f t="array" aca="1" ref="L43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0" spans="1:12">
      <c r="A440" t="s">
        <v>2252</v>
      </c>
      <c r="B440" s="15" t="s">
        <v>2260</v>
      </c>
      <c r="C440" s="15" t="s">
        <v>2260</v>
      </c>
      <c r="D440" t="s">
        <v>92</v>
      </c>
      <c r="E440">
        <v>1</v>
      </c>
      <c r="F440" s="1"/>
      <c r="G440" s="1"/>
      <c r="H440">
        <f ca="1">IF(T_LEAVE[[#This Row],[EMPLOYEE]]="","",MATCH(T_LEAVE[[#This Row],[EMPLOYEE]],L_EMPLABELS,0))</f>
        <v>386</v>
      </c>
      <c r="I440">
        <f ca="1">IF(T_LEAVE[[#This Row],[EMPLOYEE]]="","",MATCH(T_LEAVE[[#This Row],[LEAVE TYPE]],L_LEAVETYPES,0))</f>
        <v>6</v>
      </c>
      <c r="J440" t="str" cm="1">
        <f t="array" aca="1" ref="J440" ca="1">IFERROR(INDEX(T_LEAVE_TYPES[SYMBOL],T_LEAVE[[#This Row],[LEAVE TYPE SYS ID]]),"")</f>
        <v>PR</v>
      </c>
      <c r="K440">
        <f ca="1">IF(T_LEAVE[[#This Row],[EMPLOYEE]]="","",IF(T_LEAVE[[#This Row],[ERROR]]="",0,1))</f>
        <v>0</v>
      </c>
      <c r="L440" t="str" cm="1">
        <f t="array" aca="1" ref="L44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1" spans="1:12">
      <c r="A441" t="s">
        <v>2252</v>
      </c>
      <c r="B441" s="15" t="s">
        <v>2229</v>
      </c>
      <c r="C441" s="15" t="s">
        <v>2261</v>
      </c>
      <c r="D441" t="s">
        <v>98</v>
      </c>
      <c r="E441">
        <v>2</v>
      </c>
      <c r="F441" s="1"/>
      <c r="G441" s="1"/>
      <c r="H441">
        <f ca="1">IF(T_LEAVE[[#This Row],[EMPLOYEE]]="","",MATCH(T_LEAVE[[#This Row],[EMPLOYEE]],L_EMPLABELS,0))</f>
        <v>386</v>
      </c>
      <c r="I441">
        <f ca="1">IF(T_LEAVE[[#This Row],[EMPLOYEE]]="","",MATCH(T_LEAVE[[#This Row],[LEAVE TYPE]],L_LEAVETYPES,0))</f>
        <v>7</v>
      </c>
      <c r="J441" t="str" cm="1">
        <f t="array" aca="1" ref="J441" ca="1">IFERROR(INDEX(T_LEAVE_TYPES[SYMBOL],T_LEAVE[[#This Row],[LEAVE TYPE SYS ID]]),"")</f>
        <v>C</v>
      </c>
      <c r="K441">
        <f ca="1">IF(T_LEAVE[[#This Row],[EMPLOYEE]]="","",IF(T_LEAVE[[#This Row],[ERROR]]="",0,1))</f>
        <v>0</v>
      </c>
      <c r="L441" t="str" cm="1">
        <f t="array" aca="1" ref="L44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2" spans="1:12">
      <c r="A442" t="s">
        <v>2252</v>
      </c>
      <c r="B442" s="15" t="s">
        <v>2262</v>
      </c>
      <c r="C442" s="15" t="s">
        <v>2262</v>
      </c>
      <c r="D442" t="s">
        <v>92</v>
      </c>
      <c r="E442">
        <v>1</v>
      </c>
      <c r="F442" s="1"/>
      <c r="G442" s="1"/>
      <c r="H442">
        <f ca="1">IF(T_LEAVE[[#This Row],[EMPLOYEE]]="","",MATCH(T_LEAVE[[#This Row],[EMPLOYEE]],L_EMPLABELS,0))</f>
        <v>386</v>
      </c>
      <c r="I442">
        <f ca="1">IF(T_LEAVE[[#This Row],[EMPLOYEE]]="","",MATCH(T_LEAVE[[#This Row],[LEAVE TYPE]],L_LEAVETYPES,0))</f>
        <v>6</v>
      </c>
      <c r="J442" t="str" cm="1">
        <f t="array" aca="1" ref="J442" ca="1">IFERROR(INDEX(T_LEAVE_TYPES[SYMBOL],T_LEAVE[[#This Row],[LEAVE TYPE SYS ID]]),"")</f>
        <v>PR</v>
      </c>
      <c r="K442">
        <f ca="1">IF(T_LEAVE[[#This Row],[EMPLOYEE]]="","",IF(T_LEAVE[[#This Row],[ERROR]]="",0,1))</f>
        <v>0</v>
      </c>
      <c r="L442" t="str" cm="1">
        <f t="array" aca="1" ref="L44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3" spans="1:12">
      <c r="A443" t="s">
        <v>2252</v>
      </c>
      <c r="B443" s="15" t="s">
        <v>2263</v>
      </c>
      <c r="C443" s="15" t="s">
        <v>2263</v>
      </c>
      <c r="D443" t="s">
        <v>92</v>
      </c>
      <c r="E443">
        <v>1</v>
      </c>
      <c r="F443" s="1"/>
      <c r="G443" s="1"/>
      <c r="H443">
        <f ca="1">IF(T_LEAVE[[#This Row],[EMPLOYEE]]="","",MATCH(T_LEAVE[[#This Row],[EMPLOYEE]],L_EMPLABELS,0))</f>
        <v>386</v>
      </c>
      <c r="I443">
        <f ca="1">IF(T_LEAVE[[#This Row],[EMPLOYEE]]="","",MATCH(T_LEAVE[[#This Row],[LEAVE TYPE]],L_LEAVETYPES,0))</f>
        <v>6</v>
      </c>
      <c r="J443" t="str" cm="1">
        <f t="array" aca="1" ref="J443" ca="1">IFERROR(INDEX(T_LEAVE_TYPES[SYMBOL],T_LEAVE[[#This Row],[LEAVE TYPE SYS ID]]),"")</f>
        <v>PR</v>
      </c>
      <c r="K443">
        <f ca="1">IF(T_LEAVE[[#This Row],[EMPLOYEE]]="","",IF(T_LEAVE[[#This Row],[ERROR]]="",0,1))</f>
        <v>0</v>
      </c>
      <c r="L443" t="str" cm="1">
        <f t="array" aca="1" ref="L44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4" spans="1:12">
      <c r="A444" t="s">
        <v>2252</v>
      </c>
      <c r="B444" s="15" t="s">
        <v>2264</v>
      </c>
      <c r="C444" s="15" t="s">
        <v>2264</v>
      </c>
      <c r="D444" t="s">
        <v>92</v>
      </c>
      <c r="E444">
        <v>1</v>
      </c>
      <c r="F444" s="1"/>
      <c r="G444" s="1"/>
      <c r="H444">
        <f ca="1">IF(T_LEAVE[[#This Row],[EMPLOYEE]]="","",MATCH(T_LEAVE[[#This Row],[EMPLOYEE]],L_EMPLABELS,0))</f>
        <v>386</v>
      </c>
      <c r="I444">
        <f ca="1">IF(T_LEAVE[[#This Row],[EMPLOYEE]]="","",MATCH(T_LEAVE[[#This Row],[LEAVE TYPE]],L_LEAVETYPES,0))</f>
        <v>6</v>
      </c>
      <c r="J444" t="str" cm="1">
        <f t="array" aca="1" ref="J444" ca="1">IFERROR(INDEX(T_LEAVE_TYPES[SYMBOL],T_LEAVE[[#This Row],[LEAVE TYPE SYS ID]]),"")</f>
        <v>PR</v>
      </c>
      <c r="K444">
        <f ca="1">IF(T_LEAVE[[#This Row],[EMPLOYEE]]="","",IF(T_LEAVE[[#This Row],[ERROR]]="",0,1))</f>
        <v>0</v>
      </c>
      <c r="L444" t="str" cm="1">
        <f t="array" aca="1" ref="L44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5" spans="1:12">
      <c r="A445" t="s">
        <v>2252</v>
      </c>
      <c r="B445" s="15" t="s">
        <v>2265</v>
      </c>
      <c r="C445" s="15" t="s">
        <v>2265</v>
      </c>
      <c r="D445" t="s">
        <v>98</v>
      </c>
      <c r="E445">
        <v>1</v>
      </c>
      <c r="F445" s="1"/>
      <c r="G445" s="1"/>
      <c r="H445">
        <f ca="1">IF(T_LEAVE[[#This Row],[EMPLOYEE]]="","",MATCH(T_LEAVE[[#This Row],[EMPLOYEE]],L_EMPLABELS,0))</f>
        <v>386</v>
      </c>
      <c r="I445">
        <f ca="1">IF(T_LEAVE[[#This Row],[EMPLOYEE]]="","",MATCH(T_LEAVE[[#This Row],[LEAVE TYPE]],L_LEAVETYPES,0))</f>
        <v>7</v>
      </c>
      <c r="J445" t="str" cm="1">
        <f t="array" aca="1" ref="J445" ca="1">IFERROR(INDEX(T_LEAVE_TYPES[SYMBOL],T_LEAVE[[#This Row],[LEAVE TYPE SYS ID]]),"")</f>
        <v>C</v>
      </c>
      <c r="K445">
        <f ca="1">IF(T_LEAVE[[#This Row],[EMPLOYEE]]="","",IF(T_LEAVE[[#This Row],[ERROR]]="",0,1))</f>
        <v>0</v>
      </c>
      <c r="L445" t="str" cm="1">
        <f t="array" aca="1" ref="L44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6" spans="1:12">
      <c r="A446" t="s">
        <v>2252</v>
      </c>
      <c r="B446" s="15" t="s">
        <v>2266</v>
      </c>
      <c r="C446" s="15" t="s">
        <v>2266</v>
      </c>
      <c r="D446" t="s">
        <v>98</v>
      </c>
      <c r="E446">
        <v>1</v>
      </c>
      <c r="F446" s="1"/>
      <c r="G446" s="1"/>
      <c r="H446">
        <f ca="1">IF(T_LEAVE[[#This Row],[EMPLOYEE]]="","",MATCH(T_LEAVE[[#This Row],[EMPLOYEE]],L_EMPLABELS,0))</f>
        <v>386</v>
      </c>
      <c r="I446">
        <f ca="1">IF(T_LEAVE[[#This Row],[EMPLOYEE]]="","",MATCH(T_LEAVE[[#This Row],[LEAVE TYPE]],L_LEAVETYPES,0))</f>
        <v>7</v>
      </c>
      <c r="J446" t="str" cm="1">
        <f t="array" aca="1" ref="J446" ca="1">IFERROR(INDEX(T_LEAVE_TYPES[SYMBOL],T_LEAVE[[#This Row],[LEAVE TYPE SYS ID]]),"")</f>
        <v>C</v>
      </c>
      <c r="K446">
        <f ca="1">IF(T_LEAVE[[#This Row],[EMPLOYEE]]="","",IF(T_LEAVE[[#This Row],[ERROR]]="",0,1))</f>
        <v>0</v>
      </c>
      <c r="L446" t="str" cm="1">
        <f t="array" aca="1" ref="L44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7" spans="1:12">
      <c r="A447" t="s">
        <v>2252</v>
      </c>
      <c r="B447" s="15" t="s">
        <v>2267</v>
      </c>
      <c r="C447" s="15" t="s">
        <v>2267</v>
      </c>
      <c r="D447" s="17" t="s">
        <v>84</v>
      </c>
      <c r="E447">
        <v>1</v>
      </c>
      <c r="F447" s="1"/>
      <c r="G447" s="1"/>
      <c r="H447">
        <f ca="1">IF(T_LEAVE[[#This Row],[EMPLOYEE]]="","",MATCH(T_LEAVE[[#This Row],[EMPLOYEE]],L_EMPLABELS,0))</f>
        <v>386</v>
      </c>
      <c r="I447">
        <f ca="1">IF(T_LEAVE[[#This Row],[EMPLOYEE]]="","",MATCH(T_LEAVE[[#This Row],[LEAVE TYPE]],L_LEAVETYPES,0))</f>
        <v>5</v>
      </c>
      <c r="J447" t="str" cm="1">
        <f t="array" aca="1" ref="J447" ca="1">IFERROR(INDEX(T_LEAVE_TYPES[SYMBOL],T_LEAVE[[#This Row],[LEAVE TYPE SYS ID]]),"")</f>
        <v>B</v>
      </c>
      <c r="K447">
        <f ca="1">IF(T_LEAVE[[#This Row],[EMPLOYEE]]="","",IF(T_LEAVE[[#This Row],[ERROR]]="",0,1))</f>
        <v>0</v>
      </c>
      <c r="L447" t="str" cm="1">
        <f t="array" aca="1" ref="L44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8" spans="1:12">
      <c r="A448" t="s">
        <v>1919</v>
      </c>
      <c r="B448" s="15" t="s">
        <v>2268</v>
      </c>
      <c r="C448" s="15" t="s">
        <v>2268</v>
      </c>
      <c r="D448" t="s">
        <v>98</v>
      </c>
      <c r="E448">
        <v>1</v>
      </c>
      <c r="F448" s="1"/>
      <c r="G448" s="1"/>
      <c r="H448">
        <f ca="1">IF(T_LEAVE[[#This Row],[EMPLOYEE]]="","",MATCH(T_LEAVE[[#This Row],[EMPLOYEE]],L_EMPLABELS,0))</f>
        <v>99</v>
      </c>
      <c r="I448">
        <f ca="1">IF(T_LEAVE[[#This Row],[EMPLOYEE]]="","",MATCH(T_LEAVE[[#This Row],[LEAVE TYPE]],L_LEAVETYPES,0))</f>
        <v>7</v>
      </c>
      <c r="J448" t="str" cm="1">
        <f t="array" aca="1" ref="J448" ca="1">IFERROR(INDEX(T_LEAVE_TYPES[SYMBOL],T_LEAVE[[#This Row],[LEAVE TYPE SYS ID]]),"")</f>
        <v>C</v>
      </c>
      <c r="K448">
        <f ca="1">IF(T_LEAVE[[#This Row],[EMPLOYEE]]="","",IF(T_LEAVE[[#This Row],[ERROR]]="",0,1))</f>
        <v>0</v>
      </c>
      <c r="L448" t="str" cm="1">
        <f t="array" aca="1" ref="L44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9" spans="1:12">
      <c r="A449" t="s">
        <v>1919</v>
      </c>
      <c r="B449" s="15" t="s">
        <v>2269</v>
      </c>
      <c r="C449" s="15" t="s">
        <v>2269</v>
      </c>
      <c r="D449" t="s">
        <v>98</v>
      </c>
      <c r="E449">
        <v>1</v>
      </c>
      <c r="F449" s="1"/>
      <c r="G449" s="1"/>
      <c r="H449">
        <f ca="1">IF(T_LEAVE[[#This Row],[EMPLOYEE]]="","",MATCH(T_LEAVE[[#This Row],[EMPLOYEE]],L_EMPLABELS,0))</f>
        <v>99</v>
      </c>
      <c r="I449">
        <f ca="1">IF(T_LEAVE[[#This Row],[EMPLOYEE]]="","",MATCH(T_LEAVE[[#This Row],[LEAVE TYPE]],L_LEAVETYPES,0))</f>
        <v>7</v>
      </c>
      <c r="J449" t="str" cm="1">
        <f t="array" aca="1" ref="J449" ca="1">IFERROR(INDEX(T_LEAVE_TYPES[SYMBOL],T_LEAVE[[#This Row],[LEAVE TYPE SYS ID]]),"")</f>
        <v>C</v>
      </c>
      <c r="K449">
        <f ca="1">IF(T_LEAVE[[#This Row],[EMPLOYEE]]="","",IF(T_LEAVE[[#This Row],[ERROR]]="",0,1))</f>
        <v>0</v>
      </c>
      <c r="L449" t="str" cm="1">
        <f t="array" aca="1" ref="L44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0" spans="1:12">
      <c r="A450" t="s">
        <v>2252</v>
      </c>
      <c r="B450" s="15" t="s">
        <v>2270</v>
      </c>
      <c r="C450" s="15" t="s">
        <v>2270</v>
      </c>
      <c r="D450" t="s">
        <v>92</v>
      </c>
      <c r="E450">
        <v>1</v>
      </c>
      <c r="F450" s="1"/>
      <c r="G450" s="1"/>
      <c r="H450">
        <f ca="1">IF(T_LEAVE[[#This Row],[EMPLOYEE]]="","",MATCH(T_LEAVE[[#This Row],[EMPLOYEE]],L_EMPLABELS,0))</f>
        <v>386</v>
      </c>
      <c r="I450">
        <f ca="1">IF(T_LEAVE[[#This Row],[EMPLOYEE]]="","",MATCH(T_LEAVE[[#This Row],[LEAVE TYPE]],L_LEAVETYPES,0))</f>
        <v>6</v>
      </c>
      <c r="J450" t="str" cm="1">
        <f t="array" aca="1" ref="J450" ca="1">IFERROR(INDEX(T_LEAVE_TYPES[SYMBOL],T_LEAVE[[#This Row],[LEAVE TYPE SYS ID]]),"")</f>
        <v>PR</v>
      </c>
      <c r="K450">
        <f ca="1">IF(T_LEAVE[[#This Row],[EMPLOYEE]]="","",IF(T_LEAVE[[#This Row],[ERROR]]="",0,1))</f>
        <v>0</v>
      </c>
      <c r="L450" t="str" cm="1">
        <f t="array" aca="1" ref="L45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1" spans="1:12">
      <c r="A451" t="s">
        <v>2252</v>
      </c>
      <c r="B451" s="15" t="s">
        <v>2271</v>
      </c>
      <c r="C451" s="15" t="s">
        <v>2271</v>
      </c>
      <c r="D451" t="s">
        <v>103</v>
      </c>
      <c r="E451">
        <v>1</v>
      </c>
      <c r="F451" s="1"/>
      <c r="G451" s="1"/>
      <c r="H451">
        <f ca="1">IF(T_LEAVE[[#This Row],[EMPLOYEE]]="","",MATCH(T_LEAVE[[#This Row],[EMPLOYEE]],L_EMPLABELS,0))</f>
        <v>386</v>
      </c>
      <c r="I451">
        <f ca="1">IF(T_LEAVE[[#This Row],[EMPLOYEE]]="","",MATCH(T_LEAVE[[#This Row],[LEAVE TYPE]],L_LEAVETYPES,0))</f>
        <v>8</v>
      </c>
      <c r="J451" t="str" cm="1">
        <f t="array" aca="1" ref="J451" ca="1">IFERROR(INDEX(T_LEAVE_TYPES[SYMBOL],T_LEAVE[[#This Row],[LEAVE TYPE SYS ID]]),"")</f>
        <v>LOP</v>
      </c>
      <c r="K451">
        <f ca="1">IF(T_LEAVE[[#This Row],[EMPLOYEE]]="","",IF(T_LEAVE[[#This Row],[ERROR]]="",0,1))</f>
        <v>0</v>
      </c>
      <c r="L451" t="str" cm="1">
        <f t="array" aca="1" ref="L45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2" spans="1:12">
      <c r="A452" t="s">
        <v>2252</v>
      </c>
      <c r="B452" s="15" t="s">
        <v>2246</v>
      </c>
      <c r="C452" s="15" t="s">
        <v>2246</v>
      </c>
      <c r="D452" t="s">
        <v>103</v>
      </c>
      <c r="E452">
        <v>1</v>
      </c>
      <c r="F452" s="1"/>
      <c r="G452" s="1"/>
      <c r="H452">
        <f ca="1">IF(T_LEAVE[[#This Row],[EMPLOYEE]]="","",MATCH(T_LEAVE[[#This Row],[EMPLOYEE]],L_EMPLABELS,0))</f>
        <v>386</v>
      </c>
      <c r="I452">
        <f ca="1">IF(T_LEAVE[[#This Row],[EMPLOYEE]]="","",MATCH(T_LEAVE[[#This Row],[LEAVE TYPE]],L_LEAVETYPES,0))</f>
        <v>8</v>
      </c>
      <c r="J452" t="str" cm="1">
        <f t="array" aca="1" ref="J452" ca="1">IFERROR(INDEX(T_LEAVE_TYPES[SYMBOL],T_LEAVE[[#This Row],[LEAVE TYPE SYS ID]]),"")</f>
        <v>LOP</v>
      </c>
      <c r="K452">
        <f ca="1">IF(T_LEAVE[[#This Row],[EMPLOYEE]]="","",IF(T_LEAVE[[#This Row],[ERROR]]="",0,1))</f>
        <v>0</v>
      </c>
      <c r="L452" t="str" cm="1">
        <f t="array" aca="1" ref="L45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3" spans="1:12">
      <c r="A453" t="s">
        <v>2252</v>
      </c>
      <c r="B453" s="15" t="s">
        <v>2272</v>
      </c>
      <c r="C453" s="15" t="s">
        <v>2251</v>
      </c>
      <c r="D453" t="s">
        <v>98</v>
      </c>
      <c r="E453">
        <v>2</v>
      </c>
      <c r="F453" s="1"/>
      <c r="G453" s="1"/>
      <c r="H453">
        <f ca="1">IF(T_LEAVE[[#This Row],[EMPLOYEE]]="","",MATCH(T_LEAVE[[#This Row],[EMPLOYEE]],L_EMPLABELS,0))</f>
        <v>386</v>
      </c>
      <c r="I453">
        <f ca="1">IF(T_LEAVE[[#This Row],[EMPLOYEE]]="","",MATCH(T_LEAVE[[#This Row],[LEAVE TYPE]],L_LEAVETYPES,0))</f>
        <v>7</v>
      </c>
      <c r="J453" t="str" cm="1">
        <f t="array" aca="1" ref="J453" ca="1">IFERROR(INDEX(T_LEAVE_TYPES[SYMBOL],T_LEAVE[[#This Row],[LEAVE TYPE SYS ID]]),"")</f>
        <v>C</v>
      </c>
      <c r="K453">
        <f ca="1">IF(T_LEAVE[[#This Row],[EMPLOYEE]]="","",IF(T_LEAVE[[#This Row],[ERROR]]="",0,1))</f>
        <v>0</v>
      </c>
      <c r="L453" t="str" cm="1">
        <f t="array" aca="1" ref="L45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4" spans="1:12">
      <c r="A454" t="s">
        <v>1919</v>
      </c>
      <c r="B454" s="15" t="s">
        <v>2273</v>
      </c>
      <c r="C454" s="15" t="s">
        <v>2273</v>
      </c>
      <c r="D454" t="s">
        <v>98</v>
      </c>
      <c r="E454">
        <v>1</v>
      </c>
      <c r="F454" s="1"/>
      <c r="G454" s="1"/>
      <c r="H454">
        <f ca="1">IF(T_LEAVE[[#This Row],[EMPLOYEE]]="","",MATCH(T_LEAVE[[#This Row],[EMPLOYEE]],L_EMPLABELS,0))</f>
        <v>99</v>
      </c>
      <c r="I454">
        <f ca="1">IF(T_LEAVE[[#This Row],[EMPLOYEE]]="","",MATCH(T_LEAVE[[#This Row],[LEAVE TYPE]],L_LEAVETYPES,0))</f>
        <v>7</v>
      </c>
      <c r="J454" t="str" cm="1">
        <f t="array" aca="1" ref="J454" ca="1">IFERROR(INDEX(T_LEAVE_TYPES[SYMBOL],T_LEAVE[[#This Row],[LEAVE TYPE SYS ID]]),"")</f>
        <v>C</v>
      </c>
      <c r="K454">
        <f ca="1">IF(T_LEAVE[[#This Row],[EMPLOYEE]]="","",IF(T_LEAVE[[#This Row],[ERROR]]="",0,1))</f>
        <v>0</v>
      </c>
      <c r="L454" t="str" cm="1">
        <f t="array" aca="1" ref="L45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5" spans="1:12">
      <c r="A455" t="s">
        <v>1919</v>
      </c>
      <c r="B455" s="15" t="s">
        <v>2274</v>
      </c>
      <c r="C455" s="15" t="s">
        <v>2274</v>
      </c>
      <c r="D455" t="s">
        <v>98</v>
      </c>
      <c r="E455">
        <v>1</v>
      </c>
      <c r="F455" s="1"/>
      <c r="G455" s="1"/>
      <c r="H455">
        <f ca="1">IF(T_LEAVE[[#This Row],[EMPLOYEE]]="","",MATCH(T_LEAVE[[#This Row],[EMPLOYEE]],L_EMPLABELS,0))</f>
        <v>99</v>
      </c>
      <c r="I455">
        <f ca="1">IF(T_LEAVE[[#This Row],[EMPLOYEE]]="","",MATCH(T_LEAVE[[#This Row],[LEAVE TYPE]],L_LEAVETYPES,0))</f>
        <v>7</v>
      </c>
      <c r="J455" t="str" cm="1">
        <f t="array" aca="1" ref="J455" ca="1">IFERROR(INDEX(T_LEAVE_TYPES[SYMBOL],T_LEAVE[[#This Row],[LEAVE TYPE SYS ID]]),"")</f>
        <v>C</v>
      </c>
      <c r="K455">
        <f ca="1">IF(T_LEAVE[[#This Row],[EMPLOYEE]]="","",IF(T_LEAVE[[#This Row],[ERROR]]="",0,1))</f>
        <v>0</v>
      </c>
      <c r="L455" t="str" cm="1">
        <f t="array" aca="1" ref="L45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6" spans="1:12">
      <c r="A456" t="s">
        <v>2275</v>
      </c>
      <c r="B456" s="15" t="s">
        <v>1996</v>
      </c>
      <c r="C456" s="15" t="s">
        <v>1948</v>
      </c>
      <c r="D456" t="s">
        <v>92</v>
      </c>
      <c r="E456">
        <v>3</v>
      </c>
      <c r="F456" s="1"/>
      <c r="G456" s="1"/>
      <c r="H456">
        <f ca="1">IF(T_LEAVE[[#This Row],[EMPLOYEE]]="","",MATCH(T_LEAVE[[#This Row],[EMPLOYEE]],L_EMPLABELS,0))</f>
        <v>256</v>
      </c>
      <c r="I456">
        <f ca="1">IF(T_LEAVE[[#This Row],[EMPLOYEE]]="","",MATCH(T_LEAVE[[#This Row],[LEAVE TYPE]],L_LEAVETYPES,0))</f>
        <v>6</v>
      </c>
      <c r="J456" t="str" cm="1">
        <f t="array" aca="1" ref="J456" ca="1">IFERROR(INDEX(T_LEAVE_TYPES[SYMBOL],T_LEAVE[[#This Row],[LEAVE TYPE SYS ID]]),"")</f>
        <v>PR</v>
      </c>
      <c r="K456">
        <f ca="1">IF(T_LEAVE[[#This Row],[EMPLOYEE]]="","",IF(T_LEAVE[[#This Row],[ERROR]]="",0,1))</f>
        <v>0</v>
      </c>
      <c r="L456" t="str" cm="1">
        <f t="array" aca="1" ref="L45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7" spans="1:12">
      <c r="A457" t="s">
        <v>2275</v>
      </c>
      <c r="B457" s="15" t="s">
        <v>2204</v>
      </c>
      <c r="C457" s="15" t="s">
        <v>1998</v>
      </c>
      <c r="D457" t="s">
        <v>92</v>
      </c>
      <c r="E457">
        <v>10</v>
      </c>
      <c r="F457" s="1"/>
      <c r="G457" s="1"/>
      <c r="H457">
        <f ca="1">IF(T_LEAVE[[#This Row],[EMPLOYEE]]="","",MATCH(T_LEAVE[[#This Row],[EMPLOYEE]],L_EMPLABELS,0))</f>
        <v>256</v>
      </c>
      <c r="I457">
        <f ca="1">IF(T_LEAVE[[#This Row],[EMPLOYEE]]="","",MATCH(T_LEAVE[[#This Row],[LEAVE TYPE]],L_LEAVETYPES,0))</f>
        <v>6</v>
      </c>
      <c r="J457" t="str" cm="1">
        <f t="array" aca="1" ref="J457" ca="1">IFERROR(INDEX(T_LEAVE_TYPES[SYMBOL],T_LEAVE[[#This Row],[LEAVE TYPE SYS ID]]),"")</f>
        <v>PR</v>
      </c>
      <c r="K457">
        <f ca="1">IF(T_LEAVE[[#This Row],[EMPLOYEE]]="","",IF(T_LEAVE[[#This Row],[ERROR]]="",0,1))</f>
        <v>0</v>
      </c>
      <c r="L457" t="str" cm="1">
        <f t="array" aca="1" ref="L45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8" spans="1:12">
      <c r="A458" t="s">
        <v>2275</v>
      </c>
      <c r="B458" s="15" t="s">
        <v>2049</v>
      </c>
      <c r="C458" s="15" t="s">
        <v>2049</v>
      </c>
      <c r="D458" t="s">
        <v>92</v>
      </c>
      <c r="E458">
        <v>1</v>
      </c>
      <c r="F458" s="1"/>
      <c r="G458" s="1"/>
      <c r="H458">
        <f ca="1">IF(T_LEAVE[[#This Row],[EMPLOYEE]]="","",MATCH(T_LEAVE[[#This Row],[EMPLOYEE]],L_EMPLABELS,0))</f>
        <v>256</v>
      </c>
      <c r="I458">
        <f ca="1">IF(T_LEAVE[[#This Row],[EMPLOYEE]]="","",MATCH(T_LEAVE[[#This Row],[LEAVE TYPE]],L_LEAVETYPES,0))</f>
        <v>6</v>
      </c>
      <c r="J458" t="str" cm="1">
        <f t="array" aca="1" ref="J458" ca="1">IFERROR(INDEX(T_LEAVE_TYPES[SYMBOL],T_LEAVE[[#This Row],[LEAVE TYPE SYS ID]]),"")</f>
        <v>PR</v>
      </c>
      <c r="K458">
        <f ca="1">IF(T_LEAVE[[#This Row],[EMPLOYEE]]="","",IF(T_LEAVE[[#This Row],[ERROR]]="",0,1))</f>
        <v>0</v>
      </c>
      <c r="L458" t="str" cm="1">
        <f t="array" aca="1" ref="L45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9" spans="1:12">
      <c r="A459" t="s">
        <v>2275</v>
      </c>
      <c r="B459" s="15" t="s">
        <v>2069</v>
      </c>
      <c r="C459" s="15" t="s">
        <v>2276</v>
      </c>
      <c r="D459" t="s">
        <v>92</v>
      </c>
      <c r="E459">
        <v>2</v>
      </c>
      <c r="F459" s="1"/>
      <c r="G459" s="1"/>
      <c r="H459">
        <f ca="1">IF(T_LEAVE[[#This Row],[EMPLOYEE]]="","",MATCH(T_LEAVE[[#This Row],[EMPLOYEE]],L_EMPLABELS,0))</f>
        <v>256</v>
      </c>
      <c r="I459">
        <f ca="1">IF(T_LEAVE[[#This Row],[EMPLOYEE]]="","",MATCH(T_LEAVE[[#This Row],[LEAVE TYPE]],L_LEAVETYPES,0))</f>
        <v>6</v>
      </c>
      <c r="J459" t="str" cm="1">
        <f t="array" aca="1" ref="J459" ca="1">IFERROR(INDEX(T_LEAVE_TYPES[SYMBOL],T_LEAVE[[#This Row],[LEAVE TYPE SYS ID]]),"")</f>
        <v>PR</v>
      </c>
      <c r="K459">
        <f ca="1">IF(T_LEAVE[[#This Row],[EMPLOYEE]]="","",IF(T_LEAVE[[#This Row],[ERROR]]="",0,1))</f>
        <v>0</v>
      </c>
      <c r="L459" t="str" cm="1">
        <f t="array" aca="1" ref="L45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0" spans="1:12">
      <c r="A460" t="s">
        <v>2275</v>
      </c>
      <c r="B460" s="15" t="s">
        <v>2011</v>
      </c>
      <c r="C460" s="15" t="s">
        <v>2011</v>
      </c>
      <c r="D460" t="s">
        <v>92</v>
      </c>
      <c r="E460">
        <v>1</v>
      </c>
      <c r="F460" s="1"/>
      <c r="G460" s="1"/>
      <c r="H460">
        <f ca="1">IF(T_LEAVE[[#This Row],[EMPLOYEE]]="","",MATCH(T_LEAVE[[#This Row],[EMPLOYEE]],L_EMPLABELS,0))</f>
        <v>256</v>
      </c>
      <c r="I460">
        <f ca="1">IF(T_LEAVE[[#This Row],[EMPLOYEE]]="","",MATCH(T_LEAVE[[#This Row],[LEAVE TYPE]],L_LEAVETYPES,0))</f>
        <v>6</v>
      </c>
      <c r="J460" t="str" cm="1">
        <f t="array" aca="1" ref="J460" ca="1">IFERROR(INDEX(T_LEAVE_TYPES[SYMBOL],T_LEAVE[[#This Row],[LEAVE TYPE SYS ID]]),"")</f>
        <v>PR</v>
      </c>
      <c r="K460">
        <f ca="1">IF(T_LEAVE[[#This Row],[EMPLOYEE]]="","",IF(T_LEAVE[[#This Row],[ERROR]]="",0,1))</f>
        <v>0</v>
      </c>
      <c r="L460" t="str" cm="1">
        <f t="array" aca="1" ref="L46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1" spans="1:12">
      <c r="A461" t="s">
        <v>2275</v>
      </c>
      <c r="B461" s="15" t="s">
        <v>2045</v>
      </c>
      <c r="C461" s="15" t="s">
        <v>2045</v>
      </c>
      <c r="D461" t="s">
        <v>92</v>
      </c>
      <c r="E461">
        <v>1</v>
      </c>
      <c r="F461" s="1"/>
      <c r="G461" s="1"/>
      <c r="H461">
        <f ca="1">IF(T_LEAVE[[#This Row],[EMPLOYEE]]="","",MATCH(T_LEAVE[[#This Row],[EMPLOYEE]],L_EMPLABELS,0))</f>
        <v>256</v>
      </c>
      <c r="I461">
        <f ca="1">IF(T_LEAVE[[#This Row],[EMPLOYEE]]="","",MATCH(T_LEAVE[[#This Row],[LEAVE TYPE]],L_LEAVETYPES,0))</f>
        <v>6</v>
      </c>
      <c r="J461" t="str" cm="1">
        <f t="array" aca="1" ref="J461" ca="1">IFERROR(INDEX(T_LEAVE_TYPES[SYMBOL],T_LEAVE[[#This Row],[LEAVE TYPE SYS ID]]),"")</f>
        <v>PR</v>
      </c>
      <c r="K461">
        <f ca="1">IF(T_LEAVE[[#This Row],[EMPLOYEE]]="","",IF(T_LEAVE[[#This Row],[ERROR]]="",0,1))</f>
        <v>0</v>
      </c>
      <c r="L461" t="str" cm="1">
        <f t="array" aca="1" ref="L46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2" spans="1:12">
      <c r="A462" t="s">
        <v>2275</v>
      </c>
      <c r="B462" s="15" t="s">
        <v>2114</v>
      </c>
      <c r="C462" s="15" t="s">
        <v>2114</v>
      </c>
      <c r="D462" t="s">
        <v>92</v>
      </c>
      <c r="E462">
        <v>1</v>
      </c>
      <c r="F462" s="1"/>
      <c r="G462" s="1"/>
      <c r="H462">
        <f ca="1">IF(T_LEAVE[[#This Row],[EMPLOYEE]]="","",MATCH(T_LEAVE[[#This Row],[EMPLOYEE]],L_EMPLABELS,0))</f>
        <v>256</v>
      </c>
      <c r="I462">
        <f ca="1">IF(T_LEAVE[[#This Row],[EMPLOYEE]]="","",MATCH(T_LEAVE[[#This Row],[LEAVE TYPE]],L_LEAVETYPES,0))</f>
        <v>6</v>
      </c>
      <c r="J462" t="str" cm="1">
        <f t="array" aca="1" ref="J462" ca="1">IFERROR(INDEX(T_LEAVE_TYPES[SYMBOL],T_LEAVE[[#This Row],[LEAVE TYPE SYS ID]]),"")</f>
        <v>PR</v>
      </c>
      <c r="K462">
        <f ca="1">IF(T_LEAVE[[#This Row],[EMPLOYEE]]="","",IF(T_LEAVE[[#This Row],[ERROR]]="",0,1))</f>
        <v>0</v>
      </c>
      <c r="L462" t="str" cm="1">
        <f t="array" aca="1" ref="L46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3" spans="1:12">
      <c r="A463" t="s">
        <v>2275</v>
      </c>
      <c r="B463" s="15" t="s">
        <v>2116</v>
      </c>
      <c r="C463" s="15" t="s">
        <v>2116</v>
      </c>
      <c r="D463" t="s">
        <v>92</v>
      </c>
      <c r="E463">
        <v>1</v>
      </c>
      <c r="F463" s="1"/>
      <c r="G463" s="1"/>
      <c r="H463">
        <f ca="1">IF(T_LEAVE[[#This Row],[EMPLOYEE]]="","",MATCH(T_LEAVE[[#This Row],[EMPLOYEE]],L_EMPLABELS,0))</f>
        <v>256</v>
      </c>
      <c r="I463">
        <f ca="1">IF(T_LEAVE[[#This Row],[EMPLOYEE]]="","",MATCH(T_LEAVE[[#This Row],[LEAVE TYPE]],L_LEAVETYPES,0))</f>
        <v>6</v>
      </c>
      <c r="J463" t="str" cm="1">
        <f t="array" aca="1" ref="J463" ca="1">IFERROR(INDEX(T_LEAVE_TYPES[SYMBOL],T_LEAVE[[#This Row],[LEAVE TYPE SYS ID]]),"")</f>
        <v>PR</v>
      </c>
      <c r="K463">
        <f ca="1">IF(T_LEAVE[[#This Row],[EMPLOYEE]]="","",IF(T_LEAVE[[#This Row],[ERROR]]="",0,1))</f>
        <v>0</v>
      </c>
      <c r="L463" t="str" cm="1">
        <f t="array" aca="1" ref="L46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4" spans="1:12">
      <c r="A464" t="s">
        <v>2275</v>
      </c>
      <c r="B464" s="15" t="s">
        <v>2277</v>
      </c>
      <c r="C464" s="15" t="s">
        <v>2277</v>
      </c>
      <c r="D464" t="s">
        <v>92</v>
      </c>
      <c r="E464">
        <v>1</v>
      </c>
      <c r="F464" s="1"/>
      <c r="G464" s="1"/>
      <c r="H464">
        <f ca="1">IF(T_LEAVE[[#This Row],[EMPLOYEE]]="","",MATCH(T_LEAVE[[#This Row],[EMPLOYEE]],L_EMPLABELS,0))</f>
        <v>256</v>
      </c>
      <c r="I464">
        <f ca="1">IF(T_LEAVE[[#This Row],[EMPLOYEE]]="","",MATCH(T_LEAVE[[#This Row],[LEAVE TYPE]],L_LEAVETYPES,0))</f>
        <v>6</v>
      </c>
      <c r="J464" t="str" cm="1">
        <f t="array" aca="1" ref="J464" ca="1">IFERROR(INDEX(T_LEAVE_TYPES[SYMBOL],T_LEAVE[[#This Row],[LEAVE TYPE SYS ID]]),"")</f>
        <v>PR</v>
      </c>
      <c r="K464">
        <f ca="1">IF(T_LEAVE[[#This Row],[EMPLOYEE]]="","",IF(T_LEAVE[[#This Row],[ERROR]]="",0,1))</f>
        <v>0</v>
      </c>
      <c r="L464" t="str" cm="1">
        <f t="array" aca="1" ref="L46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5" spans="1:12">
      <c r="A465" t="s">
        <v>2278</v>
      </c>
      <c r="B465" s="15" t="s">
        <v>1994</v>
      </c>
      <c r="C465" s="15" t="s">
        <v>1998</v>
      </c>
      <c r="D465" t="s">
        <v>98</v>
      </c>
      <c r="E465">
        <v>3</v>
      </c>
      <c r="F465" s="1"/>
      <c r="G465" s="1"/>
      <c r="H465">
        <f ca="1">IF(T_LEAVE[[#This Row],[EMPLOYEE]]="","",MATCH(T_LEAVE[[#This Row],[EMPLOYEE]],L_EMPLABELS,0))</f>
        <v>469</v>
      </c>
      <c r="I465">
        <f ca="1">IF(T_LEAVE[[#This Row],[EMPLOYEE]]="","",MATCH(T_LEAVE[[#This Row],[LEAVE TYPE]],L_LEAVETYPES,0))</f>
        <v>7</v>
      </c>
      <c r="J465" t="str" cm="1">
        <f t="array" aca="1" ref="J465" ca="1">IFERROR(INDEX(T_LEAVE_TYPES[SYMBOL],T_LEAVE[[#This Row],[LEAVE TYPE SYS ID]]),"")</f>
        <v>C</v>
      </c>
      <c r="K465">
        <f ca="1">IF(T_LEAVE[[#This Row],[EMPLOYEE]]="","",IF(T_LEAVE[[#This Row],[ERROR]]="",0,1))</f>
        <v>0</v>
      </c>
      <c r="L465" t="str" cm="1">
        <f t="array" aca="1" ref="L46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6" spans="1:12">
      <c r="A466" t="s">
        <v>2278</v>
      </c>
      <c r="B466" s="15" t="s">
        <v>1916</v>
      </c>
      <c r="C466" s="15" t="s">
        <v>1916</v>
      </c>
      <c r="D466" t="s">
        <v>98</v>
      </c>
      <c r="E466">
        <v>1</v>
      </c>
      <c r="F466" s="1"/>
      <c r="G466" s="1"/>
      <c r="H466">
        <f ca="1">IF(T_LEAVE[[#This Row],[EMPLOYEE]]="","",MATCH(T_LEAVE[[#This Row],[EMPLOYEE]],L_EMPLABELS,0))</f>
        <v>469</v>
      </c>
      <c r="I466">
        <f ca="1">IF(T_LEAVE[[#This Row],[EMPLOYEE]]="","",MATCH(T_LEAVE[[#This Row],[LEAVE TYPE]],L_LEAVETYPES,0))</f>
        <v>7</v>
      </c>
      <c r="J466" t="str" cm="1">
        <f t="array" aca="1" ref="J466" ca="1">IFERROR(INDEX(T_LEAVE_TYPES[SYMBOL],T_LEAVE[[#This Row],[LEAVE TYPE SYS ID]]),"")</f>
        <v>C</v>
      </c>
      <c r="K466">
        <f ca="1">IF(T_LEAVE[[#This Row],[EMPLOYEE]]="","",IF(T_LEAVE[[#This Row],[ERROR]]="",0,1))</f>
        <v>0</v>
      </c>
      <c r="L466" t="str" cm="1">
        <f t="array" aca="1" ref="L46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7" spans="1:12">
      <c r="A467" t="s">
        <v>2278</v>
      </c>
      <c r="B467" s="15" t="s">
        <v>2065</v>
      </c>
      <c r="C467" s="15" t="s">
        <v>1991</v>
      </c>
      <c r="D467" t="s">
        <v>98</v>
      </c>
      <c r="E467">
        <v>3</v>
      </c>
      <c r="F467" s="1"/>
      <c r="G467" s="1"/>
      <c r="H467">
        <f ca="1">IF(T_LEAVE[[#This Row],[EMPLOYEE]]="","",MATCH(T_LEAVE[[#This Row],[EMPLOYEE]],L_EMPLABELS,0))</f>
        <v>469</v>
      </c>
      <c r="I467">
        <f ca="1">IF(T_LEAVE[[#This Row],[EMPLOYEE]]="","",MATCH(T_LEAVE[[#This Row],[LEAVE TYPE]],L_LEAVETYPES,0))</f>
        <v>7</v>
      </c>
      <c r="J467" t="str" cm="1">
        <f t="array" aca="1" ref="J467" ca="1">IFERROR(INDEX(T_LEAVE_TYPES[SYMBOL],T_LEAVE[[#This Row],[LEAVE TYPE SYS ID]]),"")</f>
        <v>C</v>
      </c>
      <c r="K467">
        <f ca="1">IF(T_LEAVE[[#This Row],[EMPLOYEE]]="","",IF(T_LEAVE[[#This Row],[ERROR]]="",0,1))</f>
        <v>0</v>
      </c>
      <c r="L467" t="str" cm="1">
        <f t="array" aca="1" ref="L46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8" spans="1:12">
      <c r="A468" t="s">
        <v>2278</v>
      </c>
      <c r="B468" s="15" t="s">
        <v>2279</v>
      </c>
      <c r="C468" s="15" t="s">
        <v>2279</v>
      </c>
      <c r="D468" t="s">
        <v>98</v>
      </c>
      <c r="E468">
        <v>1</v>
      </c>
      <c r="F468" s="1"/>
      <c r="G468" s="1"/>
      <c r="H468">
        <f ca="1">IF(T_LEAVE[[#This Row],[EMPLOYEE]]="","",MATCH(T_LEAVE[[#This Row],[EMPLOYEE]],L_EMPLABELS,0))</f>
        <v>469</v>
      </c>
      <c r="I468">
        <f ca="1">IF(T_LEAVE[[#This Row],[EMPLOYEE]]="","",MATCH(T_LEAVE[[#This Row],[LEAVE TYPE]],L_LEAVETYPES,0))</f>
        <v>7</v>
      </c>
      <c r="J468" t="str" cm="1">
        <f t="array" aca="1" ref="J468" ca="1">IFERROR(INDEX(T_LEAVE_TYPES[SYMBOL],T_LEAVE[[#This Row],[LEAVE TYPE SYS ID]]),"")</f>
        <v>C</v>
      </c>
      <c r="K468">
        <f ca="1">IF(T_LEAVE[[#This Row],[EMPLOYEE]]="","",IF(T_LEAVE[[#This Row],[ERROR]]="",0,1))</f>
        <v>0</v>
      </c>
      <c r="L468" t="str" cm="1">
        <f t="array" aca="1" ref="L46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9" spans="1:12">
      <c r="A469" t="s">
        <v>2278</v>
      </c>
      <c r="B469" s="15" t="s">
        <v>2142</v>
      </c>
      <c r="C469" s="15" t="s">
        <v>2140</v>
      </c>
      <c r="D469" t="s">
        <v>98</v>
      </c>
      <c r="E469">
        <v>2</v>
      </c>
      <c r="F469" s="1"/>
      <c r="G469" s="1"/>
      <c r="H469">
        <f ca="1">IF(T_LEAVE[[#This Row],[EMPLOYEE]]="","",MATCH(T_LEAVE[[#This Row],[EMPLOYEE]],L_EMPLABELS,0))</f>
        <v>469</v>
      </c>
      <c r="I469">
        <f ca="1">IF(T_LEAVE[[#This Row],[EMPLOYEE]]="","",MATCH(T_LEAVE[[#This Row],[LEAVE TYPE]],L_LEAVETYPES,0))</f>
        <v>7</v>
      </c>
      <c r="J469" t="str" cm="1">
        <f t="array" aca="1" ref="J469" ca="1">IFERROR(INDEX(T_LEAVE_TYPES[SYMBOL],T_LEAVE[[#This Row],[LEAVE TYPE SYS ID]]),"")</f>
        <v>C</v>
      </c>
      <c r="K469">
        <f ca="1">IF(T_LEAVE[[#This Row],[EMPLOYEE]]="","",IF(T_LEAVE[[#This Row],[ERROR]]="",0,1))</f>
        <v>0</v>
      </c>
      <c r="L469" t="str" cm="1">
        <f t="array" aca="1" ref="L46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0" spans="1:12">
      <c r="A470" t="s">
        <v>2280</v>
      </c>
      <c r="B470" s="15" t="s">
        <v>1921</v>
      </c>
      <c r="C470" s="15" t="s">
        <v>1921</v>
      </c>
      <c r="D470" t="s">
        <v>98</v>
      </c>
      <c r="E470">
        <v>1</v>
      </c>
      <c r="F470" s="1"/>
      <c r="G470" s="1"/>
      <c r="H470">
        <f ca="1">IF(T_LEAVE[[#This Row],[EMPLOYEE]]="","",MATCH(T_LEAVE[[#This Row],[EMPLOYEE]],L_EMPLABELS,0))</f>
        <v>128</v>
      </c>
      <c r="I470">
        <f ca="1">IF(T_LEAVE[[#This Row],[EMPLOYEE]]="","",MATCH(T_LEAVE[[#This Row],[LEAVE TYPE]],L_LEAVETYPES,0))</f>
        <v>7</v>
      </c>
      <c r="J470" t="str" cm="1">
        <f t="array" aca="1" ref="J470" ca="1">IFERROR(INDEX(T_LEAVE_TYPES[SYMBOL],T_LEAVE[[#This Row],[LEAVE TYPE SYS ID]]),"")</f>
        <v>C</v>
      </c>
      <c r="K470">
        <f ca="1">IF(T_LEAVE[[#This Row],[EMPLOYEE]]="","",IF(T_LEAVE[[#This Row],[ERROR]]="",0,1))</f>
        <v>0</v>
      </c>
      <c r="L470" t="str" cm="1">
        <f t="array" aca="1" ref="L47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1" spans="1:12">
      <c r="A471" t="s">
        <v>1919</v>
      </c>
      <c r="B471" s="15" t="s">
        <v>2281</v>
      </c>
      <c r="C471" s="15" t="s">
        <v>2281</v>
      </c>
      <c r="D471" t="s">
        <v>98</v>
      </c>
      <c r="E471">
        <v>1</v>
      </c>
      <c r="F471" s="1"/>
      <c r="G471" s="1"/>
      <c r="H471">
        <f ca="1">IF(T_LEAVE[[#This Row],[EMPLOYEE]]="","",MATCH(T_LEAVE[[#This Row],[EMPLOYEE]],L_EMPLABELS,0))</f>
        <v>99</v>
      </c>
      <c r="I471">
        <f ca="1">IF(T_LEAVE[[#This Row],[EMPLOYEE]]="","",MATCH(T_LEAVE[[#This Row],[LEAVE TYPE]],L_LEAVETYPES,0))</f>
        <v>7</v>
      </c>
      <c r="J471" t="str" cm="1">
        <f t="array" aca="1" ref="J471" ca="1">IFERROR(INDEX(T_LEAVE_TYPES[SYMBOL],T_LEAVE[[#This Row],[LEAVE TYPE SYS ID]]),"")</f>
        <v>C</v>
      </c>
      <c r="K471">
        <f ca="1">IF(T_LEAVE[[#This Row],[EMPLOYEE]]="","",IF(T_LEAVE[[#This Row],[ERROR]]="",0,1))</f>
        <v>0</v>
      </c>
      <c r="L471" t="str" cm="1">
        <f t="array" aca="1" ref="L47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2" spans="1:12">
      <c r="A472" t="s">
        <v>2280</v>
      </c>
      <c r="B472" s="15" t="s">
        <v>1915</v>
      </c>
      <c r="C472" s="15" t="s">
        <v>1915</v>
      </c>
      <c r="D472" t="s">
        <v>98</v>
      </c>
      <c r="E472">
        <v>1</v>
      </c>
      <c r="F472" s="1"/>
      <c r="G472" s="1"/>
      <c r="H472">
        <f ca="1">IF(T_LEAVE[[#This Row],[EMPLOYEE]]="","",MATCH(T_LEAVE[[#This Row],[EMPLOYEE]],L_EMPLABELS,0))</f>
        <v>128</v>
      </c>
      <c r="I472">
        <f ca="1">IF(T_LEAVE[[#This Row],[EMPLOYEE]]="","",MATCH(T_LEAVE[[#This Row],[LEAVE TYPE]],L_LEAVETYPES,0))</f>
        <v>7</v>
      </c>
      <c r="J472" t="str" cm="1">
        <f t="array" aca="1" ref="J472" ca="1">IFERROR(INDEX(T_LEAVE_TYPES[SYMBOL],T_LEAVE[[#This Row],[LEAVE TYPE SYS ID]]),"")</f>
        <v>C</v>
      </c>
      <c r="K472">
        <f ca="1">IF(T_LEAVE[[#This Row],[EMPLOYEE]]="","",IF(T_LEAVE[[#This Row],[ERROR]]="",0,1))</f>
        <v>0</v>
      </c>
      <c r="L472" t="str" cm="1">
        <f t="array" aca="1" ref="L47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3" spans="1:12">
      <c r="A473" t="s">
        <v>2280</v>
      </c>
      <c r="B473" s="15" t="s">
        <v>2282</v>
      </c>
      <c r="C473" s="15" t="s">
        <v>1965</v>
      </c>
      <c r="D473" t="s">
        <v>62</v>
      </c>
      <c r="E473">
        <v>170</v>
      </c>
      <c r="F473" s="1"/>
      <c r="G473" s="1"/>
      <c r="H473">
        <f ca="1">IF(T_LEAVE[[#This Row],[EMPLOYEE]]="","",MATCH(T_LEAVE[[#This Row],[EMPLOYEE]],L_EMPLABELS,0))</f>
        <v>128</v>
      </c>
      <c r="I473">
        <f ca="1">IF(T_LEAVE[[#This Row],[EMPLOYEE]]="","",MATCH(T_LEAVE[[#This Row],[LEAVE TYPE]],L_LEAVETYPES,0))</f>
        <v>3</v>
      </c>
      <c r="J473" t="str" cm="1">
        <f t="array" aca="1" ref="J473" ca="1">IFERROR(INDEX(T_LEAVE_TYPES[SYMBOL],T_LEAVE[[#This Row],[LEAVE TYPE SYS ID]]),"")</f>
        <v>M</v>
      </c>
      <c r="K473">
        <f ca="1">IF(T_LEAVE[[#This Row],[EMPLOYEE]]="","",IF(T_LEAVE[[#This Row],[ERROR]]="",0,1))</f>
        <v>0</v>
      </c>
      <c r="L473" t="str" cm="1">
        <f t="array" aca="1" ref="L47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4" spans="1:12">
      <c r="A474" t="s">
        <v>2280</v>
      </c>
      <c r="B474" s="15" t="s">
        <v>1954</v>
      </c>
      <c r="C474" s="15" t="s">
        <v>2283</v>
      </c>
      <c r="D474" t="s">
        <v>62</v>
      </c>
      <c r="E474">
        <v>13</v>
      </c>
      <c r="F474" s="1"/>
      <c r="G474" s="1"/>
      <c r="H474">
        <f ca="1">IF(T_LEAVE[[#This Row],[EMPLOYEE]]="","",MATCH(T_LEAVE[[#This Row],[EMPLOYEE]],L_EMPLABELS,0))</f>
        <v>128</v>
      </c>
      <c r="I474">
        <f ca="1">IF(T_LEAVE[[#This Row],[EMPLOYEE]]="","",MATCH(T_LEAVE[[#This Row],[LEAVE TYPE]],L_LEAVETYPES,0))</f>
        <v>3</v>
      </c>
      <c r="J474" t="str" cm="1">
        <f t="array" aca="1" ref="J474" ca="1">IFERROR(INDEX(T_LEAVE_TYPES[SYMBOL],T_LEAVE[[#This Row],[LEAVE TYPE SYS ID]]),"")</f>
        <v>M</v>
      </c>
      <c r="K474">
        <f ca="1">IF(T_LEAVE[[#This Row],[EMPLOYEE]]="","",IF(T_LEAVE[[#This Row],[ERROR]]="",0,1))</f>
        <v>0</v>
      </c>
      <c r="L474" t="str" cm="1">
        <f t="array" aca="1" ref="L47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5" spans="1:12">
      <c r="A475" t="s">
        <v>2280</v>
      </c>
      <c r="B475" s="15" t="s">
        <v>1956</v>
      </c>
      <c r="C475" s="15" t="s">
        <v>1956</v>
      </c>
      <c r="D475" t="s">
        <v>98</v>
      </c>
      <c r="E475">
        <v>1</v>
      </c>
      <c r="F475" s="1"/>
      <c r="G475" s="1"/>
      <c r="H475">
        <f ca="1">IF(T_LEAVE[[#This Row],[EMPLOYEE]]="","",MATCH(T_LEAVE[[#This Row],[EMPLOYEE]],L_EMPLABELS,0))</f>
        <v>128</v>
      </c>
      <c r="I475">
        <f ca="1">IF(T_LEAVE[[#This Row],[EMPLOYEE]]="","",MATCH(T_LEAVE[[#This Row],[LEAVE TYPE]],L_LEAVETYPES,0))</f>
        <v>7</v>
      </c>
      <c r="J475" t="str" cm="1">
        <f t="array" aca="1" ref="J475" ca="1">IFERROR(INDEX(T_LEAVE_TYPES[SYMBOL],T_LEAVE[[#This Row],[LEAVE TYPE SYS ID]]),"")</f>
        <v>C</v>
      </c>
      <c r="K475">
        <f ca="1">IF(T_LEAVE[[#This Row],[EMPLOYEE]]="","",IF(T_LEAVE[[#This Row],[ERROR]]="",0,1))</f>
        <v>0</v>
      </c>
      <c r="L475" t="str" cm="1">
        <f t="array" aca="1" ref="L47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6" spans="1:12">
      <c r="A476" t="s">
        <v>2280</v>
      </c>
      <c r="B476" s="15" t="s">
        <v>2103</v>
      </c>
      <c r="C476" s="15" t="s">
        <v>2103</v>
      </c>
      <c r="D476" t="s">
        <v>98</v>
      </c>
      <c r="E476">
        <v>1</v>
      </c>
      <c r="F476" s="1"/>
      <c r="G476" s="1"/>
      <c r="H476">
        <f ca="1">IF(T_LEAVE[[#This Row],[EMPLOYEE]]="","",MATCH(T_LEAVE[[#This Row],[EMPLOYEE]],L_EMPLABELS,0))</f>
        <v>128</v>
      </c>
      <c r="I476">
        <f ca="1">IF(T_LEAVE[[#This Row],[EMPLOYEE]]="","",MATCH(T_LEAVE[[#This Row],[LEAVE TYPE]],L_LEAVETYPES,0))</f>
        <v>7</v>
      </c>
      <c r="J476" t="str" cm="1">
        <f t="array" aca="1" ref="J476" ca="1">IFERROR(INDEX(T_LEAVE_TYPES[SYMBOL],T_LEAVE[[#This Row],[LEAVE TYPE SYS ID]]),"")</f>
        <v>C</v>
      </c>
      <c r="K476">
        <f ca="1">IF(T_LEAVE[[#This Row],[EMPLOYEE]]="","",IF(T_LEAVE[[#This Row],[ERROR]]="",0,1))</f>
        <v>0</v>
      </c>
      <c r="L476" t="str" cm="1">
        <f t="array" aca="1" ref="L47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7" spans="1:12">
      <c r="A477" t="s">
        <v>2280</v>
      </c>
      <c r="B477" s="15" t="s">
        <v>2214</v>
      </c>
      <c r="C477" s="15" t="s">
        <v>2214</v>
      </c>
      <c r="D477" t="s">
        <v>98</v>
      </c>
      <c r="E477">
        <v>1</v>
      </c>
      <c r="F477" s="1"/>
      <c r="G477" s="1"/>
      <c r="H477">
        <f ca="1">IF(T_LEAVE[[#This Row],[EMPLOYEE]]="","",MATCH(T_LEAVE[[#This Row],[EMPLOYEE]],L_EMPLABELS,0))</f>
        <v>128</v>
      </c>
      <c r="I477">
        <f ca="1">IF(T_LEAVE[[#This Row],[EMPLOYEE]]="","",MATCH(T_LEAVE[[#This Row],[LEAVE TYPE]],L_LEAVETYPES,0))</f>
        <v>7</v>
      </c>
      <c r="J477" t="str" cm="1">
        <f t="array" aca="1" ref="J477" ca="1">IFERROR(INDEX(T_LEAVE_TYPES[SYMBOL],T_LEAVE[[#This Row],[LEAVE TYPE SYS ID]]),"")</f>
        <v>C</v>
      </c>
      <c r="K477">
        <f ca="1">IF(T_LEAVE[[#This Row],[EMPLOYEE]]="","",IF(T_LEAVE[[#This Row],[ERROR]]="",0,1))</f>
        <v>0</v>
      </c>
      <c r="L477" t="str" cm="1">
        <f t="array" aca="1" ref="L47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8" spans="1:12">
      <c r="A478" t="s">
        <v>2280</v>
      </c>
      <c r="B478" s="15" t="s">
        <v>2197</v>
      </c>
      <c r="C478" s="15" t="s">
        <v>2197</v>
      </c>
      <c r="D478" t="s">
        <v>98</v>
      </c>
      <c r="E478">
        <v>1</v>
      </c>
      <c r="F478" s="1"/>
      <c r="G478" s="1"/>
      <c r="H478">
        <f ca="1">IF(T_LEAVE[[#This Row],[EMPLOYEE]]="","",MATCH(T_LEAVE[[#This Row],[EMPLOYEE]],L_EMPLABELS,0))</f>
        <v>128</v>
      </c>
      <c r="I478">
        <f ca="1">IF(T_LEAVE[[#This Row],[EMPLOYEE]]="","",MATCH(T_LEAVE[[#This Row],[LEAVE TYPE]],L_LEAVETYPES,0))</f>
        <v>7</v>
      </c>
      <c r="J478" t="str" cm="1">
        <f t="array" aca="1" ref="J478" ca="1">IFERROR(INDEX(T_LEAVE_TYPES[SYMBOL],T_LEAVE[[#This Row],[LEAVE TYPE SYS ID]]),"")</f>
        <v>C</v>
      </c>
      <c r="K478">
        <f ca="1">IF(T_LEAVE[[#This Row],[EMPLOYEE]]="","",IF(T_LEAVE[[#This Row],[ERROR]]="",0,1))</f>
        <v>0</v>
      </c>
      <c r="L478" t="str" cm="1">
        <f t="array" aca="1" ref="L47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9" spans="1:12">
      <c r="A479" t="s">
        <v>2280</v>
      </c>
      <c r="B479" s="15" t="s">
        <v>2284</v>
      </c>
      <c r="C479" s="15" t="s">
        <v>2285</v>
      </c>
      <c r="D479" t="s">
        <v>98</v>
      </c>
      <c r="E479">
        <v>5</v>
      </c>
      <c r="F479" s="1"/>
      <c r="G479" s="1"/>
      <c r="H479">
        <f ca="1">IF(T_LEAVE[[#This Row],[EMPLOYEE]]="","",MATCH(T_LEAVE[[#This Row],[EMPLOYEE]],L_EMPLABELS,0))</f>
        <v>128</v>
      </c>
      <c r="I479">
        <f ca="1">IF(T_LEAVE[[#This Row],[EMPLOYEE]]="","",MATCH(T_LEAVE[[#This Row],[LEAVE TYPE]],L_LEAVETYPES,0))</f>
        <v>7</v>
      </c>
      <c r="J479" t="str" cm="1">
        <f t="array" aca="1" ref="J479" ca="1">IFERROR(INDEX(T_LEAVE_TYPES[SYMBOL],T_LEAVE[[#This Row],[LEAVE TYPE SYS ID]]),"")</f>
        <v>C</v>
      </c>
      <c r="K479">
        <f ca="1">IF(T_LEAVE[[#This Row],[EMPLOYEE]]="","",IF(T_LEAVE[[#This Row],[ERROR]]="",0,1))</f>
        <v>0</v>
      </c>
      <c r="L479" t="str" cm="1">
        <f t="array" aca="1" ref="L47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0" spans="1:12">
      <c r="A480" t="s">
        <v>1919</v>
      </c>
      <c r="B480" s="15" t="s">
        <v>2286</v>
      </c>
      <c r="C480" s="15" t="s">
        <v>2287</v>
      </c>
      <c r="D480" t="s">
        <v>92</v>
      </c>
      <c r="E480">
        <v>3</v>
      </c>
      <c r="F480" s="1"/>
      <c r="G480" s="1"/>
      <c r="H480">
        <f ca="1">IF(T_LEAVE[[#This Row],[EMPLOYEE]]="","",MATCH(T_LEAVE[[#This Row],[EMPLOYEE]],L_EMPLABELS,0))</f>
        <v>99</v>
      </c>
      <c r="I480">
        <f ca="1">IF(T_LEAVE[[#This Row],[EMPLOYEE]]="","",MATCH(T_LEAVE[[#This Row],[LEAVE TYPE]],L_LEAVETYPES,0))</f>
        <v>6</v>
      </c>
      <c r="J480" t="str" cm="1">
        <f t="array" aca="1" ref="J480" ca="1">IFERROR(INDEX(T_LEAVE_TYPES[SYMBOL],T_LEAVE[[#This Row],[LEAVE TYPE SYS ID]]),"")</f>
        <v>PR</v>
      </c>
      <c r="K480">
        <f ca="1">IF(T_LEAVE[[#This Row],[EMPLOYEE]]="","",IF(T_LEAVE[[#This Row],[ERROR]]="",0,1))</f>
        <v>0</v>
      </c>
      <c r="L480" t="str" cm="1">
        <f t="array" aca="1" ref="L48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1" spans="1:12">
      <c r="A481" t="s">
        <v>1919</v>
      </c>
      <c r="B481" s="15" t="s">
        <v>2288</v>
      </c>
      <c r="C481" s="15" t="s">
        <v>2289</v>
      </c>
      <c r="D481" t="s">
        <v>73</v>
      </c>
      <c r="E481">
        <v>5</v>
      </c>
      <c r="F481" s="1"/>
      <c r="G481" s="1"/>
      <c r="H481">
        <f ca="1">IF(T_LEAVE[[#This Row],[EMPLOYEE]]="","",MATCH(T_LEAVE[[#This Row],[EMPLOYEE]],L_EMPLABELS,0))</f>
        <v>99</v>
      </c>
      <c r="I481">
        <f ca="1">IF(T_LEAVE[[#This Row],[EMPLOYEE]]="","",MATCH(T_LEAVE[[#This Row],[LEAVE TYPE]],L_LEAVETYPES,0))</f>
        <v>4</v>
      </c>
      <c r="J481" t="str" cm="1">
        <f t="array" aca="1" ref="J481" ca="1">IFERROR(INDEX(T_LEAVE_TYPES[SYMBOL],T_LEAVE[[#This Row],[LEAVE TYPE SYS ID]]),"")</f>
        <v>P</v>
      </c>
      <c r="K481">
        <f ca="1">IF(T_LEAVE[[#This Row],[EMPLOYEE]]="","",IF(T_LEAVE[[#This Row],[ERROR]]="",0,1))</f>
        <v>0</v>
      </c>
      <c r="L481" t="str" cm="1">
        <f t="array" aca="1" ref="L48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2" spans="1:12">
      <c r="A482" t="s">
        <v>2027</v>
      </c>
      <c r="B482" s="15" t="s">
        <v>2166</v>
      </c>
      <c r="C482" s="15" t="s">
        <v>2166</v>
      </c>
      <c r="D482" t="s">
        <v>92</v>
      </c>
      <c r="E482">
        <v>1</v>
      </c>
      <c r="F482" s="1"/>
      <c r="G482" s="1"/>
      <c r="H482">
        <f ca="1">IF(T_LEAVE[[#This Row],[EMPLOYEE]]="","",MATCH(T_LEAVE[[#This Row],[EMPLOYEE]],L_EMPLABELS,0))</f>
        <v>101</v>
      </c>
      <c r="I482">
        <f ca="1">IF(T_LEAVE[[#This Row],[EMPLOYEE]]="","",MATCH(T_LEAVE[[#This Row],[LEAVE TYPE]],L_LEAVETYPES,0))</f>
        <v>6</v>
      </c>
      <c r="J482" t="str" cm="1">
        <f t="array" aca="1" ref="J482" ca="1">IFERROR(INDEX(T_LEAVE_TYPES[SYMBOL],T_LEAVE[[#This Row],[LEAVE TYPE SYS ID]]),"")</f>
        <v>PR</v>
      </c>
      <c r="K482">
        <f ca="1">IF(T_LEAVE[[#This Row],[EMPLOYEE]]="","",IF(T_LEAVE[[#This Row],[ERROR]]="",0,1))</f>
        <v>0</v>
      </c>
      <c r="L482" t="str" cm="1">
        <f t="array" aca="1" ref="L48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3" spans="1:12">
      <c r="A483" t="s">
        <v>2027</v>
      </c>
      <c r="B483" s="28" t="s">
        <v>1991</v>
      </c>
      <c r="C483" s="15" t="s">
        <v>1991</v>
      </c>
      <c r="D483" t="s">
        <v>92</v>
      </c>
      <c r="E483">
        <v>1</v>
      </c>
      <c r="F483" s="1"/>
      <c r="G483" s="1"/>
      <c r="H483">
        <f ca="1">IF(T_LEAVE[[#This Row],[EMPLOYEE]]="","",MATCH(T_LEAVE[[#This Row],[EMPLOYEE]],L_EMPLABELS,0))</f>
        <v>101</v>
      </c>
      <c r="I483">
        <f ca="1">IF(T_LEAVE[[#This Row],[EMPLOYEE]]="","",MATCH(T_LEAVE[[#This Row],[LEAVE TYPE]],L_LEAVETYPES,0))</f>
        <v>6</v>
      </c>
      <c r="J483" t="str" cm="1">
        <f t="array" aca="1" ref="J483" ca="1">IFERROR(INDEX(T_LEAVE_TYPES[SYMBOL],T_LEAVE[[#This Row],[LEAVE TYPE SYS ID]]),"")</f>
        <v>PR</v>
      </c>
      <c r="K483">
        <f ca="1">IF(T_LEAVE[[#This Row],[EMPLOYEE]]="","",IF(T_LEAVE[[#This Row],[ERROR]]="",0,1))</f>
        <v>0</v>
      </c>
      <c r="L483" t="str" cm="1">
        <f t="array" aca="1" ref="L48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4" spans="1:12">
      <c r="A484" t="s">
        <v>2290</v>
      </c>
      <c r="B484" s="15" t="s">
        <v>1958</v>
      </c>
      <c r="C484" s="15" t="s">
        <v>1958</v>
      </c>
      <c r="D484" t="s">
        <v>92</v>
      </c>
      <c r="E484">
        <v>1</v>
      </c>
      <c r="F484" s="1"/>
      <c r="G484" s="1"/>
      <c r="H484">
        <f ca="1">IF(T_LEAVE[[#This Row],[EMPLOYEE]]="","",MATCH(T_LEAVE[[#This Row],[EMPLOYEE]],L_EMPLABELS,0))</f>
        <v>175</v>
      </c>
      <c r="I484">
        <f ca="1">IF(T_LEAVE[[#This Row],[EMPLOYEE]]="","",MATCH(T_LEAVE[[#This Row],[LEAVE TYPE]],L_LEAVETYPES,0))</f>
        <v>6</v>
      </c>
      <c r="J484" t="str" cm="1">
        <f t="array" aca="1" ref="J484" ca="1">IFERROR(INDEX(T_LEAVE_TYPES[SYMBOL],T_LEAVE[[#This Row],[LEAVE TYPE SYS ID]]),"")</f>
        <v>PR</v>
      </c>
      <c r="K484">
        <f ca="1">IF(T_LEAVE[[#This Row],[EMPLOYEE]]="","",IF(T_LEAVE[[#This Row],[ERROR]]="",0,1))</f>
        <v>0</v>
      </c>
      <c r="L484" t="str" cm="1">
        <f t="array" aca="1" ref="L48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5" spans="1:12">
      <c r="A485" t="s">
        <v>2290</v>
      </c>
      <c r="B485" s="15" t="s">
        <v>1985</v>
      </c>
      <c r="C485" s="15" t="s">
        <v>1985</v>
      </c>
      <c r="D485" t="s">
        <v>92</v>
      </c>
      <c r="E485">
        <v>1</v>
      </c>
      <c r="F485" s="1"/>
      <c r="G485" s="1"/>
      <c r="H485">
        <f ca="1">IF(T_LEAVE[[#This Row],[EMPLOYEE]]="","",MATCH(T_LEAVE[[#This Row],[EMPLOYEE]],L_EMPLABELS,0))</f>
        <v>175</v>
      </c>
      <c r="I485">
        <f ca="1">IF(T_LEAVE[[#This Row],[EMPLOYEE]]="","",MATCH(T_LEAVE[[#This Row],[LEAVE TYPE]],L_LEAVETYPES,0))</f>
        <v>6</v>
      </c>
      <c r="J485" t="str" cm="1">
        <f t="array" aca="1" ref="J485" ca="1">IFERROR(INDEX(T_LEAVE_TYPES[SYMBOL],T_LEAVE[[#This Row],[LEAVE TYPE SYS ID]]),"")</f>
        <v>PR</v>
      </c>
      <c r="K485">
        <f ca="1">IF(T_LEAVE[[#This Row],[EMPLOYEE]]="","",IF(T_LEAVE[[#This Row],[ERROR]]="",0,1))</f>
        <v>0</v>
      </c>
      <c r="L485" t="str" cm="1">
        <f t="array" aca="1" ref="L48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6" spans="1:12">
      <c r="A486" t="s">
        <v>2290</v>
      </c>
      <c r="B486" s="15" t="s">
        <v>2036</v>
      </c>
      <c r="C486" s="15" t="s">
        <v>2036</v>
      </c>
      <c r="D486" t="s">
        <v>92</v>
      </c>
      <c r="E486">
        <v>1</v>
      </c>
      <c r="F486" s="1"/>
      <c r="G486" s="1"/>
      <c r="H486">
        <f ca="1">IF(T_LEAVE[[#This Row],[EMPLOYEE]]="","",MATCH(T_LEAVE[[#This Row],[EMPLOYEE]],L_EMPLABELS,0))</f>
        <v>175</v>
      </c>
      <c r="I486">
        <f ca="1">IF(T_LEAVE[[#This Row],[EMPLOYEE]]="","",MATCH(T_LEAVE[[#This Row],[LEAVE TYPE]],L_LEAVETYPES,0))</f>
        <v>6</v>
      </c>
      <c r="J486" t="str" cm="1">
        <f t="array" aca="1" ref="J486" ca="1">IFERROR(INDEX(T_LEAVE_TYPES[SYMBOL],T_LEAVE[[#This Row],[LEAVE TYPE SYS ID]]),"")</f>
        <v>PR</v>
      </c>
      <c r="K486">
        <f ca="1">IF(T_LEAVE[[#This Row],[EMPLOYEE]]="","",IF(T_LEAVE[[#This Row],[ERROR]]="",0,1))</f>
        <v>0</v>
      </c>
      <c r="L486" t="str" cm="1">
        <f t="array" aca="1" ref="L48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7" spans="1:12">
      <c r="A487" t="s">
        <v>2290</v>
      </c>
      <c r="B487" s="15" t="s">
        <v>2002</v>
      </c>
      <c r="C487" s="15" t="s">
        <v>2034</v>
      </c>
      <c r="D487" t="s">
        <v>98</v>
      </c>
      <c r="E487">
        <v>2</v>
      </c>
      <c r="F487" s="1"/>
      <c r="G487" s="1"/>
      <c r="H487">
        <f ca="1">IF(T_LEAVE[[#This Row],[EMPLOYEE]]="","",MATCH(T_LEAVE[[#This Row],[EMPLOYEE]],L_EMPLABELS,0))</f>
        <v>175</v>
      </c>
      <c r="I487">
        <f ca="1">IF(T_LEAVE[[#This Row],[EMPLOYEE]]="","",MATCH(T_LEAVE[[#This Row],[LEAVE TYPE]],L_LEAVETYPES,0))</f>
        <v>7</v>
      </c>
      <c r="J487" t="str" cm="1">
        <f t="array" aca="1" ref="J487" ca="1">IFERROR(INDEX(T_LEAVE_TYPES[SYMBOL],T_LEAVE[[#This Row],[LEAVE TYPE SYS ID]]),"")</f>
        <v>C</v>
      </c>
      <c r="K487">
        <f ca="1">IF(T_LEAVE[[#This Row],[EMPLOYEE]]="","",IF(T_LEAVE[[#This Row],[ERROR]]="",0,1))</f>
        <v>0</v>
      </c>
      <c r="L487" t="str" cm="1">
        <f t="array" aca="1" ref="L48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8" spans="1:12">
      <c r="A488" t="s">
        <v>2290</v>
      </c>
      <c r="B488" s="15" t="s">
        <v>2291</v>
      </c>
      <c r="C488" s="15" t="s">
        <v>2023</v>
      </c>
      <c r="D488" t="s">
        <v>98</v>
      </c>
      <c r="E488">
        <v>2</v>
      </c>
      <c r="F488" s="1"/>
      <c r="G488" s="1"/>
      <c r="H488">
        <f ca="1">IF(T_LEAVE[[#This Row],[EMPLOYEE]]="","",MATCH(T_LEAVE[[#This Row],[EMPLOYEE]],L_EMPLABELS,0))</f>
        <v>175</v>
      </c>
      <c r="I488">
        <f ca="1">IF(T_LEAVE[[#This Row],[EMPLOYEE]]="","",MATCH(T_LEAVE[[#This Row],[LEAVE TYPE]],L_LEAVETYPES,0))</f>
        <v>7</v>
      </c>
      <c r="J488" t="str" cm="1">
        <f t="array" aca="1" ref="J488" ca="1">IFERROR(INDEX(T_LEAVE_TYPES[SYMBOL],T_LEAVE[[#This Row],[LEAVE TYPE SYS ID]]),"")</f>
        <v>C</v>
      </c>
      <c r="K488">
        <f ca="1">IF(T_LEAVE[[#This Row],[EMPLOYEE]]="","",IF(T_LEAVE[[#This Row],[ERROR]]="",0,1))</f>
        <v>0</v>
      </c>
      <c r="L488" t="str" cm="1">
        <f t="array" aca="1" ref="L48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9" spans="1:12">
      <c r="A489" t="s">
        <v>2290</v>
      </c>
      <c r="B489" s="15" t="s">
        <v>2092</v>
      </c>
      <c r="C489" s="15" t="s">
        <v>2095</v>
      </c>
      <c r="D489" t="s">
        <v>92</v>
      </c>
      <c r="E489">
        <v>2</v>
      </c>
      <c r="F489" s="1"/>
      <c r="G489" s="1"/>
      <c r="H489">
        <f ca="1">IF(T_LEAVE[[#This Row],[EMPLOYEE]]="","",MATCH(T_LEAVE[[#This Row],[EMPLOYEE]],L_EMPLABELS,0))</f>
        <v>175</v>
      </c>
      <c r="I489">
        <f ca="1">IF(T_LEAVE[[#This Row],[EMPLOYEE]]="","",MATCH(T_LEAVE[[#This Row],[LEAVE TYPE]],L_LEAVETYPES,0))</f>
        <v>6</v>
      </c>
      <c r="J489" t="str" cm="1">
        <f t="array" aca="1" ref="J489" ca="1">IFERROR(INDEX(T_LEAVE_TYPES[SYMBOL],T_LEAVE[[#This Row],[LEAVE TYPE SYS ID]]),"")</f>
        <v>PR</v>
      </c>
      <c r="K489">
        <f ca="1">IF(T_LEAVE[[#This Row],[EMPLOYEE]]="","",IF(T_LEAVE[[#This Row],[ERROR]]="",0,1))</f>
        <v>0</v>
      </c>
      <c r="L489" t="str" cm="1">
        <f t="array" aca="1" ref="L48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0" spans="1:12">
      <c r="A490" t="s">
        <v>2290</v>
      </c>
      <c r="B490" s="15" t="s">
        <v>2032</v>
      </c>
      <c r="C490" s="15" t="s">
        <v>1930</v>
      </c>
      <c r="D490" t="s">
        <v>98</v>
      </c>
      <c r="E490">
        <v>2</v>
      </c>
      <c r="F490" s="1"/>
      <c r="G490" s="1"/>
      <c r="H490">
        <f ca="1">IF(T_LEAVE[[#This Row],[EMPLOYEE]]="","",MATCH(T_LEAVE[[#This Row],[EMPLOYEE]],L_EMPLABELS,0))</f>
        <v>175</v>
      </c>
      <c r="I490">
        <f ca="1">IF(T_LEAVE[[#This Row],[EMPLOYEE]]="","",MATCH(T_LEAVE[[#This Row],[LEAVE TYPE]],L_LEAVETYPES,0))</f>
        <v>7</v>
      </c>
      <c r="J490" t="str" cm="1">
        <f t="array" aca="1" ref="J490" ca="1">IFERROR(INDEX(T_LEAVE_TYPES[SYMBOL],T_LEAVE[[#This Row],[LEAVE TYPE SYS ID]]),"")</f>
        <v>C</v>
      </c>
      <c r="K490">
        <f ca="1">IF(T_LEAVE[[#This Row],[EMPLOYEE]]="","",IF(T_LEAVE[[#This Row],[ERROR]]="",0,1))</f>
        <v>0</v>
      </c>
      <c r="L490" t="str" cm="1">
        <f t="array" aca="1" ref="L49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1" spans="1:12">
      <c r="A491" t="s">
        <v>2290</v>
      </c>
      <c r="B491" s="15" t="s">
        <v>2292</v>
      </c>
      <c r="C491" s="15" t="s">
        <v>2292</v>
      </c>
      <c r="D491" t="s">
        <v>98</v>
      </c>
      <c r="E491">
        <v>1</v>
      </c>
      <c r="F491" s="1"/>
      <c r="G491" s="1"/>
      <c r="H491">
        <f ca="1">IF(T_LEAVE[[#This Row],[EMPLOYEE]]="","",MATCH(T_LEAVE[[#This Row],[EMPLOYEE]],L_EMPLABELS,0))</f>
        <v>175</v>
      </c>
      <c r="I491">
        <f ca="1">IF(T_LEAVE[[#This Row],[EMPLOYEE]]="","",MATCH(T_LEAVE[[#This Row],[LEAVE TYPE]],L_LEAVETYPES,0))</f>
        <v>7</v>
      </c>
      <c r="J491" t="str" cm="1">
        <f t="array" aca="1" ref="J491" ca="1">IFERROR(INDEX(T_LEAVE_TYPES[SYMBOL],T_LEAVE[[#This Row],[LEAVE TYPE SYS ID]]),"")</f>
        <v>C</v>
      </c>
      <c r="K491">
        <f ca="1">IF(T_LEAVE[[#This Row],[EMPLOYEE]]="","",IF(T_LEAVE[[#This Row],[ERROR]]="",0,1))</f>
        <v>0</v>
      </c>
      <c r="L491" t="str" cm="1">
        <f t="array" aca="1" ref="L49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2" spans="1:12">
      <c r="A492" t="s">
        <v>2290</v>
      </c>
      <c r="B492" s="15" t="s">
        <v>2162</v>
      </c>
      <c r="C492" s="15" t="s">
        <v>2162</v>
      </c>
      <c r="D492" t="s">
        <v>98</v>
      </c>
      <c r="E492">
        <v>1</v>
      </c>
      <c r="F492" s="1"/>
      <c r="G492" s="1"/>
      <c r="H492">
        <f ca="1">IF(T_LEAVE[[#This Row],[EMPLOYEE]]="","",MATCH(T_LEAVE[[#This Row],[EMPLOYEE]],L_EMPLABELS,0))</f>
        <v>175</v>
      </c>
      <c r="I492">
        <f ca="1">IF(T_LEAVE[[#This Row],[EMPLOYEE]]="","",MATCH(T_LEAVE[[#This Row],[LEAVE TYPE]],L_LEAVETYPES,0))</f>
        <v>7</v>
      </c>
      <c r="J492" t="str" cm="1">
        <f t="array" aca="1" ref="J492" ca="1">IFERROR(INDEX(T_LEAVE_TYPES[SYMBOL],T_LEAVE[[#This Row],[LEAVE TYPE SYS ID]]),"")</f>
        <v>C</v>
      </c>
      <c r="K492">
        <f ca="1">IF(T_LEAVE[[#This Row],[EMPLOYEE]]="","",IF(T_LEAVE[[#This Row],[ERROR]]="",0,1))</f>
        <v>0</v>
      </c>
      <c r="L492" t="str" cm="1">
        <f t="array" aca="1" ref="L49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3" spans="1:12">
      <c r="A493" t="s">
        <v>2290</v>
      </c>
      <c r="B493" s="15" t="s">
        <v>2293</v>
      </c>
      <c r="C493" s="15" t="s">
        <v>2148</v>
      </c>
      <c r="D493" t="s">
        <v>92</v>
      </c>
      <c r="E493">
        <v>2</v>
      </c>
      <c r="F493" s="1"/>
      <c r="G493" s="1"/>
      <c r="H493">
        <f ca="1">IF(T_LEAVE[[#This Row],[EMPLOYEE]]="","",MATCH(T_LEAVE[[#This Row],[EMPLOYEE]],L_EMPLABELS,0))</f>
        <v>175</v>
      </c>
      <c r="I493">
        <f ca="1">IF(T_LEAVE[[#This Row],[EMPLOYEE]]="","",MATCH(T_LEAVE[[#This Row],[LEAVE TYPE]],L_LEAVETYPES,0))</f>
        <v>6</v>
      </c>
      <c r="J493" t="str" cm="1">
        <f t="array" aca="1" ref="J493" ca="1">IFERROR(INDEX(T_LEAVE_TYPES[SYMBOL],T_LEAVE[[#This Row],[LEAVE TYPE SYS ID]]),"")</f>
        <v>PR</v>
      </c>
      <c r="K493">
        <f ca="1">IF(T_LEAVE[[#This Row],[EMPLOYEE]]="","",IF(T_LEAVE[[#This Row],[ERROR]]="",0,1))</f>
        <v>0</v>
      </c>
      <c r="L493" t="str" cm="1">
        <f t="array" aca="1" ref="L49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4" spans="1:12">
      <c r="A494" t="s">
        <v>2290</v>
      </c>
      <c r="B494" s="15" t="s">
        <v>2103</v>
      </c>
      <c r="C494" s="15" t="s">
        <v>2142</v>
      </c>
      <c r="D494" t="s">
        <v>98</v>
      </c>
      <c r="E494">
        <v>2</v>
      </c>
      <c r="F494" s="1"/>
      <c r="G494" s="1"/>
      <c r="H494">
        <f ca="1">IF(T_LEAVE[[#This Row],[EMPLOYEE]]="","",MATCH(T_LEAVE[[#This Row],[EMPLOYEE]],L_EMPLABELS,0))</f>
        <v>175</v>
      </c>
      <c r="I494">
        <f ca="1">IF(T_LEAVE[[#This Row],[EMPLOYEE]]="","",MATCH(T_LEAVE[[#This Row],[LEAVE TYPE]],L_LEAVETYPES,0))</f>
        <v>7</v>
      </c>
      <c r="J494" t="str" cm="1">
        <f t="array" aca="1" ref="J494" ca="1">IFERROR(INDEX(T_LEAVE_TYPES[SYMBOL],T_LEAVE[[#This Row],[LEAVE TYPE SYS ID]]),"")</f>
        <v>C</v>
      </c>
      <c r="K494">
        <f ca="1">IF(T_LEAVE[[#This Row],[EMPLOYEE]]="","",IF(T_LEAVE[[#This Row],[ERROR]]="",0,1))</f>
        <v>0</v>
      </c>
      <c r="L494" t="str" cm="1">
        <f t="array" aca="1" ref="L49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5" spans="1:12">
      <c r="A495" t="s">
        <v>2290</v>
      </c>
      <c r="B495" s="15" t="s">
        <v>2294</v>
      </c>
      <c r="C495" s="15" t="s">
        <v>2157</v>
      </c>
      <c r="D495" t="s">
        <v>98</v>
      </c>
      <c r="E495">
        <v>2</v>
      </c>
      <c r="F495" s="1"/>
      <c r="G495" s="1"/>
      <c r="H495">
        <f ca="1">IF(T_LEAVE[[#This Row],[EMPLOYEE]]="","",MATCH(T_LEAVE[[#This Row],[EMPLOYEE]],L_EMPLABELS,0))</f>
        <v>175</v>
      </c>
      <c r="I495">
        <f ca="1">IF(T_LEAVE[[#This Row],[EMPLOYEE]]="","",MATCH(T_LEAVE[[#This Row],[LEAVE TYPE]],L_LEAVETYPES,0))</f>
        <v>7</v>
      </c>
      <c r="J495" t="str" cm="1">
        <f t="array" aca="1" ref="J495" ca="1">IFERROR(INDEX(T_LEAVE_TYPES[SYMBOL],T_LEAVE[[#This Row],[LEAVE TYPE SYS ID]]),"")</f>
        <v>C</v>
      </c>
      <c r="K495">
        <f ca="1">IF(T_LEAVE[[#This Row],[EMPLOYEE]]="","",IF(T_LEAVE[[#This Row],[ERROR]]="",0,1))</f>
        <v>0</v>
      </c>
      <c r="L495" t="str" cm="1">
        <f t="array" aca="1" ref="L49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6" spans="1:12">
      <c r="A496" t="s">
        <v>2295</v>
      </c>
      <c r="B496" s="15" t="s">
        <v>1996</v>
      </c>
      <c r="C496" s="15" t="s">
        <v>1960</v>
      </c>
      <c r="D496" t="s">
        <v>98</v>
      </c>
      <c r="E496">
        <v>2</v>
      </c>
      <c r="F496" s="1"/>
      <c r="G496" s="1"/>
      <c r="H496">
        <f ca="1">IF(T_LEAVE[[#This Row],[EMPLOYEE]]="","",MATCH(T_LEAVE[[#This Row],[EMPLOYEE]],L_EMPLABELS,0))</f>
        <v>396</v>
      </c>
      <c r="I496">
        <f ca="1">IF(T_LEAVE[[#This Row],[EMPLOYEE]]="","",MATCH(T_LEAVE[[#This Row],[LEAVE TYPE]],L_LEAVETYPES,0))</f>
        <v>7</v>
      </c>
      <c r="J496" t="str" cm="1">
        <f t="array" aca="1" ref="J496" ca="1">IFERROR(INDEX(T_LEAVE_TYPES[SYMBOL],T_LEAVE[[#This Row],[LEAVE TYPE SYS ID]]),"")</f>
        <v>C</v>
      </c>
      <c r="K496">
        <f ca="1">IF(T_LEAVE[[#This Row],[EMPLOYEE]]="","",IF(T_LEAVE[[#This Row],[ERROR]]="",0,1))</f>
        <v>0</v>
      </c>
      <c r="L496" t="str" cm="1">
        <f t="array" aca="1" ref="L49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7" spans="1:12">
      <c r="A497" t="s">
        <v>2295</v>
      </c>
      <c r="B497" s="15" t="s">
        <v>2093</v>
      </c>
      <c r="C497" s="15" t="s">
        <v>2093</v>
      </c>
      <c r="D497" t="s">
        <v>92</v>
      </c>
      <c r="E497">
        <v>1</v>
      </c>
      <c r="F497" s="1"/>
      <c r="G497" s="1"/>
      <c r="H497">
        <f ca="1">IF(T_LEAVE[[#This Row],[EMPLOYEE]]="","",MATCH(T_LEAVE[[#This Row],[EMPLOYEE]],L_EMPLABELS,0))</f>
        <v>396</v>
      </c>
      <c r="I497">
        <f ca="1">IF(T_LEAVE[[#This Row],[EMPLOYEE]]="","",MATCH(T_LEAVE[[#This Row],[LEAVE TYPE]],L_LEAVETYPES,0))</f>
        <v>6</v>
      </c>
      <c r="J497" t="str" cm="1">
        <f t="array" aca="1" ref="J497" ca="1">IFERROR(INDEX(T_LEAVE_TYPES[SYMBOL],T_LEAVE[[#This Row],[LEAVE TYPE SYS ID]]),"")</f>
        <v>PR</v>
      </c>
      <c r="K497">
        <f ca="1">IF(T_LEAVE[[#This Row],[EMPLOYEE]]="","",IF(T_LEAVE[[#This Row],[ERROR]]="",0,1))</f>
        <v>0</v>
      </c>
      <c r="L497" t="str" cm="1">
        <f t="array" aca="1" ref="L49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8" spans="1:12">
      <c r="A498" t="s">
        <v>2295</v>
      </c>
      <c r="B498" s="15" t="s">
        <v>2007</v>
      </c>
      <c r="C498" s="15" t="s">
        <v>2007</v>
      </c>
      <c r="D498" t="s">
        <v>98</v>
      </c>
      <c r="E498">
        <v>1</v>
      </c>
      <c r="F498" s="1"/>
      <c r="G498" s="1"/>
      <c r="H498">
        <f ca="1">IF(T_LEAVE[[#This Row],[EMPLOYEE]]="","",MATCH(T_LEAVE[[#This Row],[EMPLOYEE]],L_EMPLABELS,0))</f>
        <v>396</v>
      </c>
      <c r="I498">
        <f ca="1">IF(T_LEAVE[[#This Row],[EMPLOYEE]]="","",MATCH(T_LEAVE[[#This Row],[LEAVE TYPE]],L_LEAVETYPES,0))</f>
        <v>7</v>
      </c>
      <c r="J498" t="str" cm="1">
        <f t="array" aca="1" ref="J498" ca="1">IFERROR(INDEX(T_LEAVE_TYPES[SYMBOL],T_LEAVE[[#This Row],[LEAVE TYPE SYS ID]]),"")</f>
        <v>C</v>
      </c>
      <c r="K498">
        <f ca="1">IF(T_LEAVE[[#This Row],[EMPLOYEE]]="","",IF(T_LEAVE[[#This Row],[ERROR]]="",0,1))</f>
        <v>0</v>
      </c>
      <c r="L498" t="str" cm="1">
        <f t="array" aca="1" ref="L49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9" spans="1:12">
      <c r="A499" t="s">
        <v>2295</v>
      </c>
      <c r="B499" s="15" t="s">
        <v>2040</v>
      </c>
      <c r="C499" s="15" t="s">
        <v>2296</v>
      </c>
      <c r="D499" t="s">
        <v>92</v>
      </c>
      <c r="E499">
        <v>2</v>
      </c>
      <c r="F499" s="1"/>
      <c r="G499" s="1"/>
      <c r="H499">
        <f ca="1">IF(T_LEAVE[[#This Row],[EMPLOYEE]]="","",MATCH(T_LEAVE[[#This Row],[EMPLOYEE]],L_EMPLABELS,0))</f>
        <v>396</v>
      </c>
      <c r="I499">
        <f ca="1">IF(T_LEAVE[[#This Row],[EMPLOYEE]]="","",MATCH(T_LEAVE[[#This Row],[LEAVE TYPE]],L_LEAVETYPES,0))</f>
        <v>6</v>
      </c>
      <c r="J499" t="str" cm="1">
        <f t="array" aca="1" ref="J499" ca="1">IFERROR(INDEX(T_LEAVE_TYPES[SYMBOL],T_LEAVE[[#This Row],[LEAVE TYPE SYS ID]]),"")</f>
        <v>PR</v>
      </c>
      <c r="K499">
        <f ca="1">IF(T_LEAVE[[#This Row],[EMPLOYEE]]="","",IF(T_LEAVE[[#This Row],[ERROR]]="",0,1))</f>
        <v>0</v>
      </c>
      <c r="L499" t="str" cm="1">
        <f t="array" aca="1" ref="L49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0" spans="1:12">
      <c r="A500" t="s">
        <v>2295</v>
      </c>
      <c r="B500" s="15" t="s">
        <v>2297</v>
      </c>
      <c r="C500" s="15" t="s">
        <v>2297</v>
      </c>
      <c r="D500" t="s">
        <v>98</v>
      </c>
      <c r="E500">
        <v>1</v>
      </c>
      <c r="F500" s="1"/>
      <c r="G500" s="1"/>
      <c r="H500">
        <f ca="1">IF(T_LEAVE[[#This Row],[EMPLOYEE]]="","",MATCH(T_LEAVE[[#This Row],[EMPLOYEE]],L_EMPLABELS,0))</f>
        <v>396</v>
      </c>
      <c r="I500">
        <f ca="1">IF(T_LEAVE[[#This Row],[EMPLOYEE]]="","",MATCH(T_LEAVE[[#This Row],[LEAVE TYPE]],L_LEAVETYPES,0))</f>
        <v>7</v>
      </c>
      <c r="J500" t="str" cm="1">
        <f t="array" aca="1" ref="J500" ca="1">IFERROR(INDEX(T_LEAVE_TYPES[SYMBOL],T_LEAVE[[#This Row],[LEAVE TYPE SYS ID]]),"")</f>
        <v>C</v>
      </c>
      <c r="K500">
        <f ca="1">IF(T_LEAVE[[#This Row],[EMPLOYEE]]="","",IF(T_LEAVE[[#This Row],[ERROR]]="",0,1))</f>
        <v>0</v>
      </c>
      <c r="L500" t="str" cm="1">
        <f t="array" aca="1" ref="L50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1" spans="1:12">
      <c r="A501" t="s">
        <v>2295</v>
      </c>
      <c r="B501" s="15" t="s">
        <v>2134</v>
      </c>
      <c r="C501" s="15" t="s">
        <v>2134</v>
      </c>
      <c r="D501" t="s">
        <v>92</v>
      </c>
      <c r="E501">
        <v>1</v>
      </c>
      <c r="F501" s="1"/>
      <c r="G501" s="1"/>
      <c r="H501">
        <f ca="1">IF(T_LEAVE[[#This Row],[EMPLOYEE]]="","",MATCH(T_LEAVE[[#This Row],[EMPLOYEE]],L_EMPLABELS,0))</f>
        <v>396</v>
      </c>
      <c r="I501">
        <f ca="1">IF(T_LEAVE[[#This Row],[EMPLOYEE]]="","",MATCH(T_LEAVE[[#This Row],[LEAVE TYPE]],L_LEAVETYPES,0))</f>
        <v>6</v>
      </c>
      <c r="J501" t="str" cm="1">
        <f t="array" aca="1" ref="J501" ca="1">IFERROR(INDEX(T_LEAVE_TYPES[SYMBOL],T_LEAVE[[#This Row],[LEAVE TYPE SYS ID]]),"")</f>
        <v>PR</v>
      </c>
      <c r="K501">
        <f ca="1">IF(T_LEAVE[[#This Row],[EMPLOYEE]]="","",IF(T_LEAVE[[#This Row],[ERROR]]="",0,1))</f>
        <v>0</v>
      </c>
      <c r="L501" t="str" cm="1">
        <f t="array" aca="1" ref="L50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2" spans="1:12">
      <c r="A502" t="s">
        <v>2295</v>
      </c>
      <c r="B502" s="15" t="s">
        <v>1970</v>
      </c>
      <c r="C502" s="15" t="s">
        <v>1970</v>
      </c>
      <c r="D502" t="s">
        <v>98</v>
      </c>
      <c r="E502">
        <v>1</v>
      </c>
      <c r="F502" s="1"/>
      <c r="G502" s="1"/>
      <c r="H502">
        <f ca="1">IF(T_LEAVE[[#This Row],[EMPLOYEE]]="","",MATCH(T_LEAVE[[#This Row],[EMPLOYEE]],L_EMPLABELS,0))</f>
        <v>396</v>
      </c>
      <c r="I502">
        <f ca="1">IF(T_LEAVE[[#This Row],[EMPLOYEE]]="","",MATCH(T_LEAVE[[#This Row],[LEAVE TYPE]],L_LEAVETYPES,0))</f>
        <v>7</v>
      </c>
      <c r="J502" t="str" cm="1">
        <f t="array" aca="1" ref="J502" ca="1">IFERROR(INDEX(T_LEAVE_TYPES[SYMBOL],T_LEAVE[[#This Row],[LEAVE TYPE SYS ID]]),"")</f>
        <v>C</v>
      </c>
      <c r="K502">
        <f ca="1">IF(T_LEAVE[[#This Row],[EMPLOYEE]]="","",IF(T_LEAVE[[#This Row],[ERROR]]="",0,1))</f>
        <v>0</v>
      </c>
      <c r="L502" t="str" cm="1">
        <f t="array" aca="1" ref="L50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3" spans="1:12">
      <c r="A503" t="s">
        <v>2295</v>
      </c>
      <c r="B503" s="15" t="s">
        <v>2173</v>
      </c>
      <c r="C503" s="15" t="s">
        <v>2173</v>
      </c>
      <c r="D503" t="s">
        <v>98</v>
      </c>
      <c r="E503">
        <v>1</v>
      </c>
      <c r="F503" s="1"/>
      <c r="G503" s="1"/>
      <c r="H503">
        <f ca="1">IF(T_LEAVE[[#This Row],[EMPLOYEE]]="","",MATCH(T_LEAVE[[#This Row],[EMPLOYEE]],L_EMPLABELS,0))</f>
        <v>396</v>
      </c>
      <c r="I503">
        <f ca="1">IF(T_LEAVE[[#This Row],[EMPLOYEE]]="","",MATCH(T_LEAVE[[#This Row],[LEAVE TYPE]],L_LEAVETYPES,0))</f>
        <v>7</v>
      </c>
      <c r="J503" t="str" cm="1">
        <f t="array" aca="1" ref="J503" ca="1">IFERROR(INDEX(T_LEAVE_TYPES[SYMBOL],T_LEAVE[[#This Row],[LEAVE TYPE SYS ID]]),"")</f>
        <v>C</v>
      </c>
      <c r="K503">
        <f ca="1">IF(T_LEAVE[[#This Row],[EMPLOYEE]]="","",IF(T_LEAVE[[#This Row],[ERROR]]="",0,1))</f>
        <v>0</v>
      </c>
      <c r="L503" t="str" cm="1">
        <f t="array" aca="1" ref="L50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4" spans="1:12">
      <c r="A504" t="s">
        <v>1919</v>
      </c>
      <c r="B504" s="15" t="s">
        <v>2298</v>
      </c>
      <c r="C504" s="15" t="s">
        <v>2299</v>
      </c>
      <c r="D504" t="s">
        <v>92</v>
      </c>
      <c r="E504">
        <v>2</v>
      </c>
      <c r="F504" s="1"/>
      <c r="G504" s="1"/>
      <c r="H504">
        <f ca="1">IF(T_LEAVE[[#This Row],[EMPLOYEE]]="","",MATCH(T_LEAVE[[#This Row],[EMPLOYEE]],L_EMPLABELS,0))</f>
        <v>99</v>
      </c>
      <c r="I504">
        <f ca="1">IF(T_LEAVE[[#This Row],[EMPLOYEE]]="","",MATCH(T_LEAVE[[#This Row],[LEAVE TYPE]],L_LEAVETYPES,0))</f>
        <v>6</v>
      </c>
      <c r="J504" t="str" cm="1">
        <f t="array" aca="1" ref="J504" ca="1">IFERROR(INDEX(T_LEAVE_TYPES[SYMBOL],T_LEAVE[[#This Row],[LEAVE TYPE SYS ID]]),"")</f>
        <v>PR</v>
      </c>
      <c r="K504">
        <f ca="1">IF(T_LEAVE[[#This Row],[EMPLOYEE]]="","",IF(T_LEAVE[[#This Row],[ERROR]]="",0,1))</f>
        <v>0</v>
      </c>
      <c r="L504" t="str" cm="1">
        <f t="array" aca="1" ref="L50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5" spans="1:12">
      <c r="A505" t="s">
        <v>2300</v>
      </c>
      <c r="B505" s="15" t="s">
        <v>2235</v>
      </c>
      <c r="C505" s="15" t="s">
        <v>2235</v>
      </c>
      <c r="D505" t="s">
        <v>98</v>
      </c>
      <c r="E505">
        <v>1</v>
      </c>
      <c r="F505" s="1"/>
      <c r="G505" s="1"/>
      <c r="H505">
        <f ca="1">IF(T_LEAVE[[#This Row],[EMPLOYEE]]="","",MATCH(T_LEAVE[[#This Row],[EMPLOYEE]],L_EMPLABELS,0))</f>
        <v>475</v>
      </c>
      <c r="I505">
        <f ca="1">IF(T_LEAVE[[#This Row],[EMPLOYEE]]="","",MATCH(T_LEAVE[[#This Row],[LEAVE TYPE]],L_LEAVETYPES,0))</f>
        <v>7</v>
      </c>
      <c r="J505" t="str" cm="1">
        <f t="array" aca="1" ref="J505" ca="1">IFERROR(INDEX(T_LEAVE_TYPES[SYMBOL],T_LEAVE[[#This Row],[LEAVE TYPE SYS ID]]),"")</f>
        <v>C</v>
      </c>
      <c r="K505">
        <f ca="1">IF(T_LEAVE[[#This Row],[EMPLOYEE]]="","",IF(T_LEAVE[[#This Row],[ERROR]]="",0,1))</f>
        <v>0</v>
      </c>
      <c r="L505" t="str" cm="1">
        <f t="array" aca="1" ref="L50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6" spans="1:12">
      <c r="A506" t="s">
        <v>2300</v>
      </c>
      <c r="B506" s="15" t="s">
        <v>1985</v>
      </c>
      <c r="C506" s="15" t="s">
        <v>1985</v>
      </c>
      <c r="D506" t="s">
        <v>98</v>
      </c>
      <c r="E506">
        <v>1</v>
      </c>
      <c r="F506" s="1"/>
      <c r="G506" s="1"/>
      <c r="H506">
        <f ca="1">IF(T_LEAVE[[#This Row],[EMPLOYEE]]="","",MATCH(T_LEAVE[[#This Row],[EMPLOYEE]],L_EMPLABELS,0))</f>
        <v>475</v>
      </c>
      <c r="I506">
        <f ca="1">IF(T_LEAVE[[#This Row],[EMPLOYEE]]="","",MATCH(T_LEAVE[[#This Row],[LEAVE TYPE]],L_LEAVETYPES,0))</f>
        <v>7</v>
      </c>
      <c r="J506" t="str" cm="1">
        <f t="array" aca="1" ref="J506" ca="1">IFERROR(INDEX(T_LEAVE_TYPES[SYMBOL],T_LEAVE[[#This Row],[LEAVE TYPE SYS ID]]),"")</f>
        <v>C</v>
      </c>
      <c r="K506">
        <f ca="1">IF(T_LEAVE[[#This Row],[EMPLOYEE]]="","",IF(T_LEAVE[[#This Row],[ERROR]]="",0,1))</f>
        <v>0</v>
      </c>
      <c r="L506" t="str" cm="1">
        <f t="array" aca="1" ref="L50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7" spans="1:12">
      <c r="A507" t="s">
        <v>2301</v>
      </c>
      <c r="B507" t="s">
        <v>2302</v>
      </c>
      <c r="C507" t="s">
        <v>2302</v>
      </c>
      <c r="D507" t="s">
        <v>98</v>
      </c>
      <c r="E507">
        <v>1</v>
      </c>
      <c r="F507" s="1"/>
      <c r="G507" s="1"/>
      <c r="H507">
        <f ca="1">IF(T_LEAVE[[#This Row],[EMPLOYEE]]="","",MATCH(T_LEAVE[[#This Row],[EMPLOYEE]],L_EMPLABELS,0))</f>
        <v>376</v>
      </c>
      <c r="I507">
        <f ca="1">IF(T_LEAVE[[#This Row],[EMPLOYEE]]="","",MATCH(T_LEAVE[[#This Row],[LEAVE TYPE]],L_LEAVETYPES,0))</f>
        <v>7</v>
      </c>
      <c r="J507" t="str" cm="1">
        <f t="array" aca="1" ref="J507" ca="1">IFERROR(INDEX(T_LEAVE_TYPES[SYMBOL],T_LEAVE[[#This Row],[LEAVE TYPE SYS ID]]),"")</f>
        <v>C</v>
      </c>
      <c r="K507">
        <f ca="1">IF(T_LEAVE[[#This Row],[EMPLOYEE]]="","",IF(T_LEAVE[[#This Row],[ERROR]]="",0,1))</f>
        <v>0</v>
      </c>
      <c r="L507" t="str" cm="1">
        <f t="array" aca="1" ref="L50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8" spans="1:12">
      <c r="A508" t="s">
        <v>2303</v>
      </c>
      <c r="B508" t="s">
        <v>2304</v>
      </c>
      <c r="C508" t="s">
        <v>2304</v>
      </c>
      <c r="D508" t="s">
        <v>98</v>
      </c>
      <c r="E508">
        <v>1</v>
      </c>
      <c r="F508" s="1"/>
      <c r="G508" s="1"/>
      <c r="H508">
        <f ca="1">IF(T_LEAVE[[#This Row],[EMPLOYEE]]="","",MATCH(T_LEAVE[[#This Row],[EMPLOYEE]],L_EMPLABELS,0))</f>
        <v>472</v>
      </c>
      <c r="I508">
        <f ca="1">IF(T_LEAVE[[#This Row],[EMPLOYEE]]="","",MATCH(T_LEAVE[[#This Row],[LEAVE TYPE]],L_LEAVETYPES,0))</f>
        <v>7</v>
      </c>
      <c r="J508" t="str" cm="1">
        <f t="array" aca="1" ref="J508" ca="1">IFERROR(INDEX(T_LEAVE_TYPES[SYMBOL],T_LEAVE[[#This Row],[LEAVE TYPE SYS ID]]),"")</f>
        <v>C</v>
      </c>
      <c r="K508">
        <f ca="1">IF(T_LEAVE[[#This Row],[EMPLOYEE]]="","",IF(T_LEAVE[[#This Row],[ERROR]]="",0,1))</f>
        <v>0</v>
      </c>
      <c r="L508" t="str" cm="1">
        <f t="array" aca="1" ref="L50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9" spans="1:12">
      <c r="A509" t="s">
        <v>2305</v>
      </c>
      <c r="B509" t="s">
        <v>1934</v>
      </c>
      <c r="C509" t="s">
        <v>1934</v>
      </c>
      <c r="D509" t="s">
        <v>92</v>
      </c>
      <c r="E509">
        <v>1</v>
      </c>
      <c r="F509" s="1"/>
      <c r="G509" s="1"/>
      <c r="H509">
        <f ca="1">IF(T_LEAVE[[#This Row],[EMPLOYEE]]="","",MATCH(T_LEAVE[[#This Row],[EMPLOYEE]],L_EMPLABELS,0))</f>
        <v>387</v>
      </c>
      <c r="I509">
        <f ca="1">IF(T_LEAVE[[#This Row],[EMPLOYEE]]="","",MATCH(T_LEAVE[[#This Row],[LEAVE TYPE]],L_LEAVETYPES,0))</f>
        <v>6</v>
      </c>
      <c r="J509" t="str" cm="1">
        <f t="array" aca="1" ref="J509" ca="1">IFERROR(INDEX(T_LEAVE_TYPES[SYMBOL],T_LEAVE[[#This Row],[LEAVE TYPE SYS ID]]),"")</f>
        <v>PR</v>
      </c>
      <c r="K509">
        <f ca="1">IF(T_LEAVE[[#This Row],[EMPLOYEE]]="","",IF(T_LEAVE[[#This Row],[ERROR]]="",0,1))</f>
        <v>0</v>
      </c>
      <c r="L509" t="str" cm="1">
        <f t="array" aca="1" ref="L50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0" spans="1:12">
      <c r="A510" t="s">
        <v>2301</v>
      </c>
      <c r="B510" t="s">
        <v>1934</v>
      </c>
      <c r="C510" t="s">
        <v>1934</v>
      </c>
      <c r="D510" t="s">
        <v>92</v>
      </c>
      <c r="E510">
        <v>1</v>
      </c>
      <c r="F510" s="1"/>
      <c r="G510" s="1"/>
      <c r="H510">
        <f ca="1">IF(T_LEAVE[[#This Row],[EMPLOYEE]]="","",MATCH(T_LEAVE[[#This Row],[EMPLOYEE]],L_EMPLABELS,0))</f>
        <v>376</v>
      </c>
      <c r="I510">
        <f ca="1">IF(T_LEAVE[[#This Row],[EMPLOYEE]]="","",MATCH(T_LEAVE[[#This Row],[LEAVE TYPE]],L_LEAVETYPES,0))</f>
        <v>6</v>
      </c>
      <c r="J510" t="str" cm="1">
        <f t="array" aca="1" ref="J510" ca="1">IFERROR(INDEX(T_LEAVE_TYPES[SYMBOL],T_LEAVE[[#This Row],[LEAVE TYPE SYS ID]]),"")</f>
        <v>PR</v>
      </c>
      <c r="K510">
        <f ca="1">IF(T_LEAVE[[#This Row],[EMPLOYEE]]="","",IF(T_LEAVE[[#This Row],[ERROR]]="",0,1))</f>
        <v>0</v>
      </c>
      <c r="L510" t="str" cm="1">
        <f t="array" aca="1" ref="L51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1" spans="1:12">
      <c r="A511" t="s">
        <v>2306</v>
      </c>
      <c r="B511" t="s">
        <v>1934</v>
      </c>
      <c r="C511" t="s">
        <v>1934</v>
      </c>
      <c r="D511" t="s">
        <v>92</v>
      </c>
      <c r="E511">
        <v>1</v>
      </c>
      <c r="F511" s="1"/>
      <c r="G511" s="1"/>
      <c r="H511">
        <f ca="1">IF(T_LEAVE[[#This Row],[EMPLOYEE]]="","",MATCH(T_LEAVE[[#This Row],[EMPLOYEE]],L_EMPLABELS,0))</f>
        <v>467</v>
      </c>
      <c r="I511">
        <f ca="1">IF(T_LEAVE[[#This Row],[EMPLOYEE]]="","",MATCH(T_LEAVE[[#This Row],[LEAVE TYPE]],L_LEAVETYPES,0))</f>
        <v>6</v>
      </c>
      <c r="J511" t="str" cm="1">
        <f t="array" aca="1" ref="J511" ca="1">IFERROR(INDEX(T_LEAVE_TYPES[SYMBOL],T_LEAVE[[#This Row],[LEAVE TYPE SYS ID]]),"")</f>
        <v>PR</v>
      </c>
      <c r="K511">
        <f ca="1">IF(T_LEAVE[[#This Row],[EMPLOYEE]]="","",IF(T_LEAVE[[#This Row],[ERROR]]="",0,1))</f>
        <v>0</v>
      </c>
      <c r="L511" t="str" cm="1">
        <f t="array" aca="1" ref="L51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2" spans="1:12">
      <c r="A512" t="s">
        <v>2306</v>
      </c>
      <c r="B512" t="s">
        <v>1920</v>
      </c>
      <c r="C512" t="s">
        <v>1920</v>
      </c>
      <c r="D512" t="s">
        <v>98</v>
      </c>
      <c r="E512">
        <v>1</v>
      </c>
      <c r="F512" s="1"/>
      <c r="G512" s="1"/>
      <c r="H512">
        <f ca="1">IF(T_LEAVE[[#This Row],[EMPLOYEE]]="","",MATCH(T_LEAVE[[#This Row],[EMPLOYEE]],L_EMPLABELS,0))</f>
        <v>467</v>
      </c>
      <c r="I512">
        <f ca="1">IF(T_LEAVE[[#This Row],[EMPLOYEE]]="","",MATCH(T_LEAVE[[#This Row],[LEAVE TYPE]],L_LEAVETYPES,0))</f>
        <v>7</v>
      </c>
      <c r="J512" t="str" cm="1">
        <f t="array" aca="1" ref="J512" ca="1">IFERROR(INDEX(T_LEAVE_TYPES[SYMBOL],T_LEAVE[[#This Row],[LEAVE TYPE SYS ID]]),"")</f>
        <v>C</v>
      </c>
      <c r="K512">
        <f ca="1">IF(T_LEAVE[[#This Row],[EMPLOYEE]]="","",IF(T_LEAVE[[#This Row],[ERROR]]="",0,1))</f>
        <v>0</v>
      </c>
      <c r="L512" t="str" cm="1">
        <f t="array" aca="1" ref="L51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3" spans="1:12">
      <c r="A513" t="s">
        <v>2307</v>
      </c>
      <c r="B513" t="s">
        <v>1958</v>
      </c>
      <c r="C513" t="s">
        <v>1958</v>
      </c>
      <c r="D513" t="s">
        <v>92</v>
      </c>
      <c r="E513">
        <v>1</v>
      </c>
      <c r="F513" s="1"/>
      <c r="G513" s="1"/>
      <c r="H513">
        <f ca="1">IF(T_LEAVE[[#This Row],[EMPLOYEE]]="","",MATCH(T_LEAVE[[#This Row],[EMPLOYEE]],L_EMPLABELS,0))</f>
        <v>441</v>
      </c>
      <c r="I513">
        <f ca="1">IF(T_LEAVE[[#This Row],[EMPLOYEE]]="","",MATCH(T_LEAVE[[#This Row],[LEAVE TYPE]],L_LEAVETYPES,0))</f>
        <v>6</v>
      </c>
      <c r="J513" t="str" cm="1">
        <f t="array" aca="1" ref="J513" ca="1">IFERROR(INDEX(T_LEAVE_TYPES[SYMBOL],T_LEAVE[[#This Row],[LEAVE TYPE SYS ID]]),"")</f>
        <v>PR</v>
      </c>
      <c r="K513">
        <f ca="1">IF(T_LEAVE[[#This Row],[EMPLOYEE]]="","",IF(T_LEAVE[[#This Row],[ERROR]]="",0,1))</f>
        <v>0</v>
      </c>
      <c r="L513" t="str" cm="1">
        <f t="array" aca="1" ref="L51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4" spans="1:12">
      <c r="A514" t="s">
        <v>2307</v>
      </c>
      <c r="B514" t="s">
        <v>1921</v>
      </c>
      <c r="C514" t="s">
        <v>1921</v>
      </c>
      <c r="D514" t="s">
        <v>92</v>
      </c>
      <c r="E514">
        <v>1</v>
      </c>
      <c r="F514" s="1"/>
      <c r="G514" s="1"/>
      <c r="H514">
        <f ca="1">IF(T_LEAVE[[#This Row],[EMPLOYEE]]="","",MATCH(T_LEAVE[[#This Row],[EMPLOYEE]],L_EMPLABELS,0))</f>
        <v>441</v>
      </c>
      <c r="I514">
        <f ca="1">IF(T_LEAVE[[#This Row],[EMPLOYEE]]="","",MATCH(T_LEAVE[[#This Row],[LEAVE TYPE]],L_LEAVETYPES,0))</f>
        <v>6</v>
      </c>
      <c r="J514" t="str" cm="1">
        <f t="array" aca="1" ref="J514" ca="1">IFERROR(INDEX(T_LEAVE_TYPES[SYMBOL],T_LEAVE[[#This Row],[LEAVE TYPE SYS ID]]),"")</f>
        <v>PR</v>
      </c>
      <c r="K514">
        <f ca="1">IF(T_LEAVE[[#This Row],[EMPLOYEE]]="","",IF(T_LEAVE[[#This Row],[ERROR]]="",0,1))</f>
        <v>0</v>
      </c>
      <c r="L514" t="str" cm="1">
        <f t="array" aca="1" ref="L51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5" spans="1:12">
      <c r="A515" t="s">
        <v>2308</v>
      </c>
      <c r="B515" t="s">
        <v>1921</v>
      </c>
      <c r="C515" t="s">
        <v>1921</v>
      </c>
      <c r="D515" t="s">
        <v>98</v>
      </c>
      <c r="E515">
        <v>1</v>
      </c>
      <c r="F515" s="1"/>
      <c r="G515" s="1"/>
      <c r="H515">
        <f ca="1">IF(T_LEAVE[[#This Row],[EMPLOYEE]]="","",MATCH(T_LEAVE[[#This Row],[EMPLOYEE]],L_EMPLABELS,0))</f>
        <v>439</v>
      </c>
      <c r="I515">
        <f ca="1">IF(T_LEAVE[[#This Row],[EMPLOYEE]]="","",MATCH(T_LEAVE[[#This Row],[LEAVE TYPE]],L_LEAVETYPES,0))</f>
        <v>7</v>
      </c>
      <c r="J515" t="str" cm="1">
        <f t="array" aca="1" ref="J515" ca="1">IFERROR(INDEX(T_LEAVE_TYPES[SYMBOL],T_LEAVE[[#This Row],[LEAVE TYPE SYS ID]]),"")</f>
        <v>C</v>
      </c>
      <c r="K515">
        <f ca="1">IF(T_LEAVE[[#This Row],[EMPLOYEE]]="","",IF(T_LEAVE[[#This Row],[ERROR]]="",0,1))</f>
        <v>0</v>
      </c>
      <c r="L515" t="str" cm="1">
        <f t="array" aca="1" ref="L51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6" spans="1:12">
      <c r="A516" t="s">
        <v>2309</v>
      </c>
      <c r="B516" t="s">
        <v>1958</v>
      </c>
      <c r="C516" t="s">
        <v>1958</v>
      </c>
      <c r="D516" t="s">
        <v>98</v>
      </c>
      <c r="E516">
        <v>1</v>
      </c>
      <c r="F516" s="1"/>
      <c r="G516" s="1"/>
      <c r="H516">
        <f ca="1">IF(T_LEAVE[[#This Row],[EMPLOYEE]]="","",MATCH(T_LEAVE[[#This Row],[EMPLOYEE]],L_EMPLABELS,0))</f>
        <v>413</v>
      </c>
      <c r="I516">
        <f ca="1">IF(T_LEAVE[[#This Row],[EMPLOYEE]]="","",MATCH(T_LEAVE[[#This Row],[LEAVE TYPE]],L_LEAVETYPES,0))</f>
        <v>7</v>
      </c>
      <c r="J516" t="str" cm="1">
        <f t="array" aca="1" ref="J516" ca="1">IFERROR(INDEX(T_LEAVE_TYPES[SYMBOL],T_LEAVE[[#This Row],[LEAVE TYPE SYS ID]]),"")</f>
        <v>C</v>
      </c>
      <c r="K516">
        <f ca="1">IF(T_LEAVE[[#This Row],[EMPLOYEE]]="","",IF(T_LEAVE[[#This Row],[ERROR]]="",0,1))</f>
        <v>0</v>
      </c>
      <c r="L516" t="str" cm="1">
        <f t="array" aca="1" ref="L51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7" spans="1:12">
      <c r="A517" t="s">
        <v>2310</v>
      </c>
      <c r="B517" t="s">
        <v>1958</v>
      </c>
      <c r="C517" t="s">
        <v>1920</v>
      </c>
      <c r="D517" t="s">
        <v>92</v>
      </c>
      <c r="E517">
        <v>3</v>
      </c>
      <c r="F517" s="1"/>
      <c r="G517" s="1"/>
      <c r="H517">
        <f ca="1">IF(T_LEAVE[[#This Row],[EMPLOYEE]]="","",MATCH(T_LEAVE[[#This Row],[EMPLOYEE]],L_EMPLABELS,0))</f>
        <v>121</v>
      </c>
      <c r="I517">
        <f ca="1">IF(T_LEAVE[[#This Row],[EMPLOYEE]]="","",MATCH(T_LEAVE[[#This Row],[LEAVE TYPE]],L_LEAVETYPES,0))</f>
        <v>6</v>
      </c>
      <c r="J517" t="str" cm="1">
        <f t="array" aca="1" ref="J517" ca="1">IFERROR(INDEX(T_LEAVE_TYPES[SYMBOL],T_LEAVE[[#This Row],[LEAVE TYPE SYS ID]]),"")</f>
        <v>PR</v>
      </c>
      <c r="K517">
        <f ca="1">IF(T_LEAVE[[#This Row],[EMPLOYEE]]="","",IF(T_LEAVE[[#This Row],[ERROR]]="",0,1))</f>
        <v>0</v>
      </c>
      <c r="L517" t="str" cm="1">
        <f t="array" aca="1" ref="L51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8" spans="1:12">
      <c r="A518" t="s">
        <v>2311</v>
      </c>
      <c r="B518" t="s">
        <v>1946</v>
      </c>
      <c r="C518" t="s">
        <v>1946</v>
      </c>
      <c r="D518" t="s">
        <v>98</v>
      </c>
      <c r="E518">
        <v>1</v>
      </c>
      <c r="F518" s="1"/>
      <c r="G518" s="1"/>
      <c r="H518">
        <f ca="1">IF(T_LEAVE[[#This Row],[EMPLOYEE]]="","",MATCH(T_LEAVE[[#This Row],[EMPLOYEE]],L_EMPLABELS,0))</f>
        <v>330</v>
      </c>
      <c r="I518">
        <f ca="1">IF(T_LEAVE[[#This Row],[EMPLOYEE]]="","",MATCH(T_LEAVE[[#This Row],[LEAVE TYPE]],L_LEAVETYPES,0))</f>
        <v>7</v>
      </c>
      <c r="J518" t="str" cm="1">
        <f t="array" aca="1" ref="J518" ca="1">IFERROR(INDEX(T_LEAVE_TYPES[SYMBOL],T_LEAVE[[#This Row],[LEAVE TYPE SYS ID]]),"")</f>
        <v>C</v>
      </c>
      <c r="K518">
        <f ca="1">IF(T_LEAVE[[#This Row],[EMPLOYEE]]="","",IF(T_LEAVE[[#This Row],[ERROR]]="",0,1))</f>
        <v>0</v>
      </c>
      <c r="L518" t="str" cm="1">
        <f t="array" aca="1" ref="L51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9" spans="1:12">
      <c r="A519" t="s">
        <v>2312</v>
      </c>
      <c r="B519" t="s">
        <v>1984</v>
      </c>
      <c r="C519" t="s">
        <v>1984</v>
      </c>
      <c r="D519" t="s">
        <v>92</v>
      </c>
      <c r="E519">
        <v>0.5</v>
      </c>
      <c r="F519" s="1"/>
      <c r="G519" s="1"/>
      <c r="H519">
        <f ca="1">IF(T_LEAVE[[#This Row],[EMPLOYEE]]="","",MATCH(T_LEAVE[[#This Row],[EMPLOYEE]],L_EMPLABELS,0))</f>
        <v>335</v>
      </c>
      <c r="I519">
        <f ca="1">IF(T_LEAVE[[#This Row],[EMPLOYEE]]="","",MATCH(T_LEAVE[[#This Row],[LEAVE TYPE]],L_LEAVETYPES,0))</f>
        <v>6</v>
      </c>
      <c r="J519" t="str" cm="1">
        <f t="array" aca="1" ref="J519" ca="1">IFERROR(INDEX(T_LEAVE_TYPES[SYMBOL],T_LEAVE[[#This Row],[LEAVE TYPE SYS ID]]),"")</f>
        <v>PR</v>
      </c>
      <c r="K519">
        <f ca="1">IF(T_LEAVE[[#This Row],[EMPLOYEE]]="","",IF(T_LEAVE[[#This Row],[ERROR]]="",0,1))</f>
        <v>0</v>
      </c>
      <c r="L519" t="str" cm="1">
        <f t="array" aca="1" ref="L51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0" spans="1:12">
      <c r="A520" t="s">
        <v>2312</v>
      </c>
      <c r="B520" t="s">
        <v>1951</v>
      </c>
      <c r="C520" t="s">
        <v>1951</v>
      </c>
      <c r="D520" t="s">
        <v>98</v>
      </c>
      <c r="E520">
        <v>1</v>
      </c>
      <c r="F520" s="1"/>
      <c r="G520" s="1"/>
      <c r="H520">
        <f ca="1">IF(T_LEAVE[[#This Row],[EMPLOYEE]]="","",MATCH(T_LEAVE[[#This Row],[EMPLOYEE]],L_EMPLABELS,0))</f>
        <v>335</v>
      </c>
      <c r="I520">
        <f ca="1">IF(T_LEAVE[[#This Row],[EMPLOYEE]]="","",MATCH(T_LEAVE[[#This Row],[LEAVE TYPE]],L_LEAVETYPES,0))</f>
        <v>7</v>
      </c>
      <c r="J520" t="str" cm="1">
        <f t="array" aca="1" ref="J520" ca="1">IFERROR(INDEX(T_LEAVE_TYPES[SYMBOL],T_LEAVE[[#This Row],[LEAVE TYPE SYS ID]]),"")</f>
        <v>C</v>
      </c>
      <c r="K520">
        <f ca="1">IF(T_LEAVE[[#This Row],[EMPLOYEE]]="","",IF(T_LEAVE[[#This Row],[ERROR]]="",0,1))</f>
        <v>0</v>
      </c>
      <c r="L520" t="str" cm="1">
        <f t="array" aca="1" ref="L52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1" spans="1:12">
      <c r="A521" t="s">
        <v>2313</v>
      </c>
      <c r="B521" t="s">
        <v>1984</v>
      </c>
      <c r="C521" t="s">
        <v>1984</v>
      </c>
      <c r="D521" t="s">
        <v>98</v>
      </c>
      <c r="E521">
        <v>1</v>
      </c>
      <c r="F521" s="1"/>
      <c r="G521" s="1"/>
      <c r="H521">
        <f ca="1">IF(T_LEAVE[[#This Row],[EMPLOYEE]]="","",MATCH(T_LEAVE[[#This Row],[EMPLOYEE]],L_EMPLABELS,0))</f>
        <v>402</v>
      </c>
      <c r="I521">
        <f ca="1">IF(T_LEAVE[[#This Row],[EMPLOYEE]]="","",MATCH(T_LEAVE[[#This Row],[LEAVE TYPE]],L_LEAVETYPES,0))</f>
        <v>7</v>
      </c>
      <c r="J521" t="str" cm="1">
        <f t="array" aca="1" ref="J521" ca="1">IFERROR(INDEX(T_LEAVE_TYPES[SYMBOL],T_LEAVE[[#This Row],[LEAVE TYPE SYS ID]]),"")</f>
        <v>C</v>
      </c>
      <c r="K521">
        <f ca="1">IF(T_LEAVE[[#This Row],[EMPLOYEE]]="","",IF(T_LEAVE[[#This Row],[ERROR]]="",0,1))</f>
        <v>0</v>
      </c>
      <c r="L521" t="str" cm="1">
        <f t="array" aca="1" ref="L52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2" spans="1:12">
      <c r="A522" t="s">
        <v>2305</v>
      </c>
      <c r="B522" t="s">
        <v>1996</v>
      </c>
      <c r="C522" t="s">
        <v>1996</v>
      </c>
      <c r="D522" t="s">
        <v>98</v>
      </c>
      <c r="E522">
        <v>1</v>
      </c>
      <c r="F522" s="1"/>
      <c r="G522" s="1"/>
      <c r="H522">
        <f ca="1">IF(T_LEAVE[[#This Row],[EMPLOYEE]]="","",MATCH(T_LEAVE[[#This Row],[EMPLOYEE]],L_EMPLABELS,0))</f>
        <v>387</v>
      </c>
      <c r="I522">
        <f ca="1">IF(T_LEAVE[[#This Row],[EMPLOYEE]]="","",MATCH(T_LEAVE[[#This Row],[LEAVE TYPE]],L_LEAVETYPES,0))</f>
        <v>7</v>
      </c>
      <c r="J522" t="str" cm="1">
        <f t="array" aca="1" ref="J522" ca="1">IFERROR(INDEX(T_LEAVE_TYPES[SYMBOL],T_LEAVE[[#This Row],[LEAVE TYPE SYS ID]]),"")</f>
        <v>C</v>
      </c>
      <c r="K522">
        <f ca="1">IF(T_LEAVE[[#This Row],[EMPLOYEE]]="","",IF(T_LEAVE[[#This Row],[ERROR]]="",0,1))</f>
        <v>0</v>
      </c>
      <c r="L522" t="str" cm="1">
        <f t="array" aca="1" ref="L52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3" spans="1:12">
      <c r="A523" t="s">
        <v>2314</v>
      </c>
      <c r="B523" t="s">
        <v>1960</v>
      </c>
      <c r="C523" t="s">
        <v>1960</v>
      </c>
      <c r="D523" t="s">
        <v>98</v>
      </c>
      <c r="E523">
        <v>1</v>
      </c>
      <c r="F523" s="1"/>
      <c r="G523" s="1"/>
      <c r="H523">
        <f ca="1">IF(T_LEAVE[[#This Row],[EMPLOYEE]]="","",MATCH(T_LEAVE[[#This Row],[EMPLOYEE]],L_EMPLABELS,0))</f>
        <v>41</v>
      </c>
      <c r="I523">
        <f ca="1">IF(T_LEAVE[[#This Row],[EMPLOYEE]]="","",MATCH(T_LEAVE[[#This Row],[LEAVE TYPE]],L_LEAVETYPES,0))</f>
        <v>7</v>
      </c>
      <c r="J523" t="str" cm="1">
        <f t="array" aca="1" ref="J523" ca="1">IFERROR(INDEX(T_LEAVE_TYPES[SYMBOL],T_LEAVE[[#This Row],[LEAVE TYPE SYS ID]]),"")</f>
        <v>C</v>
      </c>
      <c r="K523">
        <f ca="1">IF(T_LEAVE[[#This Row],[EMPLOYEE]]="","",IF(T_LEAVE[[#This Row],[ERROR]]="",0,1))</f>
        <v>0</v>
      </c>
      <c r="L523" t="str" cm="1">
        <f t="array" aca="1" ref="L52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4" spans="1:12">
      <c r="A524" t="s">
        <v>2308</v>
      </c>
      <c r="B524" t="s">
        <v>1998</v>
      </c>
      <c r="C524" t="s">
        <v>1996</v>
      </c>
      <c r="D524" t="s">
        <v>98</v>
      </c>
      <c r="E524">
        <v>2</v>
      </c>
      <c r="F524" s="1"/>
      <c r="G524" s="1"/>
      <c r="H524">
        <f ca="1">IF(T_LEAVE[[#This Row],[EMPLOYEE]]="","",MATCH(T_LEAVE[[#This Row],[EMPLOYEE]],L_EMPLABELS,0))</f>
        <v>439</v>
      </c>
      <c r="I524">
        <f ca="1">IF(T_LEAVE[[#This Row],[EMPLOYEE]]="","",MATCH(T_LEAVE[[#This Row],[LEAVE TYPE]],L_LEAVETYPES,0))</f>
        <v>7</v>
      </c>
      <c r="J524" t="str" cm="1">
        <f t="array" aca="1" ref="J524" ca="1">IFERROR(INDEX(T_LEAVE_TYPES[SYMBOL],T_LEAVE[[#This Row],[LEAVE TYPE SYS ID]]),"")</f>
        <v>C</v>
      </c>
      <c r="K524">
        <f ca="1">IF(T_LEAVE[[#This Row],[EMPLOYEE]]="","",IF(T_LEAVE[[#This Row],[ERROR]]="",0,1))</f>
        <v>0</v>
      </c>
      <c r="L524" t="str" cm="1">
        <f t="array" aca="1" ref="L52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5" spans="1:12">
      <c r="A525" t="s">
        <v>2315</v>
      </c>
      <c r="B525" t="s">
        <v>2001</v>
      </c>
      <c r="C525" t="s">
        <v>1996</v>
      </c>
      <c r="D525" t="s">
        <v>98</v>
      </c>
      <c r="E525">
        <v>3</v>
      </c>
      <c r="F525" s="1"/>
      <c r="G525" s="1"/>
      <c r="H525">
        <f ca="1">IF(T_LEAVE[[#This Row],[EMPLOYEE]]="","",MATCH(T_LEAVE[[#This Row],[EMPLOYEE]],L_EMPLABELS,0))</f>
        <v>183</v>
      </c>
      <c r="I525">
        <f ca="1">IF(T_LEAVE[[#This Row],[EMPLOYEE]]="","",MATCH(T_LEAVE[[#This Row],[LEAVE TYPE]],L_LEAVETYPES,0))</f>
        <v>7</v>
      </c>
      <c r="J525" t="str" cm="1">
        <f t="array" aca="1" ref="J525" ca="1">IFERROR(INDEX(T_LEAVE_TYPES[SYMBOL],T_LEAVE[[#This Row],[LEAVE TYPE SYS ID]]),"")</f>
        <v>C</v>
      </c>
      <c r="K525">
        <f ca="1">IF(T_LEAVE[[#This Row],[EMPLOYEE]]="","",IF(T_LEAVE[[#This Row],[ERROR]]="",0,1))</f>
        <v>0</v>
      </c>
      <c r="L525" t="str" cm="1">
        <f t="array" aca="1" ref="L52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6" spans="1:12">
      <c r="A526" t="s">
        <v>2314</v>
      </c>
      <c r="B526" t="s">
        <v>1996</v>
      </c>
      <c r="C526" t="s">
        <v>1996</v>
      </c>
      <c r="D526" t="s">
        <v>98</v>
      </c>
      <c r="E526">
        <v>1</v>
      </c>
      <c r="F526" s="1"/>
      <c r="G526" s="1"/>
      <c r="H526">
        <f ca="1">IF(T_LEAVE[[#This Row],[EMPLOYEE]]="","",MATCH(T_LEAVE[[#This Row],[EMPLOYEE]],L_EMPLABELS,0))</f>
        <v>41</v>
      </c>
      <c r="I526">
        <f ca="1">IF(T_LEAVE[[#This Row],[EMPLOYEE]]="","",MATCH(T_LEAVE[[#This Row],[LEAVE TYPE]],L_LEAVETYPES,0))</f>
        <v>7</v>
      </c>
      <c r="J526" t="str" cm="1">
        <f t="array" aca="1" ref="J526" ca="1">IFERROR(INDEX(T_LEAVE_TYPES[SYMBOL],T_LEAVE[[#This Row],[LEAVE TYPE SYS ID]]),"")</f>
        <v>C</v>
      </c>
      <c r="K526">
        <f ca="1">IF(T_LEAVE[[#This Row],[EMPLOYEE]]="","",IF(T_LEAVE[[#This Row],[ERROR]]="",0,1))</f>
        <v>0</v>
      </c>
      <c r="L526" t="str" cm="1">
        <f t="array" aca="1" ref="L52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7" spans="1:12">
      <c r="A527" t="s">
        <v>2313</v>
      </c>
      <c r="B527" t="s">
        <v>1996</v>
      </c>
      <c r="C527" t="s">
        <v>1996</v>
      </c>
      <c r="D527" t="s">
        <v>98</v>
      </c>
      <c r="E527">
        <v>1</v>
      </c>
      <c r="F527" s="1"/>
      <c r="G527" s="1"/>
      <c r="H527">
        <f ca="1">IF(T_LEAVE[[#This Row],[EMPLOYEE]]="","",MATCH(T_LEAVE[[#This Row],[EMPLOYEE]],L_EMPLABELS,0))</f>
        <v>402</v>
      </c>
      <c r="I527">
        <f ca="1">IF(T_LEAVE[[#This Row],[EMPLOYEE]]="","",MATCH(T_LEAVE[[#This Row],[LEAVE TYPE]],L_LEAVETYPES,0))</f>
        <v>7</v>
      </c>
      <c r="J527" t="str" cm="1">
        <f t="array" aca="1" ref="J527" ca="1">IFERROR(INDEX(T_LEAVE_TYPES[SYMBOL],T_LEAVE[[#This Row],[LEAVE TYPE SYS ID]]),"")</f>
        <v>C</v>
      </c>
      <c r="K527">
        <f ca="1">IF(T_LEAVE[[#This Row],[EMPLOYEE]]="","",IF(T_LEAVE[[#This Row],[ERROR]]="",0,1))</f>
        <v>0</v>
      </c>
      <c r="L527" t="str" cm="1">
        <f t="array" aca="1" ref="L52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8" spans="1:12">
      <c r="A528" t="s">
        <v>2312</v>
      </c>
      <c r="B528" t="s">
        <v>1998</v>
      </c>
      <c r="C528" t="s">
        <v>1998</v>
      </c>
      <c r="D528" t="s">
        <v>98</v>
      </c>
      <c r="E528">
        <v>1</v>
      </c>
      <c r="F528" s="1"/>
      <c r="G528" s="1"/>
      <c r="H528">
        <f ca="1">IF(T_LEAVE[[#This Row],[EMPLOYEE]]="","",MATCH(T_LEAVE[[#This Row],[EMPLOYEE]],L_EMPLABELS,0))</f>
        <v>335</v>
      </c>
      <c r="I528">
        <f ca="1">IF(T_LEAVE[[#This Row],[EMPLOYEE]]="","",MATCH(T_LEAVE[[#This Row],[LEAVE TYPE]],L_LEAVETYPES,0))</f>
        <v>7</v>
      </c>
      <c r="J528" t="str" cm="1">
        <f t="array" aca="1" ref="J528" ca="1">IFERROR(INDEX(T_LEAVE_TYPES[SYMBOL],T_LEAVE[[#This Row],[LEAVE TYPE SYS ID]]),"")</f>
        <v>C</v>
      </c>
      <c r="K528">
        <f ca="1">IF(T_LEAVE[[#This Row],[EMPLOYEE]]="","",IF(T_LEAVE[[#This Row],[ERROR]]="",0,1))</f>
        <v>0</v>
      </c>
      <c r="L528" t="str" cm="1">
        <f t="array" aca="1" ref="L52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9" spans="1:12">
      <c r="A529" t="s">
        <v>2316</v>
      </c>
      <c r="B529" t="s">
        <v>2204</v>
      </c>
      <c r="C529" t="s">
        <v>1997</v>
      </c>
      <c r="D529" t="s">
        <v>62</v>
      </c>
      <c r="E529">
        <v>5</v>
      </c>
      <c r="F529" s="1"/>
      <c r="G529" s="1"/>
      <c r="H529">
        <f ca="1">IF(T_LEAVE[[#This Row],[EMPLOYEE]]="","",MATCH(T_LEAVE[[#This Row],[EMPLOYEE]],L_EMPLABELS,0))</f>
        <v>201</v>
      </c>
      <c r="I529">
        <f ca="1">IF(T_LEAVE[[#This Row],[EMPLOYEE]]="","",MATCH(T_LEAVE[[#This Row],[LEAVE TYPE]],L_LEAVETYPES,0))</f>
        <v>3</v>
      </c>
      <c r="J529" t="str" cm="1">
        <f t="array" aca="1" ref="J529" ca="1">IFERROR(INDEX(T_LEAVE_TYPES[SYMBOL],T_LEAVE[[#This Row],[LEAVE TYPE SYS ID]]),"")</f>
        <v>M</v>
      </c>
      <c r="K529">
        <f ca="1">IF(T_LEAVE[[#This Row],[EMPLOYEE]]="","",IF(T_LEAVE[[#This Row],[ERROR]]="",0,1))</f>
        <v>0</v>
      </c>
      <c r="L529" t="str" cm="1">
        <f t="array" aca="1" ref="L52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0" spans="1:12">
      <c r="A530" t="s">
        <v>2316</v>
      </c>
      <c r="B530" t="s">
        <v>1989</v>
      </c>
      <c r="C530" t="s">
        <v>1990</v>
      </c>
      <c r="D530" t="s">
        <v>62</v>
      </c>
      <c r="E530">
        <v>3</v>
      </c>
      <c r="F530" s="1"/>
      <c r="G530" s="1"/>
      <c r="H530">
        <f ca="1">IF(T_LEAVE[[#This Row],[EMPLOYEE]]="","",MATCH(T_LEAVE[[#This Row],[EMPLOYEE]],L_EMPLABELS,0))</f>
        <v>201</v>
      </c>
      <c r="I530">
        <f ca="1">IF(T_LEAVE[[#This Row],[EMPLOYEE]]="","",MATCH(T_LEAVE[[#This Row],[LEAVE TYPE]],L_LEAVETYPES,0))</f>
        <v>3</v>
      </c>
      <c r="J530" t="str" cm="1">
        <f t="array" aca="1" ref="J530" ca="1">IFERROR(INDEX(T_LEAVE_TYPES[SYMBOL],T_LEAVE[[#This Row],[LEAVE TYPE SYS ID]]),"")</f>
        <v>M</v>
      </c>
      <c r="K530">
        <f ca="1">IF(T_LEAVE[[#This Row],[EMPLOYEE]]="","",IF(T_LEAVE[[#This Row],[ERROR]]="",0,1))</f>
        <v>0</v>
      </c>
      <c r="L530" t="str" cm="1">
        <f t="array" aca="1" ref="L53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1" spans="1:12">
      <c r="A531" t="s">
        <v>2301</v>
      </c>
      <c r="B531" t="s">
        <v>1915</v>
      </c>
      <c r="C531" t="s">
        <v>1915</v>
      </c>
      <c r="D531" t="s">
        <v>92</v>
      </c>
      <c r="E531">
        <v>1</v>
      </c>
      <c r="F531" s="1"/>
      <c r="G531" s="1"/>
      <c r="H531">
        <f ca="1">IF(T_LEAVE[[#This Row],[EMPLOYEE]]="","",MATCH(T_LEAVE[[#This Row],[EMPLOYEE]],L_EMPLABELS,0))</f>
        <v>376</v>
      </c>
      <c r="I531">
        <f ca="1">IF(T_LEAVE[[#This Row],[EMPLOYEE]]="","",MATCH(T_LEAVE[[#This Row],[LEAVE TYPE]],L_LEAVETYPES,0))</f>
        <v>6</v>
      </c>
      <c r="J531" t="str" cm="1">
        <f t="array" aca="1" ref="J531" ca="1">IFERROR(INDEX(T_LEAVE_TYPES[SYMBOL],T_LEAVE[[#This Row],[LEAVE TYPE SYS ID]]),"")</f>
        <v>PR</v>
      </c>
      <c r="K531">
        <f ca="1">IF(T_LEAVE[[#This Row],[EMPLOYEE]]="","",IF(T_LEAVE[[#This Row],[ERROR]]="",0,1))</f>
        <v>0</v>
      </c>
      <c r="L531" t="str" cm="1">
        <f t="array" aca="1" ref="L53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2" spans="1:12">
      <c r="A532" t="s">
        <v>2301</v>
      </c>
      <c r="B532" t="s">
        <v>1999</v>
      </c>
      <c r="C532" t="s">
        <v>1999</v>
      </c>
      <c r="D532" t="s">
        <v>98</v>
      </c>
      <c r="E532">
        <v>1</v>
      </c>
      <c r="F532" s="1"/>
      <c r="G532" s="1"/>
      <c r="H532">
        <f ca="1">IF(T_LEAVE[[#This Row],[EMPLOYEE]]="","",MATCH(T_LEAVE[[#This Row],[EMPLOYEE]],L_EMPLABELS,0))</f>
        <v>376</v>
      </c>
      <c r="I532">
        <f ca="1">IF(T_LEAVE[[#This Row],[EMPLOYEE]]="","",MATCH(T_LEAVE[[#This Row],[LEAVE TYPE]],L_LEAVETYPES,0))</f>
        <v>7</v>
      </c>
      <c r="J532" t="str" cm="1">
        <f t="array" aca="1" ref="J532" ca="1">IFERROR(INDEX(T_LEAVE_TYPES[SYMBOL],T_LEAVE[[#This Row],[LEAVE TYPE SYS ID]]),"")</f>
        <v>C</v>
      </c>
      <c r="K532">
        <f ca="1">IF(T_LEAVE[[#This Row],[EMPLOYEE]]="","",IF(T_LEAVE[[#This Row],[ERROR]]="",0,1))</f>
        <v>0</v>
      </c>
      <c r="L532" t="str" cm="1">
        <f t="array" aca="1" ref="L53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3" spans="1:12">
      <c r="A533" t="s">
        <v>2311</v>
      </c>
      <c r="B533" t="s">
        <v>2035</v>
      </c>
      <c r="C533" t="s">
        <v>2035</v>
      </c>
      <c r="D533" t="s">
        <v>98</v>
      </c>
      <c r="E533">
        <v>1</v>
      </c>
      <c r="F533" s="1"/>
      <c r="G533" s="1"/>
      <c r="H533">
        <f ca="1">IF(T_LEAVE[[#This Row],[EMPLOYEE]]="","",MATCH(T_LEAVE[[#This Row],[EMPLOYEE]],L_EMPLABELS,0))</f>
        <v>330</v>
      </c>
      <c r="I533">
        <f ca="1">IF(T_LEAVE[[#This Row],[EMPLOYEE]]="","",MATCH(T_LEAVE[[#This Row],[LEAVE TYPE]],L_LEAVETYPES,0))</f>
        <v>7</v>
      </c>
      <c r="J533" t="str" cm="1">
        <f t="array" aca="1" ref="J533" ca="1">IFERROR(INDEX(T_LEAVE_TYPES[SYMBOL],T_LEAVE[[#This Row],[LEAVE TYPE SYS ID]]),"")</f>
        <v>C</v>
      </c>
      <c r="K533">
        <f ca="1">IF(T_LEAVE[[#This Row],[EMPLOYEE]]="","",IF(T_LEAVE[[#This Row],[ERROR]]="",0,1))</f>
        <v>0</v>
      </c>
      <c r="L533" t="str" cm="1">
        <f t="array" aca="1" ref="L53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4" spans="1:12">
      <c r="A534" t="s">
        <v>2311</v>
      </c>
      <c r="B534" t="s">
        <v>2025</v>
      </c>
      <c r="C534" t="s">
        <v>2025</v>
      </c>
      <c r="D534" t="s">
        <v>98</v>
      </c>
      <c r="E534">
        <v>1</v>
      </c>
      <c r="F534" s="1"/>
      <c r="G534" s="1"/>
      <c r="H534">
        <f ca="1">IF(T_LEAVE[[#This Row],[EMPLOYEE]]="","",MATCH(T_LEAVE[[#This Row],[EMPLOYEE]],L_EMPLABELS,0))</f>
        <v>330</v>
      </c>
      <c r="I534">
        <f ca="1">IF(T_LEAVE[[#This Row],[EMPLOYEE]]="","",MATCH(T_LEAVE[[#This Row],[LEAVE TYPE]],L_LEAVETYPES,0))</f>
        <v>7</v>
      </c>
      <c r="J534" t="str" cm="1">
        <f t="array" aca="1" ref="J534" ca="1">IFERROR(INDEX(T_LEAVE_TYPES[SYMBOL],T_LEAVE[[#This Row],[LEAVE TYPE SYS ID]]),"")</f>
        <v>C</v>
      </c>
      <c r="K534">
        <f ca="1">IF(T_LEAVE[[#This Row],[EMPLOYEE]]="","",IF(T_LEAVE[[#This Row],[ERROR]]="",0,1))</f>
        <v>0</v>
      </c>
      <c r="L534" t="str" cm="1">
        <f t="array" aca="1" ref="L53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5" spans="1:12">
      <c r="A535" t="s">
        <v>2316</v>
      </c>
      <c r="B535" t="s">
        <v>1923</v>
      </c>
      <c r="C535" t="s">
        <v>2025</v>
      </c>
      <c r="D535" t="s">
        <v>62</v>
      </c>
      <c r="E535">
        <v>12</v>
      </c>
      <c r="F535" s="1"/>
      <c r="G535" s="1"/>
      <c r="H535">
        <f ca="1">IF(T_LEAVE[[#This Row],[EMPLOYEE]]="","",MATCH(T_LEAVE[[#This Row],[EMPLOYEE]],L_EMPLABELS,0))</f>
        <v>201</v>
      </c>
      <c r="I535">
        <f ca="1">IF(T_LEAVE[[#This Row],[EMPLOYEE]]="","",MATCH(T_LEAVE[[#This Row],[LEAVE TYPE]],L_LEAVETYPES,0))</f>
        <v>3</v>
      </c>
      <c r="J535" t="str" cm="1">
        <f t="array" aca="1" ref="J535" ca="1">IFERROR(INDEX(T_LEAVE_TYPES[SYMBOL],T_LEAVE[[#This Row],[LEAVE TYPE SYS ID]]),"")</f>
        <v>M</v>
      </c>
      <c r="K535">
        <f ca="1">IF(T_LEAVE[[#This Row],[EMPLOYEE]]="","",IF(T_LEAVE[[#This Row],[ERROR]]="",0,1))</f>
        <v>0</v>
      </c>
      <c r="L535" t="str" cm="1">
        <f t="array" aca="1" ref="L53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6" spans="1:12">
      <c r="A536" t="s">
        <v>2312</v>
      </c>
      <c r="B536" t="s">
        <v>2024</v>
      </c>
      <c r="C536" t="s">
        <v>2024</v>
      </c>
      <c r="D536" t="s">
        <v>98</v>
      </c>
      <c r="E536">
        <v>1</v>
      </c>
      <c r="F536" s="1"/>
      <c r="G536" s="1"/>
      <c r="H536">
        <f ca="1">IF(T_LEAVE[[#This Row],[EMPLOYEE]]="","",MATCH(T_LEAVE[[#This Row],[EMPLOYEE]],L_EMPLABELS,0))</f>
        <v>335</v>
      </c>
      <c r="I536">
        <f ca="1">IF(T_LEAVE[[#This Row],[EMPLOYEE]]="","",MATCH(T_LEAVE[[#This Row],[LEAVE TYPE]],L_LEAVETYPES,0))</f>
        <v>7</v>
      </c>
      <c r="J536" t="str" cm="1">
        <f t="array" aca="1" ref="J536" ca="1">IFERROR(INDEX(T_LEAVE_TYPES[SYMBOL],T_LEAVE[[#This Row],[LEAVE TYPE SYS ID]]),"")</f>
        <v>C</v>
      </c>
      <c r="K536">
        <f ca="1">IF(T_LEAVE[[#This Row],[EMPLOYEE]]="","",IF(T_LEAVE[[#This Row],[ERROR]]="",0,1))</f>
        <v>0</v>
      </c>
      <c r="L536" t="str" cm="1">
        <f t="array" aca="1" ref="L53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7" spans="1:12">
      <c r="A537" t="s">
        <v>2310</v>
      </c>
      <c r="B537" t="s">
        <v>2036</v>
      </c>
      <c r="C537" t="s">
        <v>2036</v>
      </c>
      <c r="D537" t="s">
        <v>98</v>
      </c>
      <c r="E537">
        <v>1</v>
      </c>
      <c r="F537" s="1"/>
      <c r="G537" s="1"/>
      <c r="H537">
        <f ca="1">IF(T_LEAVE[[#This Row],[EMPLOYEE]]="","",MATCH(T_LEAVE[[#This Row],[EMPLOYEE]],L_EMPLABELS,0))</f>
        <v>121</v>
      </c>
      <c r="I537">
        <f ca="1">IF(T_LEAVE[[#This Row],[EMPLOYEE]]="","",MATCH(T_LEAVE[[#This Row],[LEAVE TYPE]],L_LEAVETYPES,0))</f>
        <v>7</v>
      </c>
      <c r="J537" t="str" cm="1">
        <f t="array" aca="1" ref="J537" ca="1">IFERROR(INDEX(T_LEAVE_TYPES[SYMBOL],T_LEAVE[[#This Row],[LEAVE TYPE SYS ID]]),"")</f>
        <v>C</v>
      </c>
      <c r="K537">
        <f ca="1">IF(T_LEAVE[[#This Row],[EMPLOYEE]]="","",IF(T_LEAVE[[#This Row],[ERROR]]="",0,1))</f>
        <v>0</v>
      </c>
      <c r="L537" t="str" cm="1">
        <f t="array" aca="1" ref="L53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8" spans="1:12">
      <c r="A538" t="s">
        <v>2305</v>
      </c>
      <c r="B538" t="s">
        <v>2036</v>
      </c>
      <c r="C538" t="s">
        <v>2036</v>
      </c>
      <c r="D538" t="s">
        <v>98</v>
      </c>
      <c r="E538">
        <v>1</v>
      </c>
      <c r="F538" s="1"/>
      <c r="G538" s="1"/>
      <c r="H538">
        <f ca="1">IF(T_LEAVE[[#This Row],[EMPLOYEE]]="","",MATCH(T_LEAVE[[#This Row],[EMPLOYEE]],L_EMPLABELS,0))</f>
        <v>387</v>
      </c>
      <c r="I538">
        <f ca="1">IF(T_LEAVE[[#This Row],[EMPLOYEE]]="","",MATCH(T_LEAVE[[#This Row],[LEAVE TYPE]],L_LEAVETYPES,0))</f>
        <v>7</v>
      </c>
      <c r="J538" t="str" cm="1">
        <f t="array" aca="1" ref="J538" ca="1">IFERROR(INDEX(T_LEAVE_TYPES[SYMBOL],T_LEAVE[[#This Row],[LEAVE TYPE SYS ID]]),"")</f>
        <v>C</v>
      </c>
      <c r="K538">
        <f ca="1">IF(T_LEAVE[[#This Row],[EMPLOYEE]]="","",IF(T_LEAVE[[#This Row],[ERROR]]="",0,1))</f>
        <v>0</v>
      </c>
      <c r="L538" t="str" cm="1">
        <f t="array" aca="1" ref="L53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9" spans="1:12">
      <c r="A539" t="s">
        <v>2308</v>
      </c>
      <c r="B539" t="s">
        <v>2317</v>
      </c>
      <c r="C539" t="s">
        <v>2317</v>
      </c>
      <c r="D539" t="s">
        <v>98</v>
      </c>
      <c r="E539">
        <v>1</v>
      </c>
      <c r="F539" s="1"/>
      <c r="G539" s="1"/>
      <c r="H539">
        <f ca="1">IF(T_LEAVE[[#This Row],[EMPLOYEE]]="","",MATCH(T_LEAVE[[#This Row],[EMPLOYEE]],L_EMPLABELS,0))</f>
        <v>439</v>
      </c>
      <c r="I539">
        <f ca="1">IF(T_LEAVE[[#This Row],[EMPLOYEE]]="","",MATCH(T_LEAVE[[#This Row],[LEAVE TYPE]],L_LEAVETYPES,0))</f>
        <v>7</v>
      </c>
      <c r="J539" t="str" cm="1">
        <f t="array" aca="1" ref="J539" ca="1">IFERROR(INDEX(T_LEAVE_TYPES[SYMBOL],T_LEAVE[[#This Row],[LEAVE TYPE SYS ID]]),"")</f>
        <v>C</v>
      </c>
      <c r="K539">
        <f ca="1">IF(T_LEAVE[[#This Row],[EMPLOYEE]]="","",IF(T_LEAVE[[#This Row],[ERROR]]="",0,1))</f>
        <v>0</v>
      </c>
      <c r="L539" t="str" cm="1">
        <f t="array" aca="1" ref="L53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0" spans="1:12">
      <c r="A540" t="s">
        <v>2310</v>
      </c>
      <c r="B540" t="s">
        <v>2048</v>
      </c>
      <c r="C540" t="s">
        <v>2048</v>
      </c>
      <c r="D540" t="s">
        <v>98</v>
      </c>
      <c r="E540">
        <v>1</v>
      </c>
      <c r="F540" s="1"/>
      <c r="G540" s="1"/>
      <c r="H540">
        <f ca="1">IF(T_LEAVE[[#This Row],[EMPLOYEE]]="","",MATCH(T_LEAVE[[#This Row],[EMPLOYEE]],L_EMPLABELS,0))</f>
        <v>121</v>
      </c>
      <c r="I540">
        <f ca="1">IF(T_LEAVE[[#This Row],[EMPLOYEE]]="","",MATCH(T_LEAVE[[#This Row],[LEAVE TYPE]],L_LEAVETYPES,0))</f>
        <v>7</v>
      </c>
      <c r="J540" t="str" cm="1">
        <f t="array" aca="1" ref="J540" ca="1">IFERROR(INDEX(T_LEAVE_TYPES[SYMBOL],T_LEAVE[[#This Row],[LEAVE TYPE SYS ID]]),"")</f>
        <v>C</v>
      </c>
      <c r="K540">
        <f ca="1">IF(T_LEAVE[[#This Row],[EMPLOYEE]]="","",IF(T_LEAVE[[#This Row],[ERROR]]="",0,1))</f>
        <v>0</v>
      </c>
      <c r="L540" t="str" cm="1">
        <f t="array" aca="1" ref="L54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1" spans="1:12">
      <c r="A541" t="s">
        <v>2315</v>
      </c>
      <c r="B541" t="s">
        <v>2029</v>
      </c>
      <c r="C541" t="s">
        <v>2029</v>
      </c>
      <c r="D541" t="s">
        <v>98</v>
      </c>
      <c r="E541">
        <v>1</v>
      </c>
      <c r="F541" s="1"/>
      <c r="G541" s="1"/>
      <c r="H541">
        <f ca="1">IF(T_LEAVE[[#This Row],[EMPLOYEE]]="","",MATCH(T_LEAVE[[#This Row],[EMPLOYEE]],L_EMPLABELS,0))</f>
        <v>183</v>
      </c>
      <c r="I541">
        <f ca="1">IF(T_LEAVE[[#This Row],[EMPLOYEE]]="","",MATCH(T_LEAVE[[#This Row],[LEAVE TYPE]],L_LEAVETYPES,0))</f>
        <v>7</v>
      </c>
      <c r="J541" t="str" cm="1">
        <f t="array" aca="1" ref="J541" ca="1">IFERROR(INDEX(T_LEAVE_TYPES[SYMBOL],T_LEAVE[[#This Row],[LEAVE TYPE SYS ID]]),"")</f>
        <v>C</v>
      </c>
      <c r="K541">
        <f ca="1">IF(T_LEAVE[[#This Row],[EMPLOYEE]]="","",IF(T_LEAVE[[#This Row],[ERROR]]="",0,1))</f>
        <v>0</v>
      </c>
      <c r="L541" t="str" cm="1">
        <f t="array" aca="1" ref="L54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2" spans="1:12">
      <c r="A542" t="s">
        <v>2301</v>
      </c>
      <c r="B542" t="s">
        <v>2318</v>
      </c>
      <c r="C542" t="s">
        <v>2318</v>
      </c>
      <c r="D542" t="s">
        <v>98</v>
      </c>
      <c r="E542">
        <v>1</v>
      </c>
      <c r="F542" s="1"/>
      <c r="G542" s="1"/>
      <c r="H542">
        <f ca="1">IF(T_LEAVE[[#This Row],[EMPLOYEE]]="","",MATCH(T_LEAVE[[#This Row],[EMPLOYEE]],L_EMPLABELS,0))</f>
        <v>376</v>
      </c>
      <c r="I542">
        <f ca="1">IF(T_LEAVE[[#This Row],[EMPLOYEE]]="","",MATCH(T_LEAVE[[#This Row],[LEAVE TYPE]],L_LEAVETYPES,0))</f>
        <v>7</v>
      </c>
      <c r="J542" t="str" cm="1">
        <f t="array" aca="1" ref="J542" ca="1">IFERROR(INDEX(T_LEAVE_TYPES[SYMBOL],T_LEAVE[[#This Row],[LEAVE TYPE SYS ID]]),"")</f>
        <v>C</v>
      </c>
      <c r="K542">
        <f ca="1">IF(T_LEAVE[[#This Row],[EMPLOYEE]]="","",IF(T_LEAVE[[#This Row],[ERROR]]="",0,1))</f>
        <v>0</v>
      </c>
      <c r="L542" t="str" cm="1">
        <f t="array" aca="1" ref="L54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3" spans="1:12">
      <c r="A543" t="s">
        <v>2306</v>
      </c>
      <c r="B543" t="s">
        <v>2318</v>
      </c>
      <c r="C543" t="s">
        <v>2318</v>
      </c>
      <c r="D543" t="s">
        <v>98</v>
      </c>
      <c r="E543">
        <v>1</v>
      </c>
      <c r="F543" s="1"/>
      <c r="G543" s="1"/>
      <c r="H543">
        <f ca="1">IF(T_LEAVE[[#This Row],[EMPLOYEE]]="","",MATCH(T_LEAVE[[#This Row],[EMPLOYEE]],L_EMPLABELS,0))</f>
        <v>467</v>
      </c>
      <c r="I543">
        <f ca="1">IF(T_LEAVE[[#This Row],[EMPLOYEE]]="","",MATCH(T_LEAVE[[#This Row],[LEAVE TYPE]],L_LEAVETYPES,0))</f>
        <v>7</v>
      </c>
      <c r="J543" t="str" cm="1">
        <f t="array" aca="1" ref="J543" ca="1">IFERROR(INDEX(T_LEAVE_TYPES[SYMBOL],T_LEAVE[[#This Row],[LEAVE TYPE SYS ID]]),"")</f>
        <v>C</v>
      </c>
      <c r="K543">
        <f ca="1">IF(T_LEAVE[[#This Row],[EMPLOYEE]]="","",IF(T_LEAVE[[#This Row],[ERROR]]="",0,1))</f>
        <v>0</v>
      </c>
      <c r="L543" t="str" cm="1">
        <f t="array" aca="1" ref="L54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4" spans="1:12">
      <c r="A544" t="s">
        <v>2306</v>
      </c>
      <c r="B544" t="s">
        <v>2039</v>
      </c>
      <c r="C544" t="s">
        <v>2039</v>
      </c>
      <c r="D544" t="s">
        <v>98</v>
      </c>
      <c r="E544">
        <v>1</v>
      </c>
      <c r="F544" s="1"/>
      <c r="G544" s="1"/>
      <c r="H544">
        <f ca="1">IF(T_LEAVE[[#This Row],[EMPLOYEE]]="","",MATCH(T_LEAVE[[#This Row],[EMPLOYEE]],L_EMPLABELS,0))</f>
        <v>467</v>
      </c>
      <c r="I544">
        <f ca="1">IF(T_LEAVE[[#This Row],[EMPLOYEE]]="","",MATCH(T_LEAVE[[#This Row],[LEAVE TYPE]],L_LEAVETYPES,0))</f>
        <v>7</v>
      </c>
      <c r="J544" t="str" cm="1">
        <f t="array" aca="1" ref="J544" ca="1">IFERROR(INDEX(T_LEAVE_TYPES[SYMBOL],T_LEAVE[[#This Row],[LEAVE TYPE SYS ID]]),"")</f>
        <v>C</v>
      </c>
      <c r="K544">
        <f ca="1">IF(T_LEAVE[[#This Row],[EMPLOYEE]]="","",IF(T_LEAVE[[#This Row],[ERROR]]="",0,1))</f>
        <v>0</v>
      </c>
      <c r="L544" t="str" cm="1">
        <f t="array" aca="1" ref="L54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5" spans="1:12">
      <c r="A545" t="s">
        <v>2307</v>
      </c>
      <c r="B545" t="s">
        <v>2093</v>
      </c>
      <c r="C545" t="s">
        <v>2093</v>
      </c>
      <c r="D545" t="s">
        <v>98</v>
      </c>
      <c r="E545">
        <v>1</v>
      </c>
      <c r="F545" s="1"/>
      <c r="G545" s="1"/>
      <c r="H545">
        <f ca="1">IF(T_LEAVE[[#This Row],[EMPLOYEE]]="","",MATCH(T_LEAVE[[#This Row],[EMPLOYEE]],L_EMPLABELS,0))</f>
        <v>441</v>
      </c>
      <c r="I545">
        <f ca="1">IF(T_LEAVE[[#This Row],[EMPLOYEE]]="","",MATCH(T_LEAVE[[#This Row],[LEAVE TYPE]],L_LEAVETYPES,0))</f>
        <v>7</v>
      </c>
      <c r="J545" t="str" cm="1">
        <f t="array" aca="1" ref="J545" ca="1">IFERROR(INDEX(T_LEAVE_TYPES[SYMBOL],T_LEAVE[[#This Row],[LEAVE TYPE SYS ID]]),"")</f>
        <v>C</v>
      </c>
      <c r="K545">
        <f ca="1">IF(T_LEAVE[[#This Row],[EMPLOYEE]]="","",IF(T_LEAVE[[#This Row],[ERROR]]="",0,1))</f>
        <v>0</v>
      </c>
      <c r="L545" t="str" cm="1">
        <f t="array" aca="1" ref="L54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6" spans="1:12">
      <c r="A546" t="s">
        <v>2310</v>
      </c>
      <c r="B546" t="s">
        <v>2035</v>
      </c>
      <c r="C546" t="s">
        <v>2035</v>
      </c>
      <c r="D546" t="s">
        <v>92</v>
      </c>
      <c r="E546">
        <v>1</v>
      </c>
      <c r="F546" s="1"/>
      <c r="G546" s="1"/>
      <c r="H546">
        <f ca="1">IF(T_LEAVE[[#This Row],[EMPLOYEE]]="","",MATCH(T_LEAVE[[#This Row],[EMPLOYEE]],L_EMPLABELS,0))</f>
        <v>121</v>
      </c>
      <c r="I546">
        <f ca="1">IF(T_LEAVE[[#This Row],[EMPLOYEE]]="","",MATCH(T_LEAVE[[#This Row],[LEAVE TYPE]],L_LEAVETYPES,0))</f>
        <v>6</v>
      </c>
      <c r="J546" t="str" cm="1">
        <f t="array" aca="1" ref="J546" ca="1">IFERROR(INDEX(T_LEAVE_TYPES[SYMBOL],T_LEAVE[[#This Row],[LEAVE TYPE SYS ID]]),"")</f>
        <v>PR</v>
      </c>
      <c r="K546">
        <f ca="1">IF(T_LEAVE[[#This Row],[EMPLOYEE]]="","",IF(T_LEAVE[[#This Row],[ERROR]]="",0,1))</f>
        <v>0</v>
      </c>
      <c r="L546" t="str" cm="1">
        <f t="array" aca="1" ref="L54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7" spans="1:12">
      <c r="A547" t="s">
        <v>2312</v>
      </c>
      <c r="B547" t="s">
        <v>2319</v>
      </c>
      <c r="C547" t="s">
        <v>2319</v>
      </c>
      <c r="D547" t="s">
        <v>98</v>
      </c>
      <c r="E547">
        <v>1</v>
      </c>
      <c r="F547" s="1"/>
      <c r="G547" s="1"/>
      <c r="H547">
        <f ca="1">IF(T_LEAVE[[#This Row],[EMPLOYEE]]="","",MATCH(T_LEAVE[[#This Row],[EMPLOYEE]],L_EMPLABELS,0))</f>
        <v>335</v>
      </c>
      <c r="I547">
        <f ca="1">IF(T_LEAVE[[#This Row],[EMPLOYEE]]="","",MATCH(T_LEAVE[[#This Row],[LEAVE TYPE]],L_LEAVETYPES,0))</f>
        <v>7</v>
      </c>
      <c r="J547" t="str" cm="1">
        <f t="array" aca="1" ref="J547" ca="1">IFERROR(INDEX(T_LEAVE_TYPES[SYMBOL],T_LEAVE[[#This Row],[LEAVE TYPE SYS ID]]),"")</f>
        <v>C</v>
      </c>
      <c r="K547">
        <f ca="1">IF(T_LEAVE[[#This Row],[EMPLOYEE]]="","",IF(T_LEAVE[[#This Row],[ERROR]]="",0,1))</f>
        <v>0</v>
      </c>
      <c r="L547" t="str" cm="1">
        <f t="array" aca="1" ref="L54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8" spans="1:12">
      <c r="A548" t="s">
        <v>2316</v>
      </c>
      <c r="B548" t="s">
        <v>1925</v>
      </c>
      <c r="C548" t="s">
        <v>1925</v>
      </c>
      <c r="D548" t="s">
        <v>92</v>
      </c>
      <c r="E548">
        <v>1</v>
      </c>
      <c r="F548" s="1"/>
      <c r="G548" s="1"/>
      <c r="H548">
        <f ca="1">IF(T_LEAVE[[#This Row],[EMPLOYEE]]="","",MATCH(T_LEAVE[[#This Row],[EMPLOYEE]],L_EMPLABELS,0))</f>
        <v>201</v>
      </c>
      <c r="I548">
        <f ca="1">IF(T_LEAVE[[#This Row],[EMPLOYEE]]="","",MATCH(T_LEAVE[[#This Row],[LEAVE TYPE]],L_LEAVETYPES,0))</f>
        <v>6</v>
      </c>
      <c r="J548" t="str" cm="1">
        <f t="array" aca="1" ref="J548" ca="1">IFERROR(INDEX(T_LEAVE_TYPES[SYMBOL],T_LEAVE[[#This Row],[LEAVE TYPE SYS ID]]),"")</f>
        <v>PR</v>
      </c>
      <c r="K548">
        <f ca="1">IF(T_LEAVE[[#This Row],[EMPLOYEE]]="","",IF(T_LEAVE[[#This Row],[ERROR]]="",0,1))</f>
        <v>0</v>
      </c>
      <c r="L548" t="str" cm="1">
        <f t="array" aca="1" ref="L54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9" spans="1:12">
      <c r="A549" t="s">
        <v>2316</v>
      </c>
      <c r="B549" t="s">
        <v>2094</v>
      </c>
      <c r="C549" t="s">
        <v>1924</v>
      </c>
      <c r="D549" t="s">
        <v>92</v>
      </c>
      <c r="E549">
        <v>2</v>
      </c>
      <c r="F549" s="1"/>
      <c r="G549" s="1"/>
      <c r="H549">
        <f ca="1">IF(T_LEAVE[[#This Row],[EMPLOYEE]]="","",MATCH(T_LEAVE[[#This Row],[EMPLOYEE]],L_EMPLABELS,0))</f>
        <v>201</v>
      </c>
      <c r="I549">
        <f ca="1">IF(T_LEAVE[[#This Row],[EMPLOYEE]]="","",MATCH(T_LEAVE[[#This Row],[LEAVE TYPE]],L_LEAVETYPES,0))</f>
        <v>6</v>
      </c>
      <c r="J549" t="str" cm="1">
        <f t="array" aca="1" ref="J549" ca="1">IFERROR(INDEX(T_LEAVE_TYPES[SYMBOL],T_LEAVE[[#This Row],[LEAVE TYPE SYS ID]]),"")</f>
        <v>PR</v>
      </c>
      <c r="K549">
        <f ca="1">IF(T_LEAVE[[#This Row],[EMPLOYEE]]="","",IF(T_LEAVE[[#This Row],[ERROR]]="",0,1))</f>
        <v>0</v>
      </c>
      <c r="L549" t="str" cm="1">
        <f t="array" aca="1" ref="L54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0" spans="1:12">
      <c r="A550" t="s">
        <v>2316</v>
      </c>
      <c r="B550" t="s">
        <v>2055</v>
      </c>
      <c r="C550" t="s">
        <v>2013</v>
      </c>
      <c r="D550" t="s">
        <v>98</v>
      </c>
      <c r="E550">
        <v>2</v>
      </c>
      <c r="F550" s="1"/>
      <c r="G550" s="1"/>
      <c r="H550">
        <f ca="1">IF(T_LEAVE[[#This Row],[EMPLOYEE]]="","",MATCH(T_LEAVE[[#This Row],[EMPLOYEE]],L_EMPLABELS,0))</f>
        <v>201</v>
      </c>
      <c r="I550">
        <f ca="1">IF(T_LEAVE[[#This Row],[EMPLOYEE]]="","",MATCH(T_LEAVE[[#This Row],[LEAVE TYPE]],L_LEAVETYPES,0))</f>
        <v>7</v>
      </c>
      <c r="J550" t="str" cm="1">
        <f t="array" aca="1" ref="J550" ca="1">IFERROR(INDEX(T_LEAVE_TYPES[SYMBOL],T_LEAVE[[#This Row],[LEAVE TYPE SYS ID]]),"")</f>
        <v>C</v>
      </c>
      <c r="K550">
        <f ca="1">IF(T_LEAVE[[#This Row],[EMPLOYEE]]="","",IF(T_LEAVE[[#This Row],[ERROR]]="",0,1))</f>
        <v>0</v>
      </c>
      <c r="L550" t="str" cm="1">
        <f t="array" aca="1" ref="L55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1" spans="1:12">
      <c r="A551" t="s">
        <v>2307</v>
      </c>
      <c r="B551" t="s">
        <v>1916</v>
      </c>
      <c r="C551" t="s">
        <v>1916</v>
      </c>
      <c r="D551" t="s">
        <v>98</v>
      </c>
      <c r="E551">
        <v>1</v>
      </c>
      <c r="F551" s="1"/>
      <c r="G551" s="1"/>
      <c r="H551">
        <f ca="1">IF(T_LEAVE[[#This Row],[EMPLOYEE]]="","",MATCH(T_LEAVE[[#This Row],[EMPLOYEE]],L_EMPLABELS,0))</f>
        <v>441</v>
      </c>
      <c r="I551">
        <f ca="1">IF(T_LEAVE[[#This Row],[EMPLOYEE]]="","",MATCH(T_LEAVE[[#This Row],[LEAVE TYPE]],L_LEAVETYPES,0))</f>
        <v>7</v>
      </c>
      <c r="J551" t="str" cm="1">
        <f t="array" aca="1" ref="J551" ca="1">IFERROR(INDEX(T_LEAVE_TYPES[SYMBOL],T_LEAVE[[#This Row],[LEAVE TYPE SYS ID]]),"")</f>
        <v>C</v>
      </c>
      <c r="K551">
        <f ca="1">IF(T_LEAVE[[#This Row],[EMPLOYEE]]="","",IF(T_LEAVE[[#This Row],[ERROR]]="",0,1))</f>
        <v>0</v>
      </c>
      <c r="L551" t="str" cm="1">
        <f t="array" aca="1" ref="L55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2" spans="1:12">
      <c r="A552" t="s">
        <v>2315</v>
      </c>
      <c r="B552" t="s">
        <v>2067</v>
      </c>
      <c r="C552" t="s">
        <v>2067</v>
      </c>
      <c r="D552" t="s">
        <v>98</v>
      </c>
      <c r="E552">
        <v>0.5</v>
      </c>
      <c r="F552" s="1"/>
      <c r="G552" s="1"/>
      <c r="H552">
        <f ca="1">IF(T_LEAVE[[#This Row],[EMPLOYEE]]="","",MATCH(T_LEAVE[[#This Row],[EMPLOYEE]],L_EMPLABELS,0))</f>
        <v>183</v>
      </c>
      <c r="I552">
        <f ca="1">IF(T_LEAVE[[#This Row],[EMPLOYEE]]="","",MATCH(T_LEAVE[[#This Row],[LEAVE TYPE]],L_LEAVETYPES,0))</f>
        <v>7</v>
      </c>
      <c r="J552" t="str" cm="1">
        <f t="array" aca="1" ref="J552" ca="1">IFERROR(INDEX(T_LEAVE_TYPES[SYMBOL],T_LEAVE[[#This Row],[LEAVE TYPE SYS ID]]),"")</f>
        <v>C</v>
      </c>
      <c r="K552">
        <f ca="1">IF(T_LEAVE[[#This Row],[EMPLOYEE]]="","",IF(T_LEAVE[[#This Row],[ERROR]]="",0,1))</f>
        <v>0</v>
      </c>
      <c r="L552" t="str" cm="1">
        <f t="array" aca="1" ref="L55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3" spans="1:12">
      <c r="A553" t="s">
        <v>2305</v>
      </c>
      <c r="B553" t="s">
        <v>2320</v>
      </c>
      <c r="C553" t="s">
        <v>2320</v>
      </c>
      <c r="D553" t="s">
        <v>92</v>
      </c>
      <c r="E553">
        <v>1</v>
      </c>
      <c r="F553" s="1"/>
      <c r="G553" s="1"/>
      <c r="H553">
        <f ca="1">IF(T_LEAVE[[#This Row],[EMPLOYEE]]="","",MATCH(T_LEAVE[[#This Row],[EMPLOYEE]],L_EMPLABELS,0))</f>
        <v>387</v>
      </c>
      <c r="I553">
        <f ca="1">IF(T_LEAVE[[#This Row],[EMPLOYEE]]="","",MATCH(T_LEAVE[[#This Row],[LEAVE TYPE]],L_LEAVETYPES,0))</f>
        <v>6</v>
      </c>
      <c r="J553" t="str" cm="1">
        <f t="array" aca="1" ref="J553" ca="1">IFERROR(INDEX(T_LEAVE_TYPES[SYMBOL],T_LEAVE[[#This Row],[LEAVE TYPE SYS ID]]),"")</f>
        <v>PR</v>
      </c>
      <c r="K553">
        <f ca="1">IF(T_LEAVE[[#This Row],[EMPLOYEE]]="","",IF(T_LEAVE[[#This Row],[ERROR]]="",0,1))</f>
        <v>0</v>
      </c>
      <c r="L553" t="str" cm="1">
        <f t="array" aca="1" ref="L55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4" spans="1:12">
      <c r="A554" t="s">
        <v>2301</v>
      </c>
      <c r="B554" t="s">
        <v>2071</v>
      </c>
      <c r="C554" t="s">
        <v>2071</v>
      </c>
      <c r="D554" t="s">
        <v>92</v>
      </c>
      <c r="E554">
        <v>1</v>
      </c>
      <c r="F554" s="1"/>
      <c r="G554" s="1"/>
      <c r="H554">
        <f ca="1">IF(T_LEAVE[[#This Row],[EMPLOYEE]]="","",MATCH(T_LEAVE[[#This Row],[EMPLOYEE]],L_EMPLABELS,0))</f>
        <v>376</v>
      </c>
      <c r="I554">
        <f ca="1">IF(T_LEAVE[[#This Row],[EMPLOYEE]]="","",MATCH(T_LEAVE[[#This Row],[LEAVE TYPE]],L_LEAVETYPES,0))</f>
        <v>6</v>
      </c>
      <c r="J554" t="str" cm="1">
        <f t="array" aca="1" ref="J554" ca="1">IFERROR(INDEX(T_LEAVE_TYPES[SYMBOL],T_LEAVE[[#This Row],[LEAVE TYPE SYS ID]]),"")</f>
        <v>PR</v>
      </c>
      <c r="K554">
        <f ca="1">IF(T_LEAVE[[#This Row],[EMPLOYEE]]="","",IF(T_LEAVE[[#This Row],[ERROR]]="",0,1))</f>
        <v>0</v>
      </c>
      <c r="L554" t="str" cm="1">
        <f t="array" aca="1" ref="L55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5" spans="1:12">
      <c r="A555" t="s">
        <v>2307</v>
      </c>
      <c r="B555" t="s">
        <v>2160</v>
      </c>
      <c r="C555" t="s">
        <v>2160</v>
      </c>
      <c r="D555" t="s">
        <v>98</v>
      </c>
      <c r="E555">
        <v>1</v>
      </c>
      <c r="F555" s="1"/>
      <c r="G555" s="1"/>
      <c r="H555">
        <f ca="1">IF(T_LEAVE[[#This Row],[EMPLOYEE]]="","",MATCH(T_LEAVE[[#This Row],[EMPLOYEE]],L_EMPLABELS,0))</f>
        <v>441</v>
      </c>
      <c r="I555">
        <f ca="1">IF(T_LEAVE[[#This Row],[EMPLOYEE]]="","",MATCH(T_LEAVE[[#This Row],[LEAVE TYPE]],L_LEAVETYPES,0))</f>
        <v>7</v>
      </c>
      <c r="J555" t="str" cm="1">
        <f t="array" aca="1" ref="J555" ca="1">IFERROR(INDEX(T_LEAVE_TYPES[SYMBOL],T_LEAVE[[#This Row],[LEAVE TYPE SYS ID]]),"")</f>
        <v>C</v>
      </c>
      <c r="K555">
        <f ca="1">IF(T_LEAVE[[#This Row],[EMPLOYEE]]="","",IF(T_LEAVE[[#This Row],[ERROR]]="",0,1))</f>
        <v>0</v>
      </c>
      <c r="L555" t="str" cm="1">
        <f t="array" aca="1" ref="L55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6" spans="1:12">
      <c r="A556" t="s">
        <v>2307</v>
      </c>
      <c r="B556" t="s">
        <v>1964</v>
      </c>
      <c r="C556" t="s">
        <v>1964</v>
      </c>
      <c r="D556" t="s">
        <v>92</v>
      </c>
      <c r="E556">
        <v>1</v>
      </c>
      <c r="F556" s="1"/>
      <c r="G556" s="1"/>
      <c r="H556">
        <f ca="1">IF(T_LEAVE[[#This Row],[EMPLOYEE]]="","",MATCH(T_LEAVE[[#This Row],[EMPLOYEE]],L_EMPLABELS,0))</f>
        <v>441</v>
      </c>
      <c r="I556">
        <f ca="1">IF(T_LEAVE[[#This Row],[EMPLOYEE]]="","",MATCH(T_LEAVE[[#This Row],[LEAVE TYPE]],L_LEAVETYPES,0))</f>
        <v>6</v>
      </c>
      <c r="J556" t="str" cm="1">
        <f t="array" aca="1" ref="J556" ca="1">IFERROR(INDEX(T_LEAVE_TYPES[SYMBOL],T_LEAVE[[#This Row],[LEAVE TYPE SYS ID]]),"")</f>
        <v>PR</v>
      </c>
      <c r="K556">
        <f ca="1">IF(T_LEAVE[[#This Row],[EMPLOYEE]]="","",IF(T_LEAVE[[#This Row],[ERROR]]="",0,1))</f>
        <v>0</v>
      </c>
      <c r="L556" t="str" cm="1">
        <f t="array" aca="1" ref="L55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7" spans="1:12">
      <c r="A557" t="s">
        <v>2307</v>
      </c>
      <c r="B557" t="s">
        <v>1940</v>
      </c>
      <c r="C557" t="s">
        <v>1940</v>
      </c>
      <c r="D557" t="s">
        <v>98</v>
      </c>
      <c r="E557">
        <v>1</v>
      </c>
      <c r="F557" s="1"/>
      <c r="G557" s="1"/>
      <c r="H557">
        <f ca="1">IF(T_LEAVE[[#This Row],[EMPLOYEE]]="","",MATCH(T_LEAVE[[#This Row],[EMPLOYEE]],L_EMPLABELS,0))</f>
        <v>441</v>
      </c>
      <c r="I557">
        <f ca="1">IF(T_LEAVE[[#This Row],[EMPLOYEE]]="","",MATCH(T_LEAVE[[#This Row],[LEAVE TYPE]],L_LEAVETYPES,0))</f>
        <v>7</v>
      </c>
      <c r="J557" t="str" cm="1">
        <f t="array" aca="1" ref="J557" ca="1">IFERROR(INDEX(T_LEAVE_TYPES[SYMBOL],T_LEAVE[[#This Row],[LEAVE TYPE SYS ID]]),"")</f>
        <v>C</v>
      </c>
      <c r="K557">
        <f ca="1">IF(T_LEAVE[[#This Row],[EMPLOYEE]]="","",IF(T_LEAVE[[#This Row],[ERROR]]="",0,1))</f>
        <v>0</v>
      </c>
      <c r="L557" t="str" cm="1">
        <f t="array" aca="1" ref="L55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8" spans="1:12">
      <c r="A558" t="s">
        <v>2316</v>
      </c>
      <c r="B558" t="s">
        <v>2065</v>
      </c>
      <c r="C558" t="s">
        <v>2160</v>
      </c>
      <c r="D558" t="s">
        <v>92</v>
      </c>
      <c r="E558">
        <v>4</v>
      </c>
      <c r="F558" s="1"/>
      <c r="G558" s="1"/>
      <c r="H558">
        <f ca="1">IF(T_LEAVE[[#This Row],[EMPLOYEE]]="","",MATCH(T_LEAVE[[#This Row],[EMPLOYEE]],L_EMPLABELS,0))</f>
        <v>201</v>
      </c>
      <c r="I558">
        <f ca="1">IF(T_LEAVE[[#This Row],[EMPLOYEE]]="","",MATCH(T_LEAVE[[#This Row],[LEAVE TYPE]],L_LEAVETYPES,0))</f>
        <v>6</v>
      </c>
      <c r="J558" t="str" cm="1">
        <f t="array" aca="1" ref="J558" ca="1">IFERROR(INDEX(T_LEAVE_TYPES[SYMBOL],T_LEAVE[[#This Row],[LEAVE TYPE SYS ID]]),"")</f>
        <v>PR</v>
      </c>
      <c r="K558">
        <f ca="1">IF(T_LEAVE[[#This Row],[EMPLOYEE]]="","",IF(T_LEAVE[[#This Row],[ERROR]]="",0,1))</f>
        <v>0</v>
      </c>
      <c r="L558" t="str" cm="1">
        <f t="array" aca="1" ref="L55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9" spans="1:12">
      <c r="A559" t="s">
        <v>2310</v>
      </c>
      <c r="B559" t="s">
        <v>2296</v>
      </c>
      <c r="C559" t="s">
        <v>2296</v>
      </c>
      <c r="D559" t="s">
        <v>92</v>
      </c>
      <c r="E559">
        <v>1</v>
      </c>
      <c r="F559" s="1"/>
      <c r="G559" s="1"/>
      <c r="H559">
        <f ca="1">IF(T_LEAVE[[#This Row],[EMPLOYEE]]="","",MATCH(T_LEAVE[[#This Row],[EMPLOYEE]],L_EMPLABELS,0))</f>
        <v>121</v>
      </c>
      <c r="I559">
        <f ca="1">IF(T_LEAVE[[#This Row],[EMPLOYEE]]="","",MATCH(T_LEAVE[[#This Row],[LEAVE TYPE]],L_LEAVETYPES,0))</f>
        <v>6</v>
      </c>
      <c r="J559" t="str" cm="1">
        <f t="array" aca="1" ref="J559" ca="1">IFERROR(INDEX(T_LEAVE_TYPES[SYMBOL],T_LEAVE[[#This Row],[LEAVE TYPE SYS ID]]),"")</f>
        <v>PR</v>
      </c>
      <c r="K559">
        <f ca="1">IF(T_LEAVE[[#This Row],[EMPLOYEE]]="","",IF(T_LEAVE[[#This Row],[ERROR]]="",0,1))</f>
        <v>0</v>
      </c>
      <c r="L559" t="str" cm="1">
        <f t="array" aca="1" ref="L55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0" spans="1:12">
      <c r="A560" t="s">
        <v>2316</v>
      </c>
      <c r="B560" t="s">
        <v>2074</v>
      </c>
      <c r="C560" t="s">
        <v>2074</v>
      </c>
      <c r="D560" t="s">
        <v>92</v>
      </c>
      <c r="E560">
        <v>0.5</v>
      </c>
      <c r="F560" s="1"/>
      <c r="G560" s="1"/>
      <c r="H560">
        <f ca="1">IF(T_LEAVE[[#This Row],[EMPLOYEE]]="","",MATCH(T_LEAVE[[#This Row],[EMPLOYEE]],L_EMPLABELS,0))</f>
        <v>201</v>
      </c>
      <c r="I560">
        <f ca="1">IF(T_LEAVE[[#This Row],[EMPLOYEE]]="","",MATCH(T_LEAVE[[#This Row],[LEAVE TYPE]],L_LEAVETYPES,0))</f>
        <v>6</v>
      </c>
      <c r="J560" t="str" cm="1">
        <f t="array" aca="1" ref="J560" ca="1">IFERROR(INDEX(T_LEAVE_TYPES[SYMBOL],T_LEAVE[[#This Row],[LEAVE TYPE SYS ID]]),"")</f>
        <v>PR</v>
      </c>
      <c r="K560">
        <f ca="1">IF(T_LEAVE[[#This Row],[EMPLOYEE]]="","",IF(T_LEAVE[[#This Row],[ERROR]]="",0,1))</f>
        <v>0</v>
      </c>
      <c r="L560" t="str" cm="1">
        <f t="array" aca="1" ref="L56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1" spans="1:12">
      <c r="A561" t="s">
        <v>2316</v>
      </c>
      <c r="B561" t="s">
        <v>2321</v>
      </c>
      <c r="C561" t="s">
        <v>2321</v>
      </c>
      <c r="D561" t="s">
        <v>98</v>
      </c>
      <c r="E561">
        <v>1</v>
      </c>
      <c r="F561" s="1"/>
      <c r="G561" s="1"/>
      <c r="H561">
        <f ca="1">IF(T_LEAVE[[#This Row],[EMPLOYEE]]="","",MATCH(T_LEAVE[[#This Row],[EMPLOYEE]],L_EMPLABELS,0))</f>
        <v>201</v>
      </c>
      <c r="I561">
        <f ca="1">IF(T_LEAVE[[#This Row],[EMPLOYEE]]="","",MATCH(T_LEAVE[[#This Row],[LEAVE TYPE]],L_LEAVETYPES,0))</f>
        <v>7</v>
      </c>
      <c r="J561" t="str" cm="1">
        <f t="array" aca="1" ref="J561" ca="1">IFERROR(INDEX(T_LEAVE_TYPES[SYMBOL],T_LEAVE[[#This Row],[LEAVE TYPE SYS ID]]),"")</f>
        <v>C</v>
      </c>
      <c r="K561">
        <f ca="1">IF(T_LEAVE[[#This Row],[EMPLOYEE]]="","",IF(T_LEAVE[[#This Row],[ERROR]]="",0,1))</f>
        <v>0</v>
      </c>
      <c r="L561" t="str" cm="1">
        <f t="array" aca="1" ref="L56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2" spans="1:12">
      <c r="A562" t="s">
        <v>2312</v>
      </c>
      <c r="B562" t="s">
        <v>2077</v>
      </c>
      <c r="C562" t="s">
        <v>2077</v>
      </c>
      <c r="D562" t="s">
        <v>98</v>
      </c>
      <c r="E562">
        <v>1</v>
      </c>
      <c r="F562" s="1"/>
      <c r="G562" s="1"/>
      <c r="H562">
        <f ca="1">IF(T_LEAVE[[#This Row],[EMPLOYEE]]="","",MATCH(T_LEAVE[[#This Row],[EMPLOYEE]],L_EMPLABELS,0))</f>
        <v>335</v>
      </c>
      <c r="I562">
        <f ca="1">IF(T_LEAVE[[#This Row],[EMPLOYEE]]="","",MATCH(T_LEAVE[[#This Row],[LEAVE TYPE]],L_LEAVETYPES,0))</f>
        <v>7</v>
      </c>
      <c r="J562" t="str" cm="1">
        <f t="array" aca="1" ref="J562" ca="1">IFERROR(INDEX(T_LEAVE_TYPES[SYMBOL],T_LEAVE[[#This Row],[LEAVE TYPE SYS ID]]),"")</f>
        <v>C</v>
      </c>
      <c r="K562">
        <f ca="1">IF(T_LEAVE[[#This Row],[EMPLOYEE]]="","",IF(T_LEAVE[[#This Row],[ERROR]]="",0,1))</f>
        <v>0</v>
      </c>
      <c r="L562" t="str" cm="1">
        <f t="array" aca="1" ref="L56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3" spans="1:12">
      <c r="A563" t="s">
        <v>2315</v>
      </c>
      <c r="B563" t="s">
        <v>2322</v>
      </c>
      <c r="C563" t="s">
        <v>2322</v>
      </c>
      <c r="D563" t="s">
        <v>98</v>
      </c>
      <c r="E563">
        <v>1</v>
      </c>
      <c r="F563" s="1"/>
      <c r="G563" s="1"/>
      <c r="H563">
        <f ca="1">IF(T_LEAVE[[#This Row],[EMPLOYEE]]="","",MATCH(T_LEAVE[[#This Row],[EMPLOYEE]],L_EMPLABELS,0))</f>
        <v>183</v>
      </c>
      <c r="I563">
        <f ca="1">IF(T_LEAVE[[#This Row],[EMPLOYEE]]="","",MATCH(T_LEAVE[[#This Row],[LEAVE TYPE]],L_LEAVETYPES,0))</f>
        <v>7</v>
      </c>
      <c r="J563" t="str" cm="1">
        <f t="array" aca="1" ref="J563" ca="1">IFERROR(INDEX(T_LEAVE_TYPES[SYMBOL],T_LEAVE[[#This Row],[LEAVE TYPE SYS ID]]),"")</f>
        <v>C</v>
      </c>
      <c r="K563">
        <f ca="1">IF(T_LEAVE[[#This Row],[EMPLOYEE]]="","",IF(T_LEAVE[[#This Row],[ERROR]]="",0,1))</f>
        <v>0</v>
      </c>
      <c r="L563" t="str" cm="1">
        <f t="array" aca="1" ref="L56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4" spans="1:12">
      <c r="A564" t="s">
        <v>2305</v>
      </c>
      <c r="B564" t="s">
        <v>2058</v>
      </c>
      <c r="C564" t="s">
        <v>2058</v>
      </c>
      <c r="D564" t="s">
        <v>92</v>
      </c>
      <c r="E564">
        <v>1</v>
      </c>
      <c r="F564" s="1"/>
      <c r="G564" s="1"/>
      <c r="H564">
        <f ca="1">IF(T_LEAVE[[#This Row],[EMPLOYEE]]="","",MATCH(T_LEAVE[[#This Row],[EMPLOYEE]],L_EMPLABELS,0))</f>
        <v>387</v>
      </c>
      <c r="I564">
        <f ca="1">IF(T_LEAVE[[#This Row],[EMPLOYEE]]="","",MATCH(T_LEAVE[[#This Row],[LEAVE TYPE]],L_LEAVETYPES,0))</f>
        <v>6</v>
      </c>
      <c r="J564" t="str" cm="1">
        <f t="array" aca="1" ref="J564" ca="1">IFERROR(INDEX(T_LEAVE_TYPES[SYMBOL],T_LEAVE[[#This Row],[LEAVE TYPE SYS ID]]),"")</f>
        <v>PR</v>
      </c>
      <c r="K564">
        <f ca="1">IF(T_LEAVE[[#This Row],[EMPLOYEE]]="","",IF(T_LEAVE[[#This Row],[ERROR]]="",0,1))</f>
        <v>0</v>
      </c>
      <c r="L564" t="str" cm="1">
        <f t="array" aca="1" ref="L56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5" spans="1:12">
      <c r="A565" t="s">
        <v>2308</v>
      </c>
      <c r="B565" t="s">
        <v>2058</v>
      </c>
      <c r="C565" t="s">
        <v>2322</v>
      </c>
      <c r="D565" t="s">
        <v>98</v>
      </c>
      <c r="E565">
        <v>2</v>
      </c>
      <c r="F565" s="1"/>
      <c r="G565" s="1"/>
      <c r="H565">
        <f ca="1">IF(T_LEAVE[[#This Row],[EMPLOYEE]]="","",MATCH(T_LEAVE[[#This Row],[EMPLOYEE]],L_EMPLABELS,0))</f>
        <v>439</v>
      </c>
      <c r="I565">
        <f ca="1">IF(T_LEAVE[[#This Row],[EMPLOYEE]]="","",MATCH(T_LEAVE[[#This Row],[LEAVE TYPE]],L_LEAVETYPES,0))</f>
        <v>7</v>
      </c>
      <c r="J565" t="str" cm="1">
        <f t="array" aca="1" ref="J565" ca="1">IFERROR(INDEX(T_LEAVE_TYPES[SYMBOL],T_LEAVE[[#This Row],[LEAVE TYPE SYS ID]]),"")</f>
        <v>C</v>
      </c>
      <c r="K565">
        <f ca="1">IF(T_LEAVE[[#This Row],[EMPLOYEE]]="","",IF(T_LEAVE[[#This Row],[ERROR]]="",0,1))</f>
        <v>0</v>
      </c>
      <c r="L565" t="str" cm="1">
        <f t="array" aca="1" ref="L56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6" spans="1:12">
      <c r="A566" t="s">
        <v>2312</v>
      </c>
      <c r="B566" t="s">
        <v>2323</v>
      </c>
      <c r="C566" t="s">
        <v>2323</v>
      </c>
      <c r="D566" t="s">
        <v>98</v>
      </c>
      <c r="E566">
        <v>1</v>
      </c>
      <c r="F566" s="1"/>
      <c r="G566" s="1"/>
      <c r="H566">
        <f ca="1">IF(T_LEAVE[[#This Row],[EMPLOYEE]]="","",MATCH(T_LEAVE[[#This Row],[EMPLOYEE]],L_EMPLABELS,0))</f>
        <v>335</v>
      </c>
      <c r="I566">
        <f ca="1">IF(T_LEAVE[[#This Row],[EMPLOYEE]]="","",MATCH(T_LEAVE[[#This Row],[LEAVE TYPE]],L_LEAVETYPES,0))</f>
        <v>7</v>
      </c>
      <c r="J566" t="str" cm="1">
        <f t="array" aca="1" ref="J566" ca="1">IFERROR(INDEX(T_LEAVE_TYPES[SYMBOL],T_LEAVE[[#This Row],[LEAVE TYPE SYS ID]]),"")</f>
        <v>C</v>
      </c>
      <c r="K566">
        <f ca="1">IF(T_LEAVE[[#This Row],[EMPLOYEE]]="","",IF(T_LEAVE[[#This Row],[ERROR]]="",0,1))</f>
        <v>0</v>
      </c>
      <c r="L566" t="str" cm="1">
        <f t="array" aca="1" ref="L56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7" spans="1:12">
      <c r="A567" t="s">
        <v>2316</v>
      </c>
      <c r="B567" t="s">
        <v>2324</v>
      </c>
      <c r="C567" t="s">
        <v>2324</v>
      </c>
      <c r="D567" t="s">
        <v>98</v>
      </c>
      <c r="E567">
        <v>1</v>
      </c>
      <c r="F567" s="1"/>
      <c r="G567" s="1"/>
      <c r="H567">
        <f ca="1">IF(T_LEAVE[[#This Row],[EMPLOYEE]]="","",MATCH(T_LEAVE[[#This Row],[EMPLOYEE]],L_EMPLABELS,0))</f>
        <v>201</v>
      </c>
      <c r="I567">
        <f ca="1">IF(T_LEAVE[[#This Row],[EMPLOYEE]]="","",MATCH(T_LEAVE[[#This Row],[LEAVE TYPE]],L_LEAVETYPES,0))</f>
        <v>7</v>
      </c>
      <c r="J567" t="str" cm="1">
        <f t="array" aca="1" ref="J567" ca="1">IFERROR(INDEX(T_LEAVE_TYPES[SYMBOL],T_LEAVE[[#This Row],[LEAVE TYPE SYS ID]]),"")</f>
        <v>C</v>
      </c>
      <c r="K567">
        <f ca="1">IF(T_LEAVE[[#This Row],[EMPLOYEE]]="","",IF(T_LEAVE[[#This Row],[ERROR]]="",0,1))</f>
        <v>0</v>
      </c>
      <c r="L567" t="str" cm="1">
        <f t="array" aca="1" ref="L56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8" spans="1:12">
      <c r="A568" t="s">
        <v>2305</v>
      </c>
      <c r="B568" t="s">
        <v>2325</v>
      </c>
      <c r="C568" t="s">
        <v>2325</v>
      </c>
      <c r="D568" t="s">
        <v>98</v>
      </c>
      <c r="E568">
        <v>1</v>
      </c>
      <c r="F568" s="1"/>
      <c r="G568" s="1"/>
      <c r="H568">
        <f ca="1">IF(T_LEAVE[[#This Row],[EMPLOYEE]]="","",MATCH(T_LEAVE[[#This Row],[EMPLOYEE]],L_EMPLABELS,0))</f>
        <v>387</v>
      </c>
      <c r="I568">
        <f ca="1">IF(T_LEAVE[[#This Row],[EMPLOYEE]]="","",MATCH(T_LEAVE[[#This Row],[LEAVE TYPE]],L_LEAVETYPES,0))</f>
        <v>7</v>
      </c>
      <c r="J568" t="str" cm="1">
        <f t="array" aca="1" ref="J568" ca="1">IFERROR(INDEX(T_LEAVE_TYPES[SYMBOL],T_LEAVE[[#This Row],[LEAVE TYPE SYS ID]]),"")</f>
        <v>C</v>
      </c>
      <c r="K568">
        <f ca="1">IF(T_LEAVE[[#This Row],[EMPLOYEE]]="","",IF(T_LEAVE[[#This Row],[ERROR]]="",0,1))</f>
        <v>0</v>
      </c>
      <c r="L568" t="str" cm="1">
        <f t="array" aca="1" ref="L56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9" spans="1:12">
      <c r="A569" t="s">
        <v>2316</v>
      </c>
      <c r="B569" t="s">
        <v>2325</v>
      </c>
      <c r="C569" t="s">
        <v>2325</v>
      </c>
      <c r="D569" t="s">
        <v>92</v>
      </c>
      <c r="E569">
        <v>1</v>
      </c>
      <c r="F569" s="1"/>
      <c r="G569" s="1"/>
      <c r="H569">
        <f ca="1">IF(T_LEAVE[[#This Row],[EMPLOYEE]]="","",MATCH(T_LEAVE[[#This Row],[EMPLOYEE]],L_EMPLABELS,0))</f>
        <v>201</v>
      </c>
      <c r="I569">
        <f ca="1">IF(T_LEAVE[[#This Row],[EMPLOYEE]]="","",MATCH(T_LEAVE[[#This Row],[LEAVE TYPE]],L_LEAVETYPES,0))</f>
        <v>6</v>
      </c>
      <c r="J569" t="str" cm="1">
        <f t="array" aca="1" ref="J569" ca="1">IFERROR(INDEX(T_LEAVE_TYPES[SYMBOL],T_LEAVE[[#This Row],[LEAVE TYPE SYS ID]]),"")</f>
        <v>PR</v>
      </c>
      <c r="K569">
        <f ca="1">IF(T_LEAVE[[#This Row],[EMPLOYEE]]="","",IF(T_LEAVE[[#This Row],[ERROR]]="",0,1))</f>
        <v>0</v>
      </c>
      <c r="L569" t="str" cm="1">
        <f t="array" aca="1" ref="L56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0" spans="1:12">
      <c r="A570" t="s">
        <v>2301</v>
      </c>
      <c r="B570" t="s">
        <v>2326</v>
      </c>
      <c r="C570" t="s">
        <v>2327</v>
      </c>
      <c r="D570" t="s">
        <v>98</v>
      </c>
      <c r="E570">
        <v>2</v>
      </c>
      <c r="F570" s="1"/>
      <c r="G570" s="1"/>
      <c r="H570">
        <f ca="1">IF(T_LEAVE[[#This Row],[EMPLOYEE]]="","",MATCH(T_LEAVE[[#This Row],[EMPLOYEE]],L_EMPLABELS,0))</f>
        <v>376</v>
      </c>
      <c r="I570">
        <f ca="1">IF(T_LEAVE[[#This Row],[EMPLOYEE]]="","",MATCH(T_LEAVE[[#This Row],[LEAVE TYPE]],L_LEAVETYPES,0))</f>
        <v>7</v>
      </c>
      <c r="J570" t="str" cm="1">
        <f t="array" aca="1" ref="J570" ca="1">IFERROR(INDEX(T_LEAVE_TYPES[SYMBOL],T_LEAVE[[#This Row],[LEAVE TYPE SYS ID]]),"")</f>
        <v>C</v>
      </c>
      <c r="K570">
        <f ca="1">IF(T_LEAVE[[#This Row],[EMPLOYEE]]="","",IF(T_LEAVE[[#This Row],[ERROR]]="",0,1))</f>
        <v>0</v>
      </c>
      <c r="L570" t="str" cm="1">
        <f t="array" aca="1" ref="L57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1" spans="1:12">
      <c r="A571" t="s">
        <v>2310</v>
      </c>
      <c r="B571" t="s">
        <v>2026</v>
      </c>
      <c r="C571" t="s">
        <v>2026</v>
      </c>
      <c r="D571" t="s">
        <v>92</v>
      </c>
      <c r="E571">
        <v>1</v>
      </c>
      <c r="F571" s="1"/>
      <c r="G571" s="1"/>
      <c r="H571">
        <f ca="1">IF(T_LEAVE[[#This Row],[EMPLOYEE]]="","",MATCH(T_LEAVE[[#This Row],[EMPLOYEE]],L_EMPLABELS,0))</f>
        <v>121</v>
      </c>
      <c r="I571">
        <f ca="1">IF(T_LEAVE[[#This Row],[EMPLOYEE]]="","",MATCH(T_LEAVE[[#This Row],[LEAVE TYPE]],L_LEAVETYPES,0))</f>
        <v>6</v>
      </c>
      <c r="J571" t="str" cm="1">
        <f t="array" aca="1" ref="J571" ca="1">IFERROR(INDEX(T_LEAVE_TYPES[SYMBOL],T_LEAVE[[#This Row],[LEAVE TYPE SYS ID]]),"")</f>
        <v>PR</v>
      </c>
      <c r="K571">
        <f ca="1">IF(T_LEAVE[[#This Row],[EMPLOYEE]]="","",IF(T_LEAVE[[#This Row],[ERROR]]="",0,1))</f>
        <v>0</v>
      </c>
      <c r="L571" t="str" cm="1">
        <f t="array" aca="1" ref="L57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2" spans="1:12">
      <c r="A572" t="s">
        <v>2305</v>
      </c>
      <c r="B572" t="s">
        <v>2080</v>
      </c>
      <c r="C572" t="s">
        <v>2080</v>
      </c>
      <c r="D572" t="s">
        <v>98</v>
      </c>
      <c r="E572">
        <v>1</v>
      </c>
      <c r="F572" s="1"/>
      <c r="G572" s="1"/>
      <c r="H572">
        <f ca="1">IF(T_LEAVE[[#This Row],[EMPLOYEE]]="","",MATCH(T_LEAVE[[#This Row],[EMPLOYEE]],L_EMPLABELS,0))</f>
        <v>387</v>
      </c>
      <c r="I572">
        <f ca="1">IF(T_LEAVE[[#This Row],[EMPLOYEE]]="","",MATCH(T_LEAVE[[#This Row],[LEAVE TYPE]],L_LEAVETYPES,0))</f>
        <v>7</v>
      </c>
      <c r="J572" t="str" cm="1">
        <f t="array" aca="1" ref="J572" ca="1">IFERROR(INDEX(T_LEAVE_TYPES[SYMBOL],T_LEAVE[[#This Row],[LEAVE TYPE SYS ID]]),"")</f>
        <v>C</v>
      </c>
      <c r="K572">
        <f ca="1">IF(T_LEAVE[[#This Row],[EMPLOYEE]]="","",IF(T_LEAVE[[#This Row],[ERROR]]="",0,1))</f>
        <v>0</v>
      </c>
      <c r="L572" t="str" cm="1">
        <f t="array" aca="1" ref="L57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3" spans="1:12">
      <c r="A573" t="s">
        <v>2307</v>
      </c>
      <c r="B573" t="s">
        <v>2328</v>
      </c>
      <c r="C573" t="s">
        <v>2328</v>
      </c>
      <c r="D573" t="s">
        <v>92</v>
      </c>
      <c r="E573">
        <v>1</v>
      </c>
      <c r="F573" s="1"/>
      <c r="G573" s="1"/>
      <c r="H573">
        <f ca="1">IF(T_LEAVE[[#This Row],[EMPLOYEE]]="","",MATCH(T_LEAVE[[#This Row],[EMPLOYEE]],L_EMPLABELS,0))</f>
        <v>441</v>
      </c>
      <c r="I573">
        <f ca="1">IF(T_LEAVE[[#This Row],[EMPLOYEE]]="","",MATCH(T_LEAVE[[#This Row],[LEAVE TYPE]],L_LEAVETYPES,0))</f>
        <v>6</v>
      </c>
      <c r="J573" t="str" cm="1">
        <f t="array" aca="1" ref="J573" ca="1">IFERROR(INDEX(T_LEAVE_TYPES[SYMBOL],T_LEAVE[[#This Row],[LEAVE TYPE SYS ID]]),"")</f>
        <v>PR</v>
      </c>
      <c r="K573">
        <f ca="1">IF(T_LEAVE[[#This Row],[EMPLOYEE]]="","",IF(T_LEAVE[[#This Row],[ERROR]]="",0,1))</f>
        <v>0</v>
      </c>
      <c r="L573" t="str" cm="1">
        <f t="array" aca="1" ref="L57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4" spans="1:12">
      <c r="A574" t="s">
        <v>2307</v>
      </c>
      <c r="B574" t="s">
        <v>2329</v>
      </c>
      <c r="C574" t="s">
        <v>2329</v>
      </c>
      <c r="D574" t="s">
        <v>92</v>
      </c>
      <c r="E574">
        <v>1</v>
      </c>
      <c r="F574" s="1"/>
      <c r="G574" s="1"/>
      <c r="H574">
        <f ca="1">IF(T_LEAVE[[#This Row],[EMPLOYEE]]="","",MATCH(T_LEAVE[[#This Row],[EMPLOYEE]],L_EMPLABELS,0))</f>
        <v>441</v>
      </c>
      <c r="I574">
        <f ca="1">IF(T_LEAVE[[#This Row],[EMPLOYEE]]="","",MATCH(T_LEAVE[[#This Row],[LEAVE TYPE]],L_LEAVETYPES,0))</f>
        <v>6</v>
      </c>
      <c r="J574" t="str" cm="1">
        <f t="array" aca="1" ref="J574" ca="1">IFERROR(INDEX(T_LEAVE_TYPES[SYMBOL],T_LEAVE[[#This Row],[LEAVE TYPE SYS ID]]),"")</f>
        <v>PR</v>
      </c>
      <c r="K574">
        <f ca="1">IF(T_LEAVE[[#This Row],[EMPLOYEE]]="","",IF(T_LEAVE[[#This Row],[ERROR]]="",0,1))</f>
        <v>0</v>
      </c>
      <c r="L574" t="str" cm="1">
        <f t="array" aca="1" ref="L57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5" spans="1:12">
      <c r="A575" t="s">
        <v>2310</v>
      </c>
      <c r="B575" t="s">
        <v>2083</v>
      </c>
      <c r="C575" t="s">
        <v>2083</v>
      </c>
      <c r="D575" t="s">
        <v>92</v>
      </c>
      <c r="E575">
        <v>1</v>
      </c>
      <c r="F575" s="1"/>
      <c r="G575" s="1"/>
      <c r="H575">
        <f ca="1">IF(T_LEAVE[[#This Row],[EMPLOYEE]]="","",MATCH(T_LEAVE[[#This Row],[EMPLOYEE]],L_EMPLABELS,0))</f>
        <v>121</v>
      </c>
      <c r="I575">
        <f ca="1">IF(T_LEAVE[[#This Row],[EMPLOYEE]]="","",MATCH(T_LEAVE[[#This Row],[LEAVE TYPE]],L_LEAVETYPES,0))</f>
        <v>6</v>
      </c>
      <c r="J575" t="str" cm="1">
        <f t="array" aca="1" ref="J575" ca="1">IFERROR(INDEX(T_LEAVE_TYPES[SYMBOL],T_LEAVE[[#This Row],[LEAVE TYPE SYS ID]]),"")</f>
        <v>PR</v>
      </c>
      <c r="K575">
        <f ca="1">IF(T_LEAVE[[#This Row],[EMPLOYEE]]="","",IF(T_LEAVE[[#This Row],[ERROR]]="",0,1))</f>
        <v>0</v>
      </c>
      <c r="L575" t="str" cm="1">
        <f t="array" aca="1" ref="L57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6" spans="1:12">
      <c r="A576" t="s">
        <v>2310</v>
      </c>
      <c r="B576" t="s">
        <v>2330</v>
      </c>
      <c r="C576" t="s">
        <v>2330</v>
      </c>
      <c r="D576" t="s">
        <v>98</v>
      </c>
      <c r="E576">
        <v>1</v>
      </c>
      <c r="F576" s="1"/>
      <c r="G576" s="1"/>
      <c r="H576">
        <f ca="1">IF(T_LEAVE[[#This Row],[EMPLOYEE]]="","",MATCH(T_LEAVE[[#This Row],[EMPLOYEE]],L_EMPLABELS,0))</f>
        <v>121</v>
      </c>
      <c r="I576">
        <f ca="1">IF(T_LEAVE[[#This Row],[EMPLOYEE]]="","",MATCH(T_LEAVE[[#This Row],[LEAVE TYPE]],L_LEAVETYPES,0))</f>
        <v>7</v>
      </c>
      <c r="J576" t="str" cm="1">
        <f t="array" aca="1" ref="J576" ca="1">IFERROR(INDEX(T_LEAVE_TYPES[SYMBOL],T_LEAVE[[#This Row],[LEAVE TYPE SYS ID]]),"")</f>
        <v>C</v>
      </c>
      <c r="K576">
        <f ca="1">IF(T_LEAVE[[#This Row],[EMPLOYEE]]="","",IF(T_LEAVE[[#This Row],[ERROR]]="",0,1))</f>
        <v>0</v>
      </c>
      <c r="L576" t="str" cm="1">
        <f t="array" aca="1" ref="L57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7" spans="1:12">
      <c r="A577" t="s">
        <v>2305</v>
      </c>
      <c r="B577" t="s">
        <v>2045</v>
      </c>
      <c r="C577" t="s">
        <v>2045</v>
      </c>
      <c r="D577" t="s">
        <v>92</v>
      </c>
      <c r="E577">
        <v>1</v>
      </c>
      <c r="F577" s="1"/>
      <c r="G577" s="1"/>
      <c r="H577">
        <f ca="1">IF(T_LEAVE[[#This Row],[EMPLOYEE]]="","",MATCH(T_LEAVE[[#This Row],[EMPLOYEE]],L_EMPLABELS,0))</f>
        <v>387</v>
      </c>
      <c r="I577">
        <f ca="1">IF(T_LEAVE[[#This Row],[EMPLOYEE]]="","",MATCH(T_LEAVE[[#This Row],[LEAVE TYPE]],L_LEAVETYPES,0))</f>
        <v>6</v>
      </c>
      <c r="J577" t="str" cm="1">
        <f t="array" aca="1" ref="J577" ca="1">IFERROR(INDEX(T_LEAVE_TYPES[SYMBOL],T_LEAVE[[#This Row],[LEAVE TYPE SYS ID]]),"")</f>
        <v>PR</v>
      </c>
      <c r="K577">
        <f ca="1">IF(T_LEAVE[[#This Row],[EMPLOYEE]]="","",IF(T_LEAVE[[#This Row],[ERROR]]="",0,1))</f>
        <v>0</v>
      </c>
      <c r="L577" t="str" cm="1">
        <f t="array" aca="1" ref="L57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8" spans="1:12">
      <c r="A578" t="s">
        <v>2311</v>
      </c>
      <c r="B578" t="s">
        <v>1968</v>
      </c>
      <c r="C578" t="s">
        <v>1968</v>
      </c>
      <c r="D578" t="s">
        <v>98</v>
      </c>
      <c r="E578">
        <v>1</v>
      </c>
      <c r="F578" s="1"/>
      <c r="G578" s="1"/>
      <c r="H578">
        <f ca="1">IF(T_LEAVE[[#This Row],[EMPLOYEE]]="","",MATCH(T_LEAVE[[#This Row],[EMPLOYEE]],L_EMPLABELS,0))</f>
        <v>330</v>
      </c>
      <c r="I578">
        <f ca="1">IF(T_LEAVE[[#This Row],[EMPLOYEE]]="","",MATCH(T_LEAVE[[#This Row],[LEAVE TYPE]],L_LEAVETYPES,0))</f>
        <v>7</v>
      </c>
      <c r="J578" t="str" cm="1">
        <f t="array" aca="1" ref="J578" ca="1">IFERROR(INDEX(T_LEAVE_TYPES[SYMBOL],T_LEAVE[[#This Row],[LEAVE TYPE SYS ID]]),"")</f>
        <v>C</v>
      </c>
      <c r="K578">
        <f ca="1">IF(T_LEAVE[[#This Row],[EMPLOYEE]]="","",IF(T_LEAVE[[#This Row],[ERROR]]="",0,1))</f>
        <v>0</v>
      </c>
      <c r="L578" t="str" cm="1">
        <f t="array" aca="1" ref="L57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9" spans="1:12">
      <c r="A579" t="s">
        <v>2316</v>
      </c>
      <c r="B579" t="s">
        <v>1935</v>
      </c>
      <c r="C579" t="s">
        <v>2297</v>
      </c>
      <c r="D579" t="s">
        <v>92</v>
      </c>
      <c r="E579">
        <v>5</v>
      </c>
      <c r="F579" s="1"/>
      <c r="G579" s="1"/>
      <c r="H579">
        <f ca="1">IF(T_LEAVE[[#This Row],[EMPLOYEE]]="","",MATCH(T_LEAVE[[#This Row],[EMPLOYEE]],L_EMPLABELS,0))</f>
        <v>201</v>
      </c>
      <c r="I579">
        <f ca="1">IF(T_LEAVE[[#This Row],[EMPLOYEE]]="","",MATCH(T_LEAVE[[#This Row],[LEAVE TYPE]],L_LEAVETYPES,0))</f>
        <v>6</v>
      </c>
      <c r="J579" t="str" cm="1">
        <f t="array" aca="1" ref="J579" ca="1">IFERROR(INDEX(T_LEAVE_TYPES[SYMBOL],T_LEAVE[[#This Row],[LEAVE TYPE SYS ID]]),"")</f>
        <v>PR</v>
      </c>
      <c r="K579">
        <f ca="1">IF(T_LEAVE[[#This Row],[EMPLOYEE]]="","",IF(T_LEAVE[[#This Row],[ERROR]]="",0,1))</f>
        <v>0</v>
      </c>
      <c r="L579" t="str" cm="1">
        <f t="array" aca="1" ref="L57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0" spans="1:12">
      <c r="A580" t="s">
        <v>2316</v>
      </c>
      <c r="B580" t="s">
        <v>2092</v>
      </c>
      <c r="C580" t="s">
        <v>2095</v>
      </c>
      <c r="D580" t="s">
        <v>98</v>
      </c>
      <c r="E580">
        <v>2</v>
      </c>
      <c r="F580" s="1"/>
      <c r="G580" s="1"/>
      <c r="H580">
        <f ca="1">IF(T_LEAVE[[#This Row],[EMPLOYEE]]="","",MATCH(T_LEAVE[[#This Row],[EMPLOYEE]],L_EMPLABELS,0))</f>
        <v>201</v>
      </c>
      <c r="I580">
        <f ca="1">IF(T_LEAVE[[#This Row],[EMPLOYEE]]="","",MATCH(T_LEAVE[[#This Row],[LEAVE TYPE]],L_LEAVETYPES,0))</f>
        <v>7</v>
      </c>
      <c r="J580" t="str" cm="1">
        <f t="array" aca="1" ref="J580" ca="1">IFERROR(INDEX(T_LEAVE_TYPES[SYMBOL],T_LEAVE[[#This Row],[LEAVE TYPE SYS ID]]),"")</f>
        <v>C</v>
      </c>
      <c r="K580">
        <f ca="1">IF(T_LEAVE[[#This Row],[EMPLOYEE]]="","",IF(T_LEAVE[[#This Row],[ERROR]]="",0,1))</f>
        <v>0</v>
      </c>
      <c r="L580" t="str" cm="1">
        <f t="array" aca="1" ref="L58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1" spans="1:12">
      <c r="A581" t="s">
        <v>2316</v>
      </c>
      <c r="B581" t="s">
        <v>1930</v>
      </c>
      <c r="C581" t="s">
        <v>1930</v>
      </c>
      <c r="D581" t="s">
        <v>98</v>
      </c>
      <c r="E581">
        <v>1</v>
      </c>
      <c r="F581" s="1"/>
      <c r="G581" s="1"/>
      <c r="H581">
        <f ca="1">IF(T_LEAVE[[#This Row],[EMPLOYEE]]="","",MATCH(T_LEAVE[[#This Row],[EMPLOYEE]],L_EMPLABELS,0))</f>
        <v>201</v>
      </c>
      <c r="I581">
        <f ca="1">IF(T_LEAVE[[#This Row],[EMPLOYEE]]="","",MATCH(T_LEAVE[[#This Row],[LEAVE TYPE]],L_LEAVETYPES,0))</f>
        <v>7</v>
      </c>
      <c r="J581" t="str" cm="1">
        <f t="array" aca="1" ref="J581" ca="1">IFERROR(INDEX(T_LEAVE_TYPES[SYMBOL],T_LEAVE[[#This Row],[LEAVE TYPE SYS ID]]),"")</f>
        <v>C</v>
      </c>
      <c r="K581">
        <f ca="1">IF(T_LEAVE[[#This Row],[EMPLOYEE]]="","",IF(T_LEAVE[[#This Row],[ERROR]]="",0,1))</f>
        <v>0</v>
      </c>
      <c r="L581" t="str" cm="1">
        <f t="array" aca="1" ref="L58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2" spans="1:12">
      <c r="A582" t="s">
        <v>2305</v>
      </c>
      <c r="B582" t="s">
        <v>1935</v>
      </c>
      <c r="C582" t="s">
        <v>1935</v>
      </c>
      <c r="D582" t="s">
        <v>98</v>
      </c>
      <c r="E582">
        <v>1</v>
      </c>
      <c r="F582" s="1"/>
      <c r="G582" s="1"/>
      <c r="H582">
        <f ca="1">IF(T_LEAVE[[#This Row],[EMPLOYEE]]="","",MATCH(T_LEAVE[[#This Row],[EMPLOYEE]],L_EMPLABELS,0))</f>
        <v>387</v>
      </c>
      <c r="I582">
        <f ca="1">IF(T_LEAVE[[#This Row],[EMPLOYEE]]="","",MATCH(T_LEAVE[[#This Row],[LEAVE TYPE]],L_LEAVETYPES,0))</f>
        <v>7</v>
      </c>
      <c r="J582" t="str" cm="1">
        <f t="array" aca="1" ref="J582" ca="1">IFERROR(INDEX(T_LEAVE_TYPES[SYMBOL],T_LEAVE[[#This Row],[LEAVE TYPE SYS ID]]),"")</f>
        <v>C</v>
      </c>
      <c r="K582">
        <f ca="1">IF(T_LEAVE[[#This Row],[EMPLOYEE]]="","",IF(T_LEAVE[[#This Row],[ERROR]]="",0,1))</f>
        <v>0</v>
      </c>
      <c r="L582" t="str" cm="1">
        <f t="array" aca="1" ref="L58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3" spans="1:12">
      <c r="A583" t="s">
        <v>2301</v>
      </c>
      <c r="B583" t="s">
        <v>2098</v>
      </c>
      <c r="C583" t="s">
        <v>2098</v>
      </c>
      <c r="D583" t="s">
        <v>98</v>
      </c>
      <c r="E583">
        <v>1</v>
      </c>
      <c r="F583" s="1"/>
      <c r="G583" s="1"/>
      <c r="H583">
        <f ca="1">IF(T_LEAVE[[#This Row],[EMPLOYEE]]="","",MATCH(T_LEAVE[[#This Row],[EMPLOYEE]],L_EMPLABELS,0))</f>
        <v>376</v>
      </c>
      <c r="I583">
        <f ca="1">IF(T_LEAVE[[#This Row],[EMPLOYEE]]="","",MATCH(T_LEAVE[[#This Row],[LEAVE TYPE]],L_LEAVETYPES,0))</f>
        <v>7</v>
      </c>
      <c r="J583" t="str" cm="1">
        <f t="array" aca="1" ref="J583" ca="1">IFERROR(INDEX(T_LEAVE_TYPES[SYMBOL],T_LEAVE[[#This Row],[LEAVE TYPE SYS ID]]),"")</f>
        <v>C</v>
      </c>
      <c r="K583">
        <f ca="1">IF(T_LEAVE[[#This Row],[EMPLOYEE]]="","",IF(T_LEAVE[[#This Row],[ERROR]]="",0,1))</f>
        <v>0</v>
      </c>
      <c r="L583" t="str" cm="1">
        <f t="array" aca="1" ref="L58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4" spans="1:12">
      <c r="A584" t="s">
        <v>2312</v>
      </c>
      <c r="B584" t="s">
        <v>1968</v>
      </c>
      <c r="C584" t="s">
        <v>1968</v>
      </c>
      <c r="D584" t="s">
        <v>98</v>
      </c>
      <c r="E584">
        <v>1</v>
      </c>
      <c r="F584" s="1"/>
      <c r="G584" s="1"/>
      <c r="H584">
        <f ca="1">IF(T_LEAVE[[#This Row],[EMPLOYEE]]="","",MATCH(T_LEAVE[[#This Row],[EMPLOYEE]],L_EMPLABELS,0))</f>
        <v>335</v>
      </c>
      <c r="I584">
        <f ca="1">IF(T_LEAVE[[#This Row],[EMPLOYEE]]="","",MATCH(T_LEAVE[[#This Row],[LEAVE TYPE]],L_LEAVETYPES,0))</f>
        <v>7</v>
      </c>
      <c r="J584" t="str" cm="1">
        <f t="array" aca="1" ref="J584" ca="1">IFERROR(INDEX(T_LEAVE_TYPES[SYMBOL],T_LEAVE[[#This Row],[LEAVE TYPE SYS ID]]),"")</f>
        <v>C</v>
      </c>
      <c r="K584">
        <f ca="1">IF(T_LEAVE[[#This Row],[EMPLOYEE]]="","",IF(T_LEAVE[[#This Row],[ERROR]]="",0,1))</f>
        <v>0</v>
      </c>
      <c r="L584" t="str" cm="1">
        <f t="array" aca="1" ref="L58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5" spans="1:12">
      <c r="A585" t="s">
        <v>2316</v>
      </c>
      <c r="B585" t="s">
        <v>2105</v>
      </c>
      <c r="C585" t="s">
        <v>2105</v>
      </c>
      <c r="D585" t="s">
        <v>92</v>
      </c>
      <c r="E585">
        <v>1</v>
      </c>
      <c r="F585" s="1"/>
      <c r="G585" s="1"/>
      <c r="H585">
        <f ca="1">IF(T_LEAVE[[#This Row],[EMPLOYEE]]="","",MATCH(T_LEAVE[[#This Row],[EMPLOYEE]],L_EMPLABELS,0))</f>
        <v>201</v>
      </c>
      <c r="I585">
        <f ca="1">IF(T_LEAVE[[#This Row],[EMPLOYEE]]="","",MATCH(T_LEAVE[[#This Row],[LEAVE TYPE]],L_LEAVETYPES,0))</f>
        <v>6</v>
      </c>
      <c r="J585" t="str" cm="1">
        <f t="array" aca="1" ref="J585" ca="1">IFERROR(INDEX(T_LEAVE_TYPES[SYMBOL],T_LEAVE[[#This Row],[LEAVE TYPE SYS ID]]),"")</f>
        <v>PR</v>
      </c>
      <c r="K585">
        <f ca="1">IF(T_LEAVE[[#This Row],[EMPLOYEE]]="","",IF(T_LEAVE[[#This Row],[ERROR]]="",0,1))</f>
        <v>0</v>
      </c>
      <c r="L585" t="str" cm="1">
        <f t="array" aca="1" ref="L58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6" spans="1:12">
      <c r="A586" t="s">
        <v>2307</v>
      </c>
      <c r="B586" t="s">
        <v>2099</v>
      </c>
      <c r="C586" t="s">
        <v>2105</v>
      </c>
      <c r="D586" t="s">
        <v>98</v>
      </c>
      <c r="E586">
        <v>2</v>
      </c>
      <c r="F586" s="1"/>
      <c r="G586" s="1"/>
      <c r="H586">
        <f ca="1">IF(T_LEAVE[[#This Row],[EMPLOYEE]]="","",MATCH(T_LEAVE[[#This Row],[EMPLOYEE]],L_EMPLABELS,0))</f>
        <v>441</v>
      </c>
      <c r="I586">
        <f ca="1">IF(T_LEAVE[[#This Row],[EMPLOYEE]]="","",MATCH(T_LEAVE[[#This Row],[LEAVE TYPE]],L_LEAVETYPES,0))</f>
        <v>7</v>
      </c>
      <c r="J586" t="str" cm="1">
        <f t="array" aca="1" ref="J586" ca="1">IFERROR(INDEX(T_LEAVE_TYPES[SYMBOL],T_LEAVE[[#This Row],[LEAVE TYPE SYS ID]]),"")</f>
        <v>C</v>
      </c>
      <c r="K586">
        <f ca="1">IF(T_LEAVE[[#This Row],[EMPLOYEE]]="","",IF(T_LEAVE[[#This Row],[ERROR]]="",0,1))</f>
        <v>0</v>
      </c>
      <c r="L586" t="str" cm="1">
        <f t="array" aca="1" ref="L58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7" spans="1:12">
      <c r="A587" t="s">
        <v>2331</v>
      </c>
      <c r="B587" t="s">
        <v>1931</v>
      </c>
      <c r="C587" t="s">
        <v>1931</v>
      </c>
      <c r="D587" t="s">
        <v>98</v>
      </c>
      <c r="E587">
        <v>1</v>
      </c>
      <c r="F587" s="1"/>
      <c r="G587" s="1"/>
      <c r="H587">
        <f ca="1">IF(T_LEAVE[[#This Row],[EMPLOYEE]]="","",MATCH(T_LEAVE[[#This Row],[EMPLOYEE]],L_EMPLABELS,0))</f>
        <v>243</v>
      </c>
      <c r="I587">
        <f ca="1">IF(T_LEAVE[[#This Row],[EMPLOYEE]]="","",MATCH(T_LEAVE[[#This Row],[LEAVE TYPE]],L_LEAVETYPES,0))</f>
        <v>7</v>
      </c>
      <c r="J587" t="str" cm="1">
        <f t="array" aca="1" ref="J587" ca="1">IFERROR(INDEX(T_LEAVE_TYPES[SYMBOL],T_LEAVE[[#This Row],[LEAVE TYPE SYS ID]]),"")</f>
        <v>C</v>
      </c>
      <c r="K587">
        <f ca="1">IF(T_LEAVE[[#This Row],[EMPLOYEE]]="","",IF(T_LEAVE[[#This Row],[ERROR]]="",0,1))</f>
        <v>0</v>
      </c>
      <c r="L587" t="str" cm="1">
        <f t="array" aca="1" ref="L58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8" spans="1:12">
      <c r="A588" t="s">
        <v>2310</v>
      </c>
      <c r="B588" t="s">
        <v>2107</v>
      </c>
      <c r="C588" t="s">
        <v>2107</v>
      </c>
      <c r="D588" t="s">
        <v>98</v>
      </c>
      <c r="E588">
        <v>1</v>
      </c>
      <c r="F588" s="1"/>
      <c r="G588" s="1"/>
      <c r="H588">
        <f ca="1">IF(T_LEAVE[[#This Row],[EMPLOYEE]]="","",MATCH(T_LEAVE[[#This Row],[EMPLOYEE]],L_EMPLABELS,0))</f>
        <v>121</v>
      </c>
      <c r="I588">
        <f ca="1">IF(T_LEAVE[[#This Row],[EMPLOYEE]]="","",MATCH(T_LEAVE[[#This Row],[LEAVE TYPE]],L_LEAVETYPES,0))</f>
        <v>7</v>
      </c>
      <c r="J588" t="str" cm="1">
        <f t="array" aca="1" ref="J588" ca="1">IFERROR(INDEX(T_LEAVE_TYPES[SYMBOL],T_LEAVE[[#This Row],[LEAVE TYPE SYS ID]]),"")</f>
        <v>C</v>
      </c>
      <c r="K588">
        <f ca="1">IF(T_LEAVE[[#This Row],[EMPLOYEE]]="","",IF(T_LEAVE[[#This Row],[ERROR]]="",0,1))</f>
        <v>0</v>
      </c>
      <c r="L588" t="str" cm="1">
        <f t="array" aca="1" ref="L58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9" spans="1:12">
      <c r="A589" t="s">
        <v>2316</v>
      </c>
      <c r="B589" t="s">
        <v>2107</v>
      </c>
      <c r="C589" t="s">
        <v>2107</v>
      </c>
      <c r="D589" t="s">
        <v>92</v>
      </c>
      <c r="E589">
        <v>1</v>
      </c>
      <c r="F589" s="1"/>
      <c r="G589" s="1"/>
      <c r="H589">
        <f ca="1">IF(T_LEAVE[[#This Row],[EMPLOYEE]]="","",MATCH(T_LEAVE[[#This Row],[EMPLOYEE]],L_EMPLABELS,0))</f>
        <v>201</v>
      </c>
      <c r="I589">
        <f ca="1">IF(T_LEAVE[[#This Row],[EMPLOYEE]]="","",MATCH(T_LEAVE[[#This Row],[LEAVE TYPE]],L_LEAVETYPES,0))</f>
        <v>6</v>
      </c>
      <c r="J589" t="str" cm="1">
        <f t="array" aca="1" ref="J589" ca="1">IFERROR(INDEX(T_LEAVE_TYPES[SYMBOL],T_LEAVE[[#This Row],[LEAVE TYPE SYS ID]]),"")</f>
        <v>PR</v>
      </c>
      <c r="K589">
        <f ca="1">IF(T_LEAVE[[#This Row],[EMPLOYEE]]="","",IF(T_LEAVE[[#This Row],[ERROR]]="",0,1))</f>
        <v>0</v>
      </c>
      <c r="L589" t="str" cm="1">
        <f t="array" aca="1" ref="L58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0" spans="1:12">
      <c r="A590" t="s">
        <v>2311</v>
      </c>
      <c r="B590" t="s">
        <v>2111</v>
      </c>
      <c r="C590" t="s">
        <v>2111</v>
      </c>
      <c r="D590" t="s">
        <v>98</v>
      </c>
      <c r="E590">
        <v>1</v>
      </c>
      <c r="F590" s="1"/>
      <c r="G590" s="1"/>
      <c r="H590">
        <f ca="1">IF(T_LEAVE[[#This Row],[EMPLOYEE]]="","",MATCH(T_LEAVE[[#This Row],[EMPLOYEE]],L_EMPLABELS,0))</f>
        <v>330</v>
      </c>
      <c r="I590">
        <f ca="1">IF(T_LEAVE[[#This Row],[EMPLOYEE]]="","",MATCH(T_LEAVE[[#This Row],[LEAVE TYPE]],L_LEAVETYPES,0))</f>
        <v>7</v>
      </c>
      <c r="J590" t="str" cm="1">
        <f t="array" aca="1" ref="J590" ca="1">IFERROR(INDEX(T_LEAVE_TYPES[SYMBOL],T_LEAVE[[#This Row],[LEAVE TYPE SYS ID]]),"")</f>
        <v>C</v>
      </c>
      <c r="K590">
        <f ca="1">IF(T_LEAVE[[#This Row],[EMPLOYEE]]="","",IF(T_LEAVE[[#This Row],[ERROR]]="",0,1))</f>
        <v>0</v>
      </c>
      <c r="L590" t="str" cm="1">
        <f t="array" aca="1" ref="L59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1" spans="1:12">
      <c r="A591" t="s">
        <v>2311</v>
      </c>
      <c r="B591" t="s">
        <v>1944</v>
      </c>
      <c r="C591" t="s">
        <v>1944</v>
      </c>
      <c r="D591" t="s">
        <v>98</v>
      </c>
      <c r="E591">
        <v>1</v>
      </c>
      <c r="F591" s="1"/>
      <c r="G591" s="1"/>
      <c r="H591">
        <f ca="1">IF(T_LEAVE[[#This Row],[EMPLOYEE]]="","",MATCH(T_LEAVE[[#This Row],[EMPLOYEE]],L_EMPLABELS,0))</f>
        <v>330</v>
      </c>
      <c r="I591">
        <f ca="1">IF(T_LEAVE[[#This Row],[EMPLOYEE]]="","",MATCH(T_LEAVE[[#This Row],[LEAVE TYPE]],L_LEAVETYPES,0))</f>
        <v>7</v>
      </c>
      <c r="J591" t="str" cm="1">
        <f t="array" aca="1" ref="J591" ca="1">IFERROR(INDEX(T_LEAVE_TYPES[SYMBOL],T_LEAVE[[#This Row],[LEAVE TYPE SYS ID]]),"")</f>
        <v>C</v>
      </c>
      <c r="K591">
        <f ca="1">IF(T_LEAVE[[#This Row],[EMPLOYEE]]="","",IF(T_LEAVE[[#This Row],[ERROR]]="",0,1))</f>
        <v>0</v>
      </c>
      <c r="L591" t="str" cm="1">
        <f t="array" aca="1" ref="L59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2" spans="1:12">
      <c r="A592" t="s">
        <v>2311</v>
      </c>
      <c r="B592" t="s">
        <v>2047</v>
      </c>
      <c r="C592" t="s">
        <v>2047</v>
      </c>
      <c r="D592" t="s">
        <v>98</v>
      </c>
      <c r="E592">
        <v>1</v>
      </c>
      <c r="F592" s="1"/>
      <c r="G592" s="1"/>
      <c r="H592">
        <f ca="1">IF(T_LEAVE[[#This Row],[EMPLOYEE]]="","",MATCH(T_LEAVE[[#This Row],[EMPLOYEE]],L_EMPLABELS,0))</f>
        <v>330</v>
      </c>
      <c r="I592">
        <f ca="1">IF(T_LEAVE[[#This Row],[EMPLOYEE]]="","",MATCH(T_LEAVE[[#This Row],[LEAVE TYPE]],L_LEAVETYPES,0))</f>
        <v>7</v>
      </c>
      <c r="J592" t="str" cm="1">
        <f t="array" aca="1" ref="J592" ca="1">IFERROR(INDEX(T_LEAVE_TYPES[SYMBOL],T_LEAVE[[#This Row],[LEAVE TYPE SYS ID]]),"")</f>
        <v>C</v>
      </c>
      <c r="K592">
        <f ca="1">IF(T_LEAVE[[#This Row],[EMPLOYEE]]="","",IF(T_LEAVE[[#This Row],[ERROR]]="",0,1))</f>
        <v>0</v>
      </c>
      <c r="L592" t="str" cm="1">
        <f t="array" aca="1" ref="L59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3" spans="1:12">
      <c r="A593" t="s">
        <v>2311</v>
      </c>
      <c r="B593" t="s">
        <v>2047</v>
      </c>
      <c r="C593" t="s">
        <v>2047</v>
      </c>
      <c r="D593" t="s">
        <v>98</v>
      </c>
      <c r="E593">
        <v>1</v>
      </c>
      <c r="F593" s="1"/>
      <c r="G593" s="1"/>
      <c r="H593">
        <f ca="1">IF(T_LEAVE[[#This Row],[EMPLOYEE]]="","",MATCH(T_LEAVE[[#This Row],[EMPLOYEE]],L_EMPLABELS,0))</f>
        <v>330</v>
      </c>
      <c r="I593">
        <f ca="1">IF(T_LEAVE[[#This Row],[EMPLOYEE]]="","",MATCH(T_LEAVE[[#This Row],[LEAVE TYPE]],L_LEAVETYPES,0))</f>
        <v>7</v>
      </c>
      <c r="J593" t="str" cm="1">
        <f t="array" aca="1" ref="J593" ca="1">IFERROR(INDEX(T_LEAVE_TYPES[SYMBOL],T_LEAVE[[#This Row],[LEAVE TYPE SYS ID]]),"")</f>
        <v>C</v>
      </c>
      <c r="K593">
        <f ca="1">IF(T_LEAVE[[#This Row],[EMPLOYEE]]="","",IF(T_LEAVE[[#This Row],[ERROR]]="",0,1))</f>
        <v>0</v>
      </c>
      <c r="L593" t="str" cm="1">
        <f t="array" aca="1" ref="L59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4" spans="1:12">
      <c r="A594" t="s">
        <v>2310</v>
      </c>
      <c r="B594" t="s">
        <v>2110</v>
      </c>
      <c r="C594" t="s">
        <v>2110</v>
      </c>
      <c r="D594" t="s">
        <v>98</v>
      </c>
      <c r="E594">
        <v>1</v>
      </c>
      <c r="F594" s="1"/>
      <c r="G594" s="1"/>
      <c r="H594">
        <f ca="1">IF(T_LEAVE[[#This Row],[EMPLOYEE]]="","",MATCH(T_LEAVE[[#This Row],[EMPLOYEE]],L_EMPLABELS,0))</f>
        <v>121</v>
      </c>
      <c r="I594">
        <f ca="1">IF(T_LEAVE[[#This Row],[EMPLOYEE]]="","",MATCH(T_LEAVE[[#This Row],[LEAVE TYPE]],L_LEAVETYPES,0))</f>
        <v>7</v>
      </c>
      <c r="J594" t="str" cm="1">
        <f t="array" aca="1" ref="J594" ca="1">IFERROR(INDEX(T_LEAVE_TYPES[SYMBOL],T_LEAVE[[#This Row],[LEAVE TYPE SYS ID]]),"")</f>
        <v>C</v>
      </c>
      <c r="K594">
        <f ca="1">IF(T_LEAVE[[#This Row],[EMPLOYEE]]="","",IF(T_LEAVE[[#This Row],[ERROR]]="",0,1))</f>
        <v>0</v>
      </c>
      <c r="L594" t="str" cm="1">
        <f t="array" aca="1" ref="L59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5" spans="1:12">
      <c r="A595" t="s">
        <v>2305</v>
      </c>
      <c r="B595" t="s">
        <v>2109</v>
      </c>
      <c r="C595" t="s">
        <v>2109</v>
      </c>
      <c r="D595" t="s">
        <v>98</v>
      </c>
      <c r="E595">
        <v>1</v>
      </c>
      <c r="F595" s="1"/>
      <c r="G595" s="1"/>
      <c r="H595">
        <f ca="1">IF(T_LEAVE[[#This Row],[EMPLOYEE]]="","",MATCH(T_LEAVE[[#This Row],[EMPLOYEE]],L_EMPLABELS,0))</f>
        <v>387</v>
      </c>
      <c r="I595">
        <f ca="1">IF(T_LEAVE[[#This Row],[EMPLOYEE]]="","",MATCH(T_LEAVE[[#This Row],[LEAVE TYPE]],L_LEAVETYPES,0))</f>
        <v>7</v>
      </c>
      <c r="J595" t="str" cm="1">
        <f t="array" aca="1" ref="J595" ca="1">IFERROR(INDEX(T_LEAVE_TYPES[SYMBOL],T_LEAVE[[#This Row],[LEAVE TYPE SYS ID]]),"")</f>
        <v>C</v>
      </c>
      <c r="K595">
        <f ca="1">IF(T_LEAVE[[#This Row],[EMPLOYEE]]="","",IF(T_LEAVE[[#This Row],[ERROR]]="",0,1))</f>
        <v>0</v>
      </c>
      <c r="L595" t="str" cm="1">
        <f t="array" aca="1" ref="L59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6" spans="1:12">
      <c r="A596" t="s">
        <v>2301</v>
      </c>
      <c r="B596" t="s">
        <v>2111</v>
      </c>
      <c r="C596" t="s">
        <v>2111</v>
      </c>
      <c r="D596" t="s">
        <v>98</v>
      </c>
      <c r="E596">
        <v>1</v>
      </c>
      <c r="F596" s="1"/>
      <c r="G596" s="1"/>
      <c r="H596">
        <f ca="1">IF(T_LEAVE[[#This Row],[EMPLOYEE]]="","",MATCH(T_LEAVE[[#This Row],[EMPLOYEE]],L_EMPLABELS,0))</f>
        <v>376</v>
      </c>
      <c r="I596">
        <f ca="1">IF(T_LEAVE[[#This Row],[EMPLOYEE]]="","",MATCH(T_LEAVE[[#This Row],[LEAVE TYPE]],L_LEAVETYPES,0))</f>
        <v>7</v>
      </c>
      <c r="J596" t="str" cm="1">
        <f t="array" aca="1" ref="J596" ca="1">IFERROR(INDEX(T_LEAVE_TYPES[SYMBOL],T_LEAVE[[#This Row],[LEAVE TYPE SYS ID]]),"")</f>
        <v>C</v>
      </c>
      <c r="K596">
        <f ca="1">IF(T_LEAVE[[#This Row],[EMPLOYEE]]="","",IF(T_LEAVE[[#This Row],[ERROR]]="",0,1))</f>
        <v>0</v>
      </c>
      <c r="L596" t="str" cm="1">
        <f t="array" aca="1" ref="L59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7" spans="1:12">
      <c r="A597" t="s">
        <v>2316</v>
      </c>
      <c r="B597" t="s">
        <v>2119</v>
      </c>
      <c r="C597" t="s">
        <v>2119</v>
      </c>
      <c r="D597" t="s">
        <v>92</v>
      </c>
      <c r="E597">
        <v>1</v>
      </c>
      <c r="F597" s="1"/>
      <c r="G597" s="1"/>
      <c r="H597">
        <f ca="1">IF(T_LEAVE[[#This Row],[EMPLOYEE]]="","",MATCH(T_LEAVE[[#This Row],[EMPLOYEE]],L_EMPLABELS,0))</f>
        <v>201</v>
      </c>
      <c r="I597">
        <f ca="1">IF(T_LEAVE[[#This Row],[EMPLOYEE]]="","",MATCH(T_LEAVE[[#This Row],[LEAVE TYPE]],L_LEAVETYPES,0))</f>
        <v>6</v>
      </c>
      <c r="J597" t="str" cm="1">
        <f t="array" aca="1" ref="J597" ca="1">IFERROR(INDEX(T_LEAVE_TYPES[SYMBOL],T_LEAVE[[#This Row],[LEAVE TYPE SYS ID]]),"")</f>
        <v>PR</v>
      </c>
      <c r="K597">
        <f ca="1">IF(T_LEAVE[[#This Row],[EMPLOYEE]]="","",IF(T_LEAVE[[#This Row],[ERROR]]="",0,1))</f>
        <v>0</v>
      </c>
      <c r="L597" t="str" cm="1">
        <f t="array" aca="1" ref="L59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8" spans="1:12">
      <c r="A598" t="s">
        <v>2312</v>
      </c>
      <c r="B598" t="s">
        <v>2116</v>
      </c>
      <c r="C598" t="s">
        <v>2116</v>
      </c>
      <c r="D598" t="s">
        <v>92</v>
      </c>
      <c r="E598">
        <v>1</v>
      </c>
      <c r="F598" s="1"/>
      <c r="G598" s="1"/>
      <c r="H598">
        <f ca="1">IF(T_LEAVE[[#This Row],[EMPLOYEE]]="","",MATCH(T_LEAVE[[#This Row],[EMPLOYEE]],L_EMPLABELS,0))</f>
        <v>335</v>
      </c>
      <c r="I598">
        <f ca="1">IF(T_LEAVE[[#This Row],[EMPLOYEE]]="","",MATCH(T_LEAVE[[#This Row],[LEAVE TYPE]],L_LEAVETYPES,0))</f>
        <v>6</v>
      </c>
      <c r="J598" t="str" cm="1">
        <f t="array" aca="1" ref="J598" ca="1">IFERROR(INDEX(T_LEAVE_TYPES[SYMBOL],T_LEAVE[[#This Row],[LEAVE TYPE SYS ID]]),"")</f>
        <v>PR</v>
      </c>
      <c r="K598">
        <f ca="1">IF(T_LEAVE[[#This Row],[EMPLOYEE]]="","",IF(T_LEAVE[[#This Row],[ERROR]]="",0,1))</f>
        <v>0</v>
      </c>
      <c r="L598" t="str" cm="1">
        <f t="array" aca="1" ref="L59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9" spans="1:12">
      <c r="A599" t="s">
        <v>2331</v>
      </c>
      <c r="B599" t="s">
        <v>2121</v>
      </c>
      <c r="C599" t="s">
        <v>2121</v>
      </c>
      <c r="D599" t="s">
        <v>98</v>
      </c>
      <c r="E599">
        <v>1</v>
      </c>
      <c r="F599" s="1"/>
      <c r="G599" s="1"/>
      <c r="H599">
        <f ca="1">IF(T_LEAVE[[#This Row],[EMPLOYEE]]="","",MATCH(T_LEAVE[[#This Row],[EMPLOYEE]],L_EMPLABELS,0))</f>
        <v>243</v>
      </c>
      <c r="I599">
        <f ca="1">IF(T_LEAVE[[#This Row],[EMPLOYEE]]="","",MATCH(T_LEAVE[[#This Row],[LEAVE TYPE]],L_LEAVETYPES,0))</f>
        <v>7</v>
      </c>
      <c r="J599" t="str" cm="1">
        <f t="array" aca="1" ref="J599" ca="1">IFERROR(INDEX(T_LEAVE_TYPES[SYMBOL],T_LEAVE[[#This Row],[LEAVE TYPE SYS ID]]),"")</f>
        <v>C</v>
      </c>
      <c r="K599">
        <f ca="1">IF(T_LEAVE[[#This Row],[EMPLOYEE]]="","",IF(T_LEAVE[[#This Row],[ERROR]]="",0,1))</f>
        <v>0</v>
      </c>
      <c r="L599" t="str" cm="1">
        <f t="array" aca="1" ref="L59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0" spans="1:12">
      <c r="A600" t="s">
        <v>2308</v>
      </c>
      <c r="B600" t="s">
        <v>2121</v>
      </c>
      <c r="C600" t="s">
        <v>2121</v>
      </c>
      <c r="D600" t="s">
        <v>92</v>
      </c>
      <c r="E600">
        <v>1</v>
      </c>
      <c r="F600" s="1"/>
      <c r="G600" s="1"/>
      <c r="H600">
        <f ca="1">IF(T_LEAVE[[#This Row],[EMPLOYEE]]="","",MATCH(T_LEAVE[[#This Row],[EMPLOYEE]],L_EMPLABELS,0))</f>
        <v>439</v>
      </c>
      <c r="I600">
        <f ca="1">IF(T_LEAVE[[#This Row],[EMPLOYEE]]="","",MATCH(T_LEAVE[[#This Row],[LEAVE TYPE]],L_LEAVETYPES,0))</f>
        <v>6</v>
      </c>
      <c r="J600" t="str" cm="1">
        <f t="array" aca="1" ref="J600" ca="1">IFERROR(INDEX(T_LEAVE_TYPES[SYMBOL],T_LEAVE[[#This Row],[LEAVE TYPE SYS ID]]),"")</f>
        <v>PR</v>
      </c>
      <c r="K600">
        <f ca="1">IF(T_LEAVE[[#This Row],[EMPLOYEE]]="","",IF(T_LEAVE[[#This Row],[ERROR]]="",0,1))</f>
        <v>0</v>
      </c>
      <c r="L600" t="str" cm="1">
        <f t="array" aca="1" ref="L60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1" spans="1:12">
      <c r="A601" t="s">
        <v>2301</v>
      </c>
      <c r="B601" t="s">
        <v>2292</v>
      </c>
      <c r="C601" t="s">
        <v>2292</v>
      </c>
      <c r="D601" t="s">
        <v>98</v>
      </c>
      <c r="E601">
        <v>1</v>
      </c>
      <c r="F601" s="1"/>
      <c r="G601" s="1"/>
      <c r="H601">
        <f ca="1">IF(T_LEAVE[[#This Row],[EMPLOYEE]]="","",MATCH(T_LEAVE[[#This Row],[EMPLOYEE]],L_EMPLABELS,0))</f>
        <v>376</v>
      </c>
      <c r="I601">
        <f ca="1">IF(T_LEAVE[[#This Row],[EMPLOYEE]]="","",MATCH(T_LEAVE[[#This Row],[LEAVE TYPE]],L_LEAVETYPES,0))</f>
        <v>7</v>
      </c>
      <c r="J601" t="str" cm="1">
        <f t="array" aca="1" ref="J601" ca="1">IFERROR(INDEX(T_LEAVE_TYPES[SYMBOL],T_LEAVE[[#This Row],[LEAVE TYPE SYS ID]]),"")</f>
        <v>C</v>
      </c>
      <c r="K601">
        <f ca="1">IF(T_LEAVE[[#This Row],[EMPLOYEE]]="","",IF(T_LEAVE[[#This Row],[ERROR]]="",0,1))</f>
        <v>0</v>
      </c>
      <c r="L601" t="str" cm="1">
        <f t="array" aca="1" ref="L60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2" spans="1:12">
      <c r="A602" t="s">
        <v>2307</v>
      </c>
      <c r="B602" t="s">
        <v>2292</v>
      </c>
      <c r="C602" t="s">
        <v>2292</v>
      </c>
      <c r="D602" t="s">
        <v>92</v>
      </c>
      <c r="E602">
        <v>1</v>
      </c>
      <c r="F602" s="1"/>
      <c r="G602" s="1"/>
      <c r="H602">
        <f ca="1">IF(T_LEAVE[[#This Row],[EMPLOYEE]]="","",MATCH(T_LEAVE[[#This Row],[EMPLOYEE]],L_EMPLABELS,0))</f>
        <v>441</v>
      </c>
      <c r="I602">
        <f ca="1">IF(T_LEAVE[[#This Row],[EMPLOYEE]]="","",MATCH(T_LEAVE[[#This Row],[LEAVE TYPE]],L_LEAVETYPES,0))</f>
        <v>6</v>
      </c>
      <c r="J602" t="str" cm="1">
        <f t="array" aca="1" ref="J602" ca="1">IFERROR(INDEX(T_LEAVE_TYPES[SYMBOL],T_LEAVE[[#This Row],[LEAVE TYPE SYS ID]]),"")</f>
        <v>PR</v>
      </c>
      <c r="K602">
        <f ca="1">IF(T_LEAVE[[#This Row],[EMPLOYEE]]="","",IF(T_LEAVE[[#This Row],[ERROR]]="",0,1))</f>
        <v>0</v>
      </c>
      <c r="L602" t="str" cm="1">
        <f t="array" aca="1" ref="L60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3" spans="1:12">
      <c r="A603" t="s">
        <v>2307</v>
      </c>
      <c r="B603" t="s">
        <v>2332</v>
      </c>
      <c r="C603" t="s">
        <v>2332</v>
      </c>
      <c r="D603" t="s">
        <v>92</v>
      </c>
      <c r="E603">
        <v>1</v>
      </c>
      <c r="F603" s="1"/>
      <c r="G603" s="1"/>
      <c r="H603">
        <f ca="1">IF(T_LEAVE[[#This Row],[EMPLOYEE]]="","",MATCH(T_LEAVE[[#This Row],[EMPLOYEE]],L_EMPLABELS,0))</f>
        <v>441</v>
      </c>
      <c r="I603">
        <f ca="1">IF(T_LEAVE[[#This Row],[EMPLOYEE]]="","",MATCH(T_LEAVE[[#This Row],[LEAVE TYPE]],L_LEAVETYPES,0))</f>
        <v>6</v>
      </c>
      <c r="J603" t="str" cm="1">
        <f t="array" aca="1" ref="J603" ca="1">IFERROR(INDEX(T_LEAVE_TYPES[SYMBOL],T_LEAVE[[#This Row],[LEAVE TYPE SYS ID]]),"")</f>
        <v>PR</v>
      </c>
      <c r="K603">
        <f ca="1">IF(T_LEAVE[[#This Row],[EMPLOYEE]]="","",IF(T_LEAVE[[#This Row],[ERROR]]="",0,1))</f>
        <v>0</v>
      </c>
      <c r="L603" t="str" cm="1">
        <f t="array" aca="1" ref="L60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4" spans="1:12">
      <c r="A604" t="s">
        <v>2307</v>
      </c>
      <c r="B604" t="s">
        <v>2137</v>
      </c>
      <c r="C604" t="s">
        <v>2137</v>
      </c>
      <c r="D604" t="s">
        <v>92</v>
      </c>
      <c r="E604">
        <v>1</v>
      </c>
      <c r="F604" s="1"/>
      <c r="G604" s="1"/>
      <c r="H604">
        <f ca="1">IF(T_LEAVE[[#This Row],[EMPLOYEE]]="","",MATCH(T_LEAVE[[#This Row],[EMPLOYEE]],L_EMPLABELS,0))</f>
        <v>441</v>
      </c>
      <c r="I604">
        <f ca="1">IF(T_LEAVE[[#This Row],[EMPLOYEE]]="","",MATCH(T_LEAVE[[#This Row],[LEAVE TYPE]],L_LEAVETYPES,0))</f>
        <v>6</v>
      </c>
      <c r="J604" t="str" cm="1">
        <f t="array" aca="1" ref="J604" ca="1">IFERROR(INDEX(T_LEAVE_TYPES[SYMBOL],T_LEAVE[[#This Row],[LEAVE TYPE SYS ID]]),"")</f>
        <v>PR</v>
      </c>
      <c r="K604">
        <f ca="1">IF(T_LEAVE[[#This Row],[EMPLOYEE]]="","",IF(T_LEAVE[[#This Row],[ERROR]]="",0,1))</f>
        <v>0</v>
      </c>
      <c r="L604" t="str" cm="1">
        <f t="array" aca="1" ref="L60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5" spans="1:12">
      <c r="A605" t="s">
        <v>2308</v>
      </c>
      <c r="B605" t="s">
        <v>2333</v>
      </c>
      <c r="C605" t="s">
        <v>2333</v>
      </c>
      <c r="D605" t="s">
        <v>98</v>
      </c>
      <c r="E605">
        <v>1</v>
      </c>
      <c r="F605" s="1"/>
      <c r="G605" s="1"/>
      <c r="H605">
        <f ca="1">IF(T_LEAVE[[#This Row],[EMPLOYEE]]="","",MATCH(T_LEAVE[[#This Row],[EMPLOYEE]],L_EMPLABELS,0))</f>
        <v>439</v>
      </c>
      <c r="I605">
        <f ca="1">IF(T_LEAVE[[#This Row],[EMPLOYEE]]="","",MATCH(T_LEAVE[[#This Row],[LEAVE TYPE]],L_LEAVETYPES,0))</f>
        <v>7</v>
      </c>
      <c r="J605" t="str" cm="1">
        <f t="array" aca="1" ref="J605" ca="1">IFERROR(INDEX(T_LEAVE_TYPES[SYMBOL],T_LEAVE[[#This Row],[LEAVE TYPE SYS ID]]),"")</f>
        <v>C</v>
      </c>
      <c r="K605">
        <f ca="1">IF(T_LEAVE[[#This Row],[EMPLOYEE]]="","",IF(T_LEAVE[[#This Row],[ERROR]]="",0,1))</f>
        <v>0</v>
      </c>
      <c r="L605" t="str" cm="1">
        <f t="array" aca="1" ref="L60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6" spans="1:12">
      <c r="A606" t="s">
        <v>2316</v>
      </c>
      <c r="B606" t="s">
        <v>2209</v>
      </c>
      <c r="C606" t="s">
        <v>2209</v>
      </c>
      <c r="D606" t="s">
        <v>92</v>
      </c>
      <c r="E606">
        <v>1</v>
      </c>
      <c r="F606" s="1"/>
      <c r="G606" s="1"/>
      <c r="H606">
        <f ca="1">IF(T_LEAVE[[#This Row],[EMPLOYEE]]="","",MATCH(T_LEAVE[[#This Row],[EMPLOYEE]],L_EMPLABELS,0))</f>
        <v>201</v>
      </c>
      <c r="I606">
        <f ca="1">IF(T_LEAVE[[#This Row],[EMPLOYEE]]="","",MATCH(T_LEAVE[[#This Row],[LEAVE TYPE]],L_LEAVETYPES,0))</f>
        <v>6</v>
      </c>
      <c r="J606" t="str" cm="1">
        <f t="array" aca="1" ref="J606" ca="1">IFERROR(INDEX(T_LEAVE_TYPES[SYMBOL],T_LEAVE[[#This Row],[LEAVE TYPE SYS ID]]),"")</f>
        <v>PR</v>
      </c>
      <c r="K606">
        <f ca="1">IF(T_LEAVE[[#This Row],[EMPLOYEE]]="","",IF(T_LEAVE[[#This Row],[ERROR]]="",0,1))</f>
        <v>0</v>
      </c>
      <c r="L606" t="str" cm="1">
        <f t="array" aca="1" ref="L60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7" spans="1:12">
      <c r="A607" t="s">
        <v>2305</v>
      </c>
      <c r="B607" t="s">
        <v>2127</v>
      </c>
      <c r="C607" t="s">
        <v>2127</v>
      </c>
      <c r="D607" t="s">
        <v>98</v>
      </c>
      <c r="E607">
        <v>1</v>
      </c>
      <c r="F607" s="1"/>
      <c r="G607" s="1"/>
      <c r="H607">
        <f ca="1">IF(T_LEAVE[[#This Row],[EMPLOYEE]]="","",MATCH(T_LEAVE[[#This Row],[EMPLOYEE]],L_EMPLABELS,0))</f>
        <v>387</v>
      </c>
      <c r="I607">
        <f ca="1">IF(T_LEAVE[[#This Row],[EMPLOYEE]]="","",MATCH(T_LEAVE[[#This Row],[LEAVE TYPE]],L_LEAVETYPES,0))</f>
        <v>7</v>
      </c>
      <c r="J607" t="str" cm="1">
        <f t="array" aca="1" ref="J607" ca="1">IFERROR(INDEX(T_LEAVE_TYPES[SYMBOL],T_LEAVE[[#This Row],[LEAVE TYPE SYS ID]]),"")</f>
        <v>C</v>
      </c>
      <c r="K607">
        <f ca="1">IF(T_LEAVE[[#This Row],[EMPLOYEE]]="","",IF(T_LEAVE[[#This Row],[ERROR]]="",0,1))</f>
        <v>0</v>
      </c>
      <c r="L607" t="str" cm="1">
        <f t="array" aca="1" ref="L60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8" spans="1:12">
      <c r="A608" t="s">
        <v>2308</v>
      </c>
      <c r="B608" t="s">
        <v>1969</v>
      </c>
      <c r="C608" t="s">
        <v>1969</v>
      </c>
      <c r="D608" t="s">
        <v>98</v>
      </c>
      <c r="E608">
        <v>1</v>
      </c>
      <c r="F608" s="1"/>
      <c r="G608" s="1"/>
      <c r="H608">
        <f ca="1">IF(T_LEAVE[[#This Row],[EMPLOYEE]]="","",MATCH(T_LEAVE[[#This Row],[EMPLOYEE]],L_EMPLABELS,0))</f>
        <v>439</v>
      </c>
      <c r="I608">
        <f ca="1">IF(T_LEAVE[[#This Row],[EMPLOYEE]]="","",MATCH(T_LEAVE[[#This Row],[LEAVE TYPE]],L_LEAVETYPES,0))</f>
        <v>7</v>
      </c>
      <c r="J608" t="str" cm="1">
        <f t="array" aca="1" ref="J608" ca="1">IFERROR(INDEX(T_LEAVE_TYPES[SYMBOL],T_LEAVE[[#This Row],[LEAVE TYPE SYS ID]]),"")</f>
        <v>C</v>
      </c>
      <c r="K608">
        <f ca="1">IF(T_LEAVE[[#This Row],[EMPLOYEE]]="","",IF(T_LEAVE[[#This Row],[ERROR]]="",0,1))</f>
        <v>0</v>
      </c>
      <c r="L608" t="str" cm="1">
        <f t="array" aca="1" ref="L60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9" spans="1:12">
      <c r="A609" t="s">
        <v>2310</v>
      </c>
      <c r="B609" t="s">
        <v>1953</v>
      </c>
      <c r="C609" t="s">
        <v>1953</v>
      </c>
      <c r="D609" t="s">
        <v>98</v>
      </c>
      <c r="E609">
        <v>1</v>
      </c>
      <c r="F609" s="1"/>
      <c r="G609" s="1"/>
      <c r="H609">
        <f ca="1">IF(T_LEAVE[[#This Row],[EMPLOYEE]]="","",MATCH(T_LEAVE[[#This Row],[EMPLOYEE]],L_EMPLABELS,0))</f>
        <v>121</v>
      </c>
      <c r="I609">
        <f ca="1">IF(T_LEAVE[[#This Row],[EMPLOYEE]]="","",MATCH(T_LEAVE[[#This Row],[LEAVE TYPE]],L_LEAVETYPES,0))</f>
        <v>7</v>
      </c>
      <c r="J609" t="str" cm="1">
        <f t="array" aca="1" ref="J609" ca="1">IFERROR(INDEX(T_LEAVE_TYPES[SYMBOL],T_LEAVE[[#This Row],[LEAVE TYPE SYS ID]]),"")</f>
        <v>C</v>
      </c>
      <c r="K609">
        <f ca="1">IF(T_LEAVE[[#This Row],[EMPLOYEE]]="","",IF(T_LEAVE[[#This Row],[ERROR]]="",0,1))</f>
        <v>0</v>
      </c>
      <c r="L609" t="str" cm="1">
        <f t="array" aca="1" ref="L60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0" spans="1:12">
      <c r="A610" t="s">
        <v>2307</v>
      </c>
      <c r="B610" t="s">
        <v>2334</v>
      </c>
      <c r="C610" t="s">
        <v>2335</v>
      </c>
      <c r="D610" t="s">
        <v>98</v>
      </c>
      <c r="E610">
        <v>2</v>
      </c>
      <c r="F610" s="1"/>
      <c r="G610" s="1"/>
      <c r="H610">
        <f ca="1">IF(T_LEAVE[[#This Row],[EMPLOYEE]]="","",MATCH(T_LEAVE[[#This Row],[EMPLOYEE]],L_EMPLABELS,0))</f>
        <v>441</v>
      </c>
      <c r="I610">
        <f ca="1">IF(T_LEAVE[[#This Row],[EMPLOYEE]]="","",MATCH(T_LEAVE[[#This Row],[LEAVE TYPE]],L_LEAVETYPES,0))</f>
        <v>7</v>
      </c>
      <c r="J610" t="str" cm="1">
        <f t="array" aca="1" ref="J610" ca="1">IFERROR(INDEX(T_LEAVE_TYPES[SYMBOL],T_LEAVE[[#This Row],[LEAVE TYPE SYS ID]]),"")</f>
        <v>C</v>
      </c>
      <c r="K610">
        <f ca="1">IF(T_LEAVE[[#This Row],[EMPLOYEE]]="","",IF(T_LEAVE[[#This Row],[ERROR]]="",0,1))</f>
        <v>0</v>
      </c>
      <c r="L610" t="str" cm="1">
        <f t="array" aca="1" ref="L61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1" spans="1:12">
      <c r="A611" t="s">
        <v>2312</v>
      </c>
      <c r="B611" t="s">
        <v>2134</v>
      </c>
      <c r="C611" t="s">
        <v>2134</v>
      </c>
      <c r="D611" t="s">
        <v>98</v>
      </c>
      <c r="E611">
        <v>1</v>
      </c>
      <c r="F611" s="1"/>
      <c r="G611" s="1"/>
      <c r="H611">
        <f ca="1">IF(T_LEAVE[[#This Row],[EMPLOYEE]]="","",MATCH(T_LEAVE[[#This Row],[EMPLOYEE]],L_EMPLABELS,0))</f>
        <v>335</v>
      </c>
      <c r="I611">
        <f ca="1">IF(T_LEAVE[[#This Row],[EMPLOYEE]]="","",MATCH(T_LEAVE[[#This Row],[LEAVE TYPE]],L_LEAVETYPES,0))</f>
        <v>7</v>
      </c>
      <c r="J611" t="str" cm="1">
        <f t="array" aca="1" ref="J611" ca="1">IFERROR(INDEX(T_LEAVE_TYPES[SYMBOL],T_LEAVE[[#This Row],[LEAVE TYPE SYS ID]]),"")</f>
        <v>C</v>
      </c>
      <c r="K611">
        <f ca="1">IF(T_LEAVE[[#This Row],[EMPLOYEE]]="","",IF(T_LEAVE[[#This Row],[ERROR]]="",0,1))</f>
        <v>0</v>
      </c>
      <c r="L611" t="str" cm="1">
        <f t="array" aca="1" ref="L61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2" spans="1:12">
      <c r="A612" t="s">
        <v>2316</v>
      </c>
      <c r="B612" t="s">
        <v>2336</v>
      </c>
      <c r="C612" t="s">
        <v>2336</v>
      </c>
      <c r="D612" t="s">
        <v>92</v>
      </c>
      <c r="E612">
        <v>1</v>
      </c>
      <c r="F612" s="1"/>
      <c r="G612" s="1"/>
      <c r="H612">
        <f ca="1">IF(T_LEAVE[[#This Row],[EMPLOYEE]]="","",MATCH(T_LEAVE[[#This Row],[EMPLOYEE]],L_EMPLABELS,0))</f>
        <v>201</v>
      </c>
      <c r="I612">
        <f ca="1">IF(T_LEAVE[[#This Row],[EMPLOYEE]]="","",MATCH(T_LEAVE[[#This Row],[LEAVE TYPE]],L_LEAVETYPES,0))</f>
        <v>6</v>
      </c>
      <c r="J612" t="str" cm="1">
        <f t="array" aca="1" ref="J612" ca="1">IFERROR(INDEX(T_LEAVE_TYPES[SYMBOL],T_LEAVE[[#This Row],[LEAVE TYPE SYS ID]]),"")</f>
        <v>PR</v>
      </c>
      <c r="K612">
        <f ca="1">IF(T_LEAVE[[#This Row],[EMPLOYEE]]="","",IF(T_LEAVE[[#This Row],[ERROR]]="",0,1))</f>
        <v>0</v>
      </c>
      <c r="L612" t="str" cm="1">
        <f t="array" aca="1" ref="L61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3" spans="1:12">
      <c r="A613" t="s">
        <v>2331</v>
      </c>
      <c r="B613" t="s">
        <v>2014</v>
      </c>
      <c r="C613" t="s">
        <v>2014</v>
      </c>
      <c r="D613" t="s">
        <v>98</v>
      </c>
      <c r="E613">
        <v>1</v>
      </c>
      <c r="F613" s="1"/>
      <c r="G613" s="1"/>
      <c r="H613">
        <f ca="1">IF(T_LEAVE[[#This Row],[EMPLOYEE]]="","",MATCH(T_LEAVE[[#This Row],[EMPLOYEE]],L_EMPLABELS,0))</f>
        <v>243</v>
      </c>
      <c r="I613">
        <f ca="1">IF(T_LEAVE[[#This Row],[EMPLOYEE]]="","",MATCH(T_LEAVE[[#This Row],[LEAVE TYPE]],L_LEAVETYPES,0))</f>
        <v>7</v>
      </c>
      <c r="J613" t="str" cm="1">
        <f t="array" aca="1" ref="J613" ca="1">IFERROR(INDEX(T_LEAVE_TYPES[SYMBOL],T_LEAVE[[#This Row],[LEAVE TYPE SYS ID]]),"")</f>
        <v>C</v>
      </c>
      <c r="K613">
        <f ca="1">IF(T_LEAVE[[#This Row],[EMPLOYEE]]="","",IF(T_LEAVE[[#This Row],[ERROR]]="",0,1))</f>
        <v>0</v>
      </c>
      <c r="L613" t="str" cm="1">
        <f t="array" aca="1" ref="L61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4" spans="1:12">
      <c r="A614" t="s">
        <v>2301</v>
      </c>
      <c r="B614" t="s">
        <v>2242</v>
      </c>
      <c r="C614" t="s">
        <v>2242</v>
      </c>
      <c r="D614" t="s">
        <v>98</v>
      </c>
      <c r="E614">
        <v>1</v>
      </c>
      <c r="F614" s="1"/>
      <c r="G614" s="1"/>
      <c r="H614">
        <f ca="1">IF(T_LEAVE[[#This Row],[EMPLOYEE]]="","",MATCH(T_LEAVE[[#This Row],[EMPLOYEE]],L_EMPLABELS,0))</f>
        <v>376</v>
      </c>
      <c r="I614">
        <f ca="1">IF(T_LEAVE[[#This Row],[EMPLOYEE]]="","",MATCH(T_LEAVE[[#This Row],[LEAVE TYPE]],L_LEAVETYPES,0))</f>
        <v>7</v>
      </c>
      <c r="J614" t="str" cm="1">
        <f t="array" aca="1" ref="J614" ca="1">IFERROR(INDEX(T_LEAVE_TYPES[SYMBOL],T_LEAVE[[#This Row],[LEAVE TYPE SYS ID]]),"")</f>
        <v>C</v>
      </c>
      <c r="K614">
        <f ca="1">IF(T_LEAVE[[#This Row],[EMPLOYEE]]="","",IF(T_LEAVE[[#This Row],[ERROR]]="",0,1))</f>
        <v>0</v>
      </c>
      <c r="L614" t="str" cm="1">
        <f t="array" aca="1" ref="L61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5" spans="1:12">
      <c r="A615" t="s">
        <v>2305</v>
      </c>
      <c r="B615" t="s">
        <v>2163</v>
      </c>
      <c r="C615" t="s">
        <v>2163</v>
      </c>
      <c r="D615" t="s">
        <v>98</v>
      </c>
      <c r="E615">
        <v>1</v>
      </c>
      <c r="F615" s="1"/>
      <c r="G615" s="1"/>
      <c r="H615">
        <f ca="1">IF(T_LEAVE[[#This Row],[EMPLOYEE]]="","",MATCH(T_LEAVE[[#This Row],[EMPLOYEE]],L_EMPLABELS,0))</f>
        <v>387</v>
      </c>
      <c r="I615">
        <f ca="1">IF(T_LEAVE[[#This Row],[EMPLOYEE]]="","",MATCH(T_LEAVE[[#This Row],[LEAVE TYPE]],L_LEAVETYPES,0))</f>
        <v>7</v>
      </c>
      <c r="J615" t="str" cm="1">
        <f t="array" aca="1" ref="J615" ca="1">IFERROR(INDEX(T_LEAVE_TYPES[SYMBOL],T_LEAVE[[#This Row],[LEAVE TYPE SYS ID]]),"")</f>
        <v>C</v>
      </c>
      <c r="K615">
        <f ca="1">IF(T_LEAVE[[#This Row],[EMPLOYEE]]="","",IF(T_LEAVE[[#This Row],[ERROR]]="",0,1))</f>
        <v>0</v>
      </c>
      <c r="L615" t="str" cm="1">
        <f t="array" aca="1" ref="L61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6" spans="1:12">
      <c r="A616" t="s">
        <v>2308</v>
      </c>
      <c r="B616" t="s">
        <v>2014</v>
      </c>
      <c r="C616" t="s">
        <v>2336</v>
      </c>
      <c r="D616" t="s">
        <v>92</v>
      </c>
      <c r="E616">
        <v>15</v>
      </c>
      <c r="F616" s="1"/>
      <c r="G616" s="1"/>
      <c r="H616">
        <f ca="1">IF(T_LEAVE[[#This Row],[EMPLOYEE]]="","",MATCH(T_LEAVE[[#This Row],[EMPLOYEE]],L_EMPLABELS,0))</f>
        <v>439</v>
      </c>
      <c r="I616">
        <f ca="1">IF(T_LEAVE[[#This Row],[EMPLOYEE]]="","",MATCH(T_LEAVE[[#This Row],[LEAVE TYPE]],L_LEAVETYPES,0))</f>
        <v>6</v>
      </c>
      <c r="J616" t="str" cm="1">
        <f t="array" aca="1" ref="J616" ca="1">IFERROR(INDEX(T_LEAVE_TYPES[SYMBOL],T_LEAVE[[#This Row],[LEAVE TYPE SYS ID]]),"")</f>
        <v>PR</v>
      </c>
      <c r="K616">
        <f ca="1">IF(T_LEAVE[[#This Row],[EMPLOYEE]]="","",IF(T_LEAVE[[#This Row],[ERROR]]="",0,1))</f>
        <v>0</v>
      </c>
      <c r="L616" t="str" cm="1">
        <f t="array" aca="1" ref="L61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7" spans="1:12">
      <c r="A617" t="s">
        <v>2316</v>
      </c>
      <c r="B617" t="s">
        <v>2337</v>
      </c>
      <c r="C617" t="s">
        <v>2337</v>
      </c>
      <c r="D617" t="s">
        <v>98</v>
      </c>
      <c r="E617">
        <v>1</v>
      </c>
      <c r="F617" s="1"/>
      <c r="G617" s="1"/>
      <c r="H617">
        <f ca="1">IF(T_LEAVE[[#This Row],[EMPLOYEE]]="","",MATCH(T_LEAVE[[#This Row],[EMPLOYEE]],L_EMPLABELS,0))</f>
        <v>201</v>
      </c>
      <c r="I617">
        <f ca="1">IF(T_LEAVE[[#This Row],[EMPLOYEE]]="","",MATCH(T_LEAVE[[#This Row],[LEAVE TYPE]],L_LEAVETYPES,0))</f>
        <v>7</v>
      </c>
      <c r="J617" t="str" cm="1">
        <f t="array" aca="1" ref="J617" ca="1">IFERROR(INDEX(T_LEAVE_TYPES[SYMBOL],T_LEAVE[[#This Row],[LEAVE TYPE SYS ID]]),"")</f>
        <v>C</v>
      </c>
      <c r="K617">
        <f ca="1">IF(T_LEAVE[[#This Row],[EMPLOYEE]]="","",IF(T_LEAVE[[#This Row],[ERROR]]="",0,1))</f>
        <v>0</v>
      </c>
      <c r="L617" t="str" cm="1">
        <f t="array" aca="1" ref="L61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8" spans="1:12">
      <c r="A618" t="s">
        <v>2316</v>
      </c>
      <c r="B618" t="s">
        <v>1972</v>
      </c>
      <c r="C618" t="s">
        <v>1972</v>
      </c>
      <c r="D618" t="s">
        <v>98</v>
      </c>
      <c r="E618">
        <v>1</v>
      </c>
      <c r="F618" s="1"/>
      <c r="G618" s="1"/>
      <c r="H618">
        <f ca="1">IF(T_LEAVE[[#This Row],[EMPLOYEE]]="","",MATCH(T_LEAVE[[#This Row],[EMPLOYEE]],L_EMPLABELS,0))</f>
        <v>201</v>
      </c>
      <c r="I618">
        <f ca="1">IF(T_LEAVE[[#This Row],[EMPLOYEE]]="","",MATCH(T_LEAVE[[#This Row],[LEAVE TYPE]],L_LEAVETYPES,0))</f>
        <v>7</v>
      </c>
      <c r="J618" t="str" cm="1">
        <f t="array" aca="1" ref="J618" ca="1">IFERROR(INDEX(T_LEAVE_TYPES[SYMBOL],T_LEAVE[[#This Row],[LEAVE TYPE SYS ID]]),"")</f>
        <v>C</v>
      </c>
      <c r="K618">
        <f ca="1">IF(T_LEAVE[[#This Row],[EMPLOYEE]]="","",IF(T_LEAVE[[#This Row],[ERROR]]="",0,1))</f>
        <v>0</v>
      </c>
      <c r="L618" t="str" cm="1">
        <f t="array" aca="1" ref="L61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9" spans="1:12">
      <c r="A619" t="s">
        <v>2316</v>
      </c>
      <c r="B619" t="s">
        <v>2156</v>
      </c>
      <c r="C619" t="s">
        <v>2156</v>
      </c>
      <c r="D619" t="s">
        <v>98</v>
      </c>
      <c r="E619">
        <v>1</v>
      </c>
      <c r="F619" s="1"/>
      <c r="G619" s="1"/>
      <c r="H619">
        <f ca="1">IF(T_LEAVE[[#This Row],[EMPLOYEE]]="","",MATCH(T_LEAVE[[#This Row],[EMPLOYEE]],L_EMPLABELS,0))</f>
        <v>201</v>
      </c>
      <c r="I619">
        <f ca="1">IF(T_LEAVE[[#This Row],[EMPLOYEE]]="","",MATCH(T_LEAVE[[#This Row],[LEAVE TYPE]],L_LEAVETYPES,0))</f>
        <v>7</v>
      </c>
      <c r="J619" t="str" cm="1">
        <f t="array" aca="1" ref="J619" ca="1">IFERROR(INDEX(T_LEAVE_TYPES[SYMBOL],T_LEAVE[[#This Row],[LEAVE TYPE SYS ID]]),"")</f>
        <v>C</v>
      </c>
      <c r="K619">
        <f ca="1">IF(T_LEAVE[[#This Row],[EMPLOYEE]]="","",IF(T_LEAVE[[#This Row],[ERROR]]="",0,1))</f>
        <v>0</v>
      </c>
      <c r="L619" t="str" cm="1">
        <f t="array" aca="1" ref="L61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0" spans="1:12">
      <c r="A620" t="s">
        <v>2301</v>
      </c>
      <c r="B620" t="s">
        <v>2148</v>
      </c>
      <c r="C620" t="s">
        <v>2148</v>
      </c>
      <c r="D620" t="s">
        <v>98</v>
      </c>
      <c r="E620">
        <v>1</v>
      </c>
      <c r="F620" s="1"/>
      <c r="G620" s="1"/>
      <c r="H620">
        <f ca="1">IF(T_LEAVE[[#This Row],[EMPLOYEE]]="","",MATCH(T_LEAVE[[#This Row],[EMPLOYEE]],L_EMPLABELS,0))</f>
        <v>376</v>
      </c>
      <c r="I620">
        <f ca="1">IF(T_LEAVE[[#This Row],[EMPLOYEE]]="","",MATCH(T_LEAVE[[#This Row],[LEAVE TYPE]],L_LEAVETYPES,0))</f>
        <v>7</v>
      </c>
      <c r="J620" t="str" cm="1">
        <f t="array" aca="1" ref="J620" ca="1">IFERROR(INDEX(T_LEAVE_TYPES[SYMBOL],T_LEAVE[[#This Row],[LEAVE TYPE SYS ID]]),"")</f>
        <v>C</v>
      </c>
      <c r="K620">
        <f ca="1">IF(T_LEAVE[[#This Row],[EMPLOYEE]]="","",IF(T_LEAVE[[#This Row],[ERROR]]="",0,1))</f>
        <v>0</v>
      </c>
      <c r="L620" t="str" cm="1">
        <f t="array" aca="1" ref="L62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1" spans="1:12">
      <c r="A621" t="s">
        <v>2310</v>
      </c>
      <c r="B621" t="s">
        <v>2148</v>
      </c>
      <c r="C621" t="s">
        <v>2148</v>
      </c>
      <c r="D621" t="s">
        <v>98</v>
      </c>
      <c r="E621">
        <v>1</v>
      </c>
      <c r="F621" s="1"/>
      <c r="G621" s="1"/>
      <c r="H621">
        <f ca="1">IF(T_LEAVE[[#This Row],[EMPLOYEE]]="","",MATCH(T_LEAVE[[#This Row],[EMPLOYEE]],L_EMPLABELS,0))</f>
        <v>121</v>
      </c>
      <c r="I621">
        <f ca="1">IF(T_LEAVE[[#This Row],[EMPLOYEE]]="","",MATCH(T_LEAVE[[#This Row],[LEAVE TYPE]],L_LEAVETYPES,0))</f>
        <v>7</v>
      </c>
      <c r="J621" t="str" cm="1">
        <f t="array" aca="1" ref="J621" ca="1">IFERROR(INDEX(T_LEAVE_TYPES[SYMBOL],T_LEAVE[[#This Row],[LEAVE TYPE SYS ID]]),"")</f>
        <v>C</v>
      </c>
      <c r="K621">
        <f ca="1">IF(T_LEAVE[[#This Row],[EMPLOYEE]]="","",IF(T_LEAVE[[#This Row],[ERROR]]="",0,1))</f>
        <v>0</v>
      </c>
      <c r="L621" t="str" cm="1">
        <f t="array" aca="1" ref="L62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2" spans="1:12">
      <c r="A622" t="s">
        <v>2331</v>
      </c>
      <c r="B622" t="s">
        <v>2017</v>
      </c>
      <c r="C622" t="s">
        <v>2017</v>
      </c>
      <c r="D622" t="s">
        <v>98</v>
      </c>
      <c r="E622">
        <v>1</v>
      </c>
      <c r="F622" s="1"/>
      <c r="G622" s="1"/>
      <c r="H622">
        <f ca="1">IF(T_LEAVE[[#This Row],[EMPLOYEE]]="","",MATCH(T_LEAVE[[#This Row],[EMPLOYEE]],L_EMPLABELS,0))</f>
        <v>243</v>
      </c>
      <c r="I622">
        <f ca="1">IF(T_LEAVE[[#This Row],[EMPLOYEE]]="","",MATCH(T_LEAVE[[#This Row],[LEAVE TYPE]],L_LEAVETYPES,0))</f>
        <v>7</v>
      </c>
      <c r="J622" t="str" cm="1">
        <f t="array" aca="1" ref="J622" ca="1">IFERROR(INDEX(T_LEAVE_TYPES[SYMBOL],T_LEAVE[[#This Row],[LEAVE TYPE SYS ID]]),"")</f>
        <v>C</v>
      </c>
      <c r="K622">
        <f ca="1">IF(T_LEAVE[[#This Row],[EMPLOYEE]]="","",IF(T_LEAVE[[#This Row],[ERROR]]="",0,1))</f>
        <v>0</v>
      </c>
      <c r="L622" t="str" cm="1">
        <f t="array" aca="1" ref="L62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3" spans="1:12">
      <c r="A623" t="s">
        <v>2331</v>
      </c>
      <c r="B623" t="s">
        <v>2338</v>
      </c>
      <c r="C623" t="s">
        <v>2338</v>
      </c>
      <c r="D623" t="s">
        <v>98</v>
      </c>
      <c r="E623">
        <v>1</v>
      </c>
      <c r="F623" s="1"/>
      <c r="G623" s="1"/>
      <c r="H623">
        <f ca="1">IF(T_LEAVE[[#This Row],[EMPLOYEE]]="","",MATCH(T_LEAVE[[#This Row],[EMPLOYEE]],L_EMPLABELS,0))</f>
        <v>243</v>
      </c>
      <c r="I623">
        <f ca="1">IF(T_LEAVE[[#This Row],[EMPLOYEE]]="","",MATCH(T_LEAVE[[#This Row],[LEAVE TYPE]],L_LEAVETYPES,0))</f>
        <v>7</v>
      </c>
      <c r="J623" t="str" cm="1">
        <f t="array" aca="1" ref="J623" ca="1">IFERROR(INDEX(T_LEAVE_TYPES[SYMBOL],T_LEAVE[[#This Row],[LEAVE TYPE SYS ID]]),"")</f>
        <v>C</v>
      </c>
      <c r="K623">
        <f ca="1">IF(T_LEAVE[[#This Row],[EMPLOYEE]]="","",IF(T_LEAVE[[#This Row],[ERROR]]="",0,1))</f>
        <v>0</v>
      </c>
      <c r="L623" t="str" cm="1">
        <f t="array" aca="1" ref="L62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4" spans="1:12">
      <c r="A624" t="s">
        <v>2308</v>
      </c>
      <c r="B624" t="s">
        <v>2144</v>
      </c>
      <c r="C624" t="s">
        <v>2150</v>
      </c>
      <c r="D624" t="s">
        <v>98</v>
      </c>
      <c r="E624">
        <v>2</v>
      </c>
      <c r="F624" s="1"/>
      <c r="G624" s="1"/>
      <c r="H624">
        <f ca="1">IF(T_LEAVE[[#This Row],[EMPLOYEE]]="","",MATCH(T_LEAVE[[#This Row],[EMPLOYEE]],L_EMPLABELS,0))</f>
        <v>439</v>
      </c>
      <c r="I624">
        <f ca="1">IF(T_LEAVE[[#This Row],[EMPLOYEE]]="","",MATCH(T_LEAVE[[#This Row],[LEAVE TYPE]],L_LEAVETYPES,0))</f>
        <v>7</v>
      </c>
      <c r="J624" t="str" cm="1">
        <f t="array" aca="1" ref="J624" ca="1">IFERROR(INDEX(T_LEAVE_TYPES[SYMBOL],T_LEAVE[[#This Row],[LEAVE TYPE SYS ID]]),"")</f>
        <v>C</v>
      </c>
      <c r="K624">
        <f ca="1">IF(T_LEAVE[[#This Row],[EMPLOYEE]]="","",IF(T_LEAVE[[#This Row],[ERROR]]="",0,1))</f>
        <v>0</v>
      </c>
      <c r="L624" t="str" cm="1">
        <f t="array" aca="1" ref="L62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5" spans="1:12">
      <c r="A625" t="s">
        <v>2307</v>
      </c>
      <c r="B625" t="s">
        <v>2144</v>
      </c>
      <c r="C625" t="s">
        <v>2144</v>
      </c>
      <c r="D625" t="s">
        <v>92</v>
      </c>
      <c r="E625">
        <v>1</v>
      </c>
      <c r="F625" s="1"/>
      <c r="G625" s="1"/>
      <c r="H625">
        <f ca="1">IF(T_LEAVE[[#This Row],[EMPLOYEE]]="","",MATCH(T_LEAVE[[#This Row],[EMPLOYEE]],L_EMPLABELS,0))</f>
        <v>441</v>
      </c>
      <c r="I625">
        <f ca="1">IF(T_LEAVE[[#This Row],[EMPLOYEE]]="","",MATCH(T_LEAVE[[#This Row],[LEAVE TYPE]],L_LEAVETYPES,0))</f>
        <v>6</v>
      </c>
      <c r="J625" t="str" cm="1">
        <f t="array" aca="1" ref="J625" ca="1">IFERROR(INDEX(T_LEAVE_TYPES[SYMBOL],T_LEAVE[[#This Row],[LEAVE TYPE SYS ID]]),"")</f>
        <v>PR</v>
      </c>
      <c r="K625">
        <f ca="1">IF(T_LEAVE[[#This Row],[EMPLOYEE]]="","",IF(T_LEAVE[[#This Row],[ERROR]]="",0,1))</f>
        <v>0</v>
      </c>
      <c r="L625" t="str" cm="1">
        <f t="array" aca="1" ref="L62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6" spans="1:12">
      <c r="A626" t="s">
        <v>2310</v>
      </c>
      <c r="B626" t="s">
        <v>1954</v>
      </c>
      <c r="C626" t="s">
        <v>1954</v>
      </c>
      <c r="D626" t="s">
        <v>98</v>
      </c>
      <c r="E626">
        <v>1</v>
      </c>
      <c r="F626" s="1"/>
      <c r="G626" s="1"/>
      <c r="H626">
        <f ca="1">IF(T_LEAVE[[#This Row],[EMPLOYEE]]="","",MATCH(T_LEAVE[[#This Row],[EMPLOYEE]],L_EMPLABELS,0))</f>
        <v>121</v>
      </c>
      <c r="I626">
        <f ca="1">IF(T_LEAVE[[#This Row],[EMPLOYEE]]="","",MATCH(T_LEAVE[[#This Row],[LEAVE TYPE]],L_LEAVETYPES,0))</f>
        <v>7</v>
      </c>
      <c r="J626" t="str" cm="1">
        <f t="array" aca="1" ref="J626" ca="1">IFERROR(INDEX(T_LEAVE_TYPES[SYMBOL],T_LEAVE[[#This Row],[LEAVE TYPE SYS ID]]),"")</f>
        <v>C</v>
      </c>
      <c r="K626">
        <f ca="1">IF(T_LEAVE[[#This Row],[EMPLOYEE]]="","",IF(T_LEAVE[[#This Row],[ERROR]]="",0,1))</f>
        <v>0</v>
      </c>
      <c r="L626" t="str" cm="1">
        <f t="array" aca="1" ref="L62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7" spans="1:12">
      <c r="A627" t="s">
        <v>2316</v>
      </c>
      <c r="B627" t="s">
        <v>1954</v>
      </c>
      <c r="C627" t="s">
        <v>2339</v>
      </c>
      <c r="D627" t="s">
        <v>92</v>
      </c>
      <c r="E627">
        <v>5</v>
      </c>
      <c r="F627" s="1"/>
      <c r="G627" s="1"/>
      <c r="H627">
        <f ca="1">IF(T_LEAVE[[#This Row],[EMPLOYEE]]="","",MATCH(T_LEAVE[[#This Row],[EMPLOYEE]],L_EMPLABELS,0))</f>
        <v>201</v>
      </c>
      <c r="I627">
        <f ca="1">IF(T_LEAVE[[#This Row],[EMPLOYEE]]="","",MATCH(T_LEAVE[[#This Row],[LEAVE TYPE]],L_LEAVETYPES,0))</f>
        <v>6</v>
      </c>
      <c r="J627" t="str" cm="1">
        <f t="array" aca="1" ref="J627" ca="1">IFERROR(INDEX(T_LEAVE_TYPES[SYMBOL],T_LEAVE[[#This Row],[LEAVE TYPE SYS ID]]),"")</f>
        <v>PR</v>
      </c>
      <c r="K627">
        <f ca="1">IF(T_LEAVE[[#This Row],[EMPLOYEE]]="","",IF(T_LEAVE[[#This Row],[ERROR]]="",0,1))</f>
        <v>0</v>
      </c>
      <c r="L627" t="str" cm="1">
        <f t="array" aca="1" ref="L62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8" spans="1:12">
      <c r="A628" t="s">
        <v>2316</v>
      </c>
      <c r="B628" t="s">
        <v>1955</v>
      </c>
      <c r="C628" t="s">
        <v>1955</v>
      </c>
      <c r="D628" t="s">
        <v>92</v>
      </c>
      <c r="E628">
        <v>1</v>
      </c>
      <c r="F628" s="1"/>
      <c r="G628" s="1"/>
      <c r="H628">
        <f ca="1">IF(T_LEAVE[[#This Row],[EMPLOYEE]]="","",MATCH(T_LEAVE[[#This Row],[EMPLOYEE]],L_EMPLABELS,0))</f>
        <v>201</v>
      </c>
      <c r="I628">
        <f ca="1">IF(T_LEAVE[[#This Row],[EMPLOYEE]]="","",MATCH(T_LEAVE[[#This Row],[LEAVE TYPE]],L_LEAVETYPES,0))</f>
        <v>6</v>
      </c>
      <c r="J628" t="str" cm="1">
        <f t="array" aca="1" ref="J628" ca="1">IFERROR(INDEX(T_LEAVE_TYPES[SYMBOL],T_LEAVE[[#This Row],[LEAVE TYPE SYS ID]]),"")</f>
        <v>PR</v>
      </c>
      <c r="K628">
        <f ca="1">IF(T_LEAVE[[#This Row],[EMPLOYEE]]="","",IF(T_LEAVE[[#This Row],[ERROR]]="",0,1))</f>
        <v>0</v>
      </c>
      <c r="L628" t="str" cm="1">
        <f t="array" aca="1" ref="L62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9" spans="1:12">
      <c r="A629" t="s">
        <v>2301</v>
      </c>
      <c r="B629" t="s">
        <v>2140</v>
      </c>
      <c r="C629" t="s">
        <v>2140</v>
      </c>
      <c r="D629" t="s">
        <v>98</v>
      </c>
      <c r="E629">
        <v>1</v>
      </c>
      <c r="F629" s="1"/>
      <c r="G629" s="1"/>
      <c r="H629">
        <f ca="1">IF(T_LEAVE[[#This Row],[EMPLOYEE]]="","",MATCH(T_LEAVE[[#This Row],[EMPLOYEE]],L_EMPLABELS,0))</f>
        <v>376</v>
      </c>
      <c r="I629">
        <f ca="1">IF(T_LEAVE[[#This Row],[EMPLOYEE]]="","",MATCH(T_LEAVE[[#This Row],[LEAVE TYPE]],L_LEAVETYPES,0))</f>
        <v>7</v>
      </c>
      <c r="J629" t="str" cm="1">
        <f t="array" aca="1" ref="J629" ca="1">IFERROR(INDEX(T_LEAVE_TYPES[SYMBOL],T_LEAVE[[#This Row],[LEAVE TYPE SYS ID]]),"")</f>
        <v>C</v>
      </c>
      <c r="K629">
        <f ca="1">IF(T_LEAVE[[#This Row],[EMPLOYEE]]="","",IF(T_LEAVE[[#This Row],[ERROR]]="",0,1))</f>
        <v>0</v>
      </c>
      <c r="L629" t="str" cm="1">
        <f t="array" aca="1" ref="L62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0" spans="1:12">
      <c r="A630" t="s">
        <v>2315</v>
      </c>
      <c r="B630" t="s">
        <v>2103</v>
      </c>
      <c r="C630" t="s">
        <v>2103</v>
      </c>
      <c r="D630" t="s">
        <v>98</v>
      </c>
      <c r="E630">
        <v>1</v>
      </c>
      <c r="F630" s="1"/>
      <c r="G630" s="1"/>
      <c r="H630">
        <f ca="1">IF(T_LEAVE[[#This Row],[EMPLOYEE]]="","",MATCH(T_LEAVE[[#This Row],[EMPLOYEE]],L_EMPLABELS,0))</f>
        <v>183</v>
      </c>
      <c r="I630">
        <f ca="1">IF(T_LEAVE[[#This Row],[EMPLOYEE]]="","",MATCH(T_LEAVE[[#This Row],[LEAVE TYPE]],L_LEAVETYPES,0))</f>
        <v>7</v>
      </c>
      <c r="J630" t="str" cm="1">
        <f t="array" aca="1" ref="J630" ca="1">IFERROR(INDEX(T_LEAVE_TYPES[SYMBOL],T_LEAVE[[#This Row],[LEAVE TYPE SYS ID]]),"")</f>
        <v>C</v>
      </c>
      <c r="K630">
        <f ca="1">IF(T_LEAVE[[#This Row],[EMPLOYEE]]="","",IF(T_LEAVE[[#This Row],[ERROR]]="",0,1))</f>
        <v>0</v>
      </c>
      <c r="L630" t="str" cm="1">
        <f t="array" aca="1" ref="L63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1" spans="1:12">
      <c r="A631" t="s">
        <v>2312</v>
      </c>
      <c r="B631" t="s">
        <v>2164</v>
      </c>
      <c r="C631" t="s">
        <v>2340</v>
      </c>
      <c r="D631" t="s">
        <v>98</v>
      </c>
      <c r="E631">
        <v>2</v>
      </c>
      <c r="F631" s="1"/>
      <c r="G631" s="1"/>
      <c r="H631">
        <f ca="1">IF(T_LEAVE[[#This Row],[EMPLOYEE]]="","",MATCH(T_LEAVE[[#This Row],[EMPLOYEE]],L_EMPLABELS,0))</f>
        <v>335</v>
      </c>
      <c r="I631">
        <f ca="1">IF(T_LEAVE[[#This Row],[EMPLOYEE]]="","",MATCH(T_LEAVE[[#This Row],[LEAVE TYPE]],L_LEAVETYPES,0))</f>
        <v>7</v>
      </c>
      <c r="J631" t="str" cm="1">
        <f t="array" aca="1" ref="J631" ca="1">IFERROR(INDEX(T_LEAVE_TYPES[SYMBOL],T_LEAVE[[#This Row],[LEAVE TYPE SYS ID]]),"")</f>
        <v>C</v>
      </c>
      <c r="K631">
        <f ca="1">IF(T_LEAVE[[#This Row],[EMPLOYEE]]="","",IF(T_LEAVE[[#This Row],[ERROR]]="",0,1))</f>
        <v>0</v>
      </c>
      <c r="L631" t="str" cm="1">
        <f t="array" aca="1" ref="L63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2" spans="1:12">
      <c r="A632" t="s">
        <v>2305</v>
      </c>
      <c r="B632" t="s">
        <v>2103</v>
      </c>
      <c r="C632" t="s">
        <v>2103</v>
      </c>
      <c r="D632" t="s">
        <v>92</v>
      </c>
      <c r="E632">
        <v>1</v>
      </c>
      <c r="F632" s="1"/>
      <c r="G632" s="1"/>
      <c r="H632">
        <f ca="1">IF(T_LEAVE[[#This Row],[EMPLOYEE]]="","",MATCH(T_LEAVE[[#This Row],[EMPLOYEE]],L_EMPLABELS,0))</f>
        <v>387</v>
      </c>
      <c r="I632">
        <f ca="1">IF(T_LEAVE[[#This Row],[EMPLOYEE]]="","",MATCH(T_LEAVE[[#This Row],[LEAVE TYPE]],L_LEAVETYPES,0))</f>
        <v>6</v>
      </c>
      <c r="J632" t="str" cm="1">
        <f t="array" aca="1" ref="J632" ca="1">IFERROR(INDEX(T_LEAVE_TYPES[SYMBOL],T_LEAVE[[#This Row],[LEAVE TYPE SYS ID]]),"")</f>
        <v>PR</v>
      </c>
      <c r="K632">
        <f ca="1">IF(T_LEAVE[[#This Row],[EMPLOYEE]]="","",IF(T_LEAVE[[#This Row],[ERROR]]="",0,1))</f>
        <v>0</v>
      </c>
      <c r="L632" t="str" cm="1">
        <f t="array" aca="1" ref="L63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3" spans="1:12">
      <c r="A633" t="s">
        <v>2310</v>
      </c>
      <c r="B633" t="s">
        <v>2103</v>
      </c>
      <c r="C633" t="s">
        <v>2103</v>
      </c>
      <c r="D633" t="s">
        <v>98</v>
      </c>
      <c r="E633">
        <v>1</v>
      </c>
      <c r="F633" s="1"/>
      <c r="G633" s="1"/>
      <c r="H633">
        <f ca="1">IF(T_LEAVE[[#This Row],[EMPLOYEE]]="","",MATCH(T_LEAVE[[#This Row],[EMPLOYEE]],L_EMPLABELS,0))</f>
        <v>121</v>
      </c>
      <c r="I633">
        <f ca="1">IF(T_LEAVE[[#This Row],[EMPLOYEE]]="","",MATCH(T_LEAVE[[#This Row],[LEAVE TYPE]],L_LEAVETYPES,0))</f>
        <v>7</v>
      </c>
      <c r="J633" t="str" cm="1">
        <f t="array" aca="1" ref="J633" ca="1">IFERROR(INDEX(T_LEAVE_TYPES[SYMBOL],T_LEAVE[[#This Row],[LEAVE TYPE SYS ID]]),"")</f>
        <v>C</v>
      </c>
      <c r="K633">
        <f ca="1">IF(T_LEAVE[[#This Row],[EMPLOYEE]]="","",IF(T_LEAVE[[#This Row],[ERROR]]="",0,1))</f>
        <v>0</v>
      </c>
      <c r="L633" t="str" cm="1">
        <f t="array" aca="1" ref="L63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4" spans="1:12">
      <c r="A634" t="s">
        <v>2310</v>
      </c>
      <c r="B634" t="s">
        <v>1973</v>
      </c>
      <c r="C634" t="s">
        <v>1973</v>
      </c>
      <c r="D634" t="s">
        <v>98</v>
      </c>
      <c r="E634">
        <v>1</v>
      </c>
      <c r="F634" s="1"/>
      <c r="G634" s="1"/>
      <c r="H634">
        <f ca="1">IF(T_LEAVE[[#This Row],[EMPLOYEE]]="","",MATCH(T_LEAVE[[#This Row],[EMPLOYEE]],L_EMPLABELS,0))</f>
        <v>121</v>
      </c>
      <c r="I634">
        <f ca="1">IF(T_LEAVE[[#This Row],[EMPLOYEE]]="","",MATCH(T_LEAVE[[#This Row],[LEAVE TYPE]],L_LEAVETYPES,0))</f>
        <v>7</v>
      </c>
      <c r="J634" t="str" cm="1">
        <f t="array" aca="1" ref="J634" ca="1">IFERROR(INDEX(T_LEAVE_TYPES[SYMBOL],T_LEAVE[[#This Row],[LEAVE TYPE SYS ID]]),"")</f>
        <v>C</v>
      </c>
      <c r="K634">
        <f ca="1">IF(T_LEAVE[[#This Row],[EMPLOYEE]]="","",IF(T_LEAVE[[#This Row],[ERROR]]="",0,1))</f>
        <v>0</v>
      </c>
      <c r="L634" t="str" cm="1">
        <f t="array" aca="1" ref="L63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5" spans="1:12">
      <c r="A635" t="s">
        <v>2301</v>
      </c>
      <c r="B635" t="s">
        <v>1975</v>
      </c>
      <c r="C635" t="s">
        <v>1975</v>
      </c>
      <c r="D635" t="s">
        <v>98</v>
      </c>
      <c r="E635">
        <v>1</v>
      </c>
      <c r="F635" s="1"/>
      <c r="G635" s="1"/>
      <c r="H635">
        <f ca="1">IF(T_LEAVE[[#This Row],[EMPLOYEE]]="","",MATCH(T_LEAVE[[#This Row],[EMPLOYEE]],L_EMPLABELS,0))</f>
        <v>376</v>
      </c>
      <c r="I635">
        <f ca="1">IF(T_LEAVE[[#This Row],[EMPLOYEE]]="","",MATCH(T_LEAVE[[#This Row],[LEAVE TYPE]],L_LEAVETYPES,0))</f>
        <v>7</v>
      </c>
      <c r="J635" t="str" cm="1">
        <f t="array" aca="1" ref="J635" ca="1">IFERROR(INDEX(T_LEAVE_TYPES[SYMBOL],T_LEAVE[[#This Row],[LEAVE TYPE SYS ID]]),"")</f>
        <v>C</v>
      </c>
      <c r="K635">
        <f ca="1">IF(T_LEAVE[[#This Row],[EMPLOYEE]]="","",IF(T_LEAVE[[#This Row],[ERROR]]="",0,1))</f>
        <v>0</v>
      </c>
      <c r="L635" t="str" cm="1">
        <f t="array" aca="1" ref="L63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6" spans="1:12">
      <c r="A636" t="s">
        <v>2311</v>
      </c>
      <c r="B636" t="s">
        <v>2341</v>
      </c>
      <c r="C636" t="s">
        <v>2341</v>
      </c>
      <c r="D636" t="s">
        <v>98</v>
      </c>
      <c r="E636">
        <v>1</v>
      </c>
      <c r="F636" s="1"/>
      <c r="G636" s="1"/>
      <c r="H636">
        <f ca="1">IF(T_LEAVE[[#This Row],[EMPLOYEE]]="","",MATCH(T_LEAVE[[#This Row],[EMPLOYEE]],L_EMPLABELS,0))</f>
        <v>330</v>
      </c>
      <c r="I636">
        <f ca="1">IF(T_LEAVE[[#This Row],[EMPLOYEE]]="","",MATCH(T_LEAVE[[#This Row],[LEAVE TYPE]],L_LEAVETYPES,0))</f>
        <v>7</v>
      </c>
      <c r="J636" t="str" cm="1">
        <f t="array" aca="1" ref="J636" ca="1">IFERROR(INDEX(T_LEAVE_TYPES[SYMBOL],T_LEAVE[[#This Row],[LEAVE TYPE SYS ID]]),"")</f>
        <v>C</v>
      </c>
      <c r="K636">
        <f ca="1">IF(T_LEAVE[[#This Row],[EMPLOYEE]]="","",IF(T_LEAVE[[#This Row],[ERROR]]="",0,1))</f>
        <v>0</v>
      </c>
      <c r="L636" t="str" cm="1">
        <f t="array" aca="1" ref="L63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7" spans="1:12">
      <c r="A637" t="s">
        <v>2311</v>
      </c>
      <c r="B637" t="s">
        <v>2170</v>
      </c>
      <c r="C637" t="s">
        <v>2170</v>
      </c>
      <c r="D637" t="s">
        <v>98</v>
      </c>
      <c r="E637">
        <v>1</v>
      </c>
      <c r="F637" s="1"/>
      <c r="G637" s="1"/>
      <c r="H637">
        <f ca="1">IF(T_LEAVE[[#This Row],[EMPLOYEE]]="","",MATCH(T_LEAVE[[#This Row],[EMPLOYEE]],L_EMPLABELS,0))</f>
        <v>330</v>
      </c>
      <c r="I637">
        <f ca="1">IF(T_LEAVE[[#This Row],[EMPLOYEE]]="","",MATCH(T_LEAVE[[#This Row],[LEAVE TYPE]],L_LEAVETYPES,0))</f>
        <v>7</v>
      </c>
      <c r="J637" t="str" cm="1">
        <f t="array" aca="1" ref="J637" ca="1">IFERROR(INDEX(T_LEAVE_TYPES[SYMBOL],T_LEAVE[[#This Row],[LEAVE TYPE SYS ID]]),"")</f>
        <v>C</v>
      </c>
      <c r="K637">
        <f ca="1">IF(T_LEAVE[[#This Row],[EMPLOYEE]]="","",IF(T_LEAVE[[#This Row],[ERROR]]="",0,1))</f>
        <v>0</v>
      </c>
      <c r="L637" t="str" cm="1">
        <f t="array" aca="1" ref="L63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8" spans="1:12">
      <c r="A638" t="s">
        <v>2312</v>
      </c>
      <c r="B638" t="s">
        <v>2156</v>
      </c>
      <c r="C638" t="s">
        <v>2156</v>
      </c>
      <c r="D638" t="s">
        <v>98</v>
      </c>
      <c r="E638">
        <v>1</v>
      </c>
      <c r="F638" s="1"/>
      <c r="G638" s="1"/>
      <c r="H638">
        <f ca="1">IF(T_LEAVE[[#This Row],[EMPLOYEE]]="","",MATCH(T_LEAVE[[#This Row],[EMPLOYEE]],L_EMPLABELS,0))</f>
        <v>335</v>
      </c>
      <c r="I638">
        <f ca="1">IF(T_LEAVE[[#This Row],[EMPLOYEE]]="","",MATCH(T_LEAVE[[#This Row],[LEAVE TYPE]],L_LEAVETYPES,0))</f>
        <v>7</v>
      </c>
      <c r="J638" t="str" cm="1">
        <f t="array" aca="1" ref="J638" ca="1">IFERROR(INDEX(T_LEAVE_TYPES[SYMBOL],T_LEAVE[[#This Row],[LEAVE TYPE SYS ID]]),"")</f>
        <v>C</v>
      </c>
      <c r="K638">
        <f ca="1">IF(T_LEAVE[[#This Row],[EMPLOYEE]]="","",IF(T_LEAVE[[#This Row],[ERROR]]="",0,1))</f>
        <v>0</v>
      </c>
      <c r="L638" t="str" cm="1">
        <f t="array" aca="1" ref="L63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9" spans="1:12">
      <c r="A639" t="s">
        <v>2310</v>
      </c>
      <c r="B639" t="s">
        <v>2147</v>
      </c>
      <c r="C639" t="s">
        <v>2147</v>
      </c>
      <c r="D639" t="s">
        <v>98</v>
      </c>
      <c r="E639">
        <v>1</v>
      </c>
      <c r="F639" s="1"/>
      <c r="G639" s="1"/>
      <c r="H639">
        <f ca="1">IF(T_LEAVE[[#This Row],[EMPLOYEE]]="","",MATCH(T_LEAVE[[#This Row],[EMPLOYEE]],L_EMPLABELS,0))</f>
        <v>121</v>
      </c>
      <c r="I639">
        <f ca="1">IF(T_LEAVE[[#This Row],[EMPLOYEE]]="","",MATCH(T_LEAVE[[#This Row],[LEAVE TYPE]],L_LEAVETYPES,0))</f>
        <v>7</v>
      </c>
      <c r="J639" t="str" cm="1">
        <f t="array" aca="1" ref="J639" ca="1">IFERROR(INDEX(T_LEAVE_TYPES[SYMBOL],T_LEAVE[[#This Row],[LEAVE TYPE SYS ID]]),"")</f>
        <v>C</v>
      </c>
      <c r="K639">
        <f ca="1">IF(T_LEAVE[[#This Row],[EMPLOYEE]]="","",IF(T_LEAVE[[#This Row],[ERROR]]="",0,1))</f>
        <v>0</v>
      </c>
      <c r="L639" t="str" cm="1">
        <f t="array" aca="1" ref="L63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0" spans="1:12">
      <c r="A640" t="s">
        <v>2316</v>
      </c>
      <c r="B640" t="s">
        <v>2342</v>
      </c>
      <c r="C640" t="s">
        <v>2343</v>
      </c>
      <c r="D640" t="s">
        <v>98</v>
      </c>
      <c r="E640">
        <v>2</v>
      </c>
      <c r="F640" s="1"/>
      <c r="G640" s="1"/>
      <c r="H640">
        <f ca="1">IF(T_LEAVE[[#This Row],[EMPLOYEE]]="","",MATCH(T_LEAVE[[#This Row],[EMPLOYEE]],L_EMPLABELS,0))</f>
        <v>201</v>
      </c>
      <c r="I640">
        <f ca="1">IF(T_LEAVE[[#This Row],[EMPLOYEE]]="","",MATCH(T_LEAVE[[#This Row],[LEAVE TYPE]],L_LEAVETYPES,0))</f>
        <v>7</v>
      </c>
      <c r="J640" t="str" cm="1">
        <f t="array" aca="1" ref="J640" ca="1">IFERROR(INDEX(T_LEAVE_TYPES[SYMBOL],T_LEAVE[[#This Row],[LEAVE TYPE SYS ID]]),"")</f>
        <v>C</v>
      </c>
      <c r="K640">
        <f ca="1">IF(T_LEAVE[[#This Row],[EMPLOYEE]]="","",IF(T_LEAVE[[#This Row],[ERROR]]="",0,1))</f>
        <v>0</v>
      </c>
      <c r="L640" t="str" cm="1">
        <f t="array" aca="1" ref="L64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1" spans="1:12">
      <c r="A641" t="s">
        <v>2307</v>
      </c>
      <c r="B641" t="s">
        <v>2170</v>
      </c>
      <c r="C641" t="s">
        <v>2170</v>
      </c>
      <c r="D641" t="s">
        <v>98</v>
      </c>
      <c r="E641">
        <v>1</v>
      </c>
      <c r="F641" s="1"/>
      <c r="G641" s="1"/>
      <c r="H641">
        <f ca="1">IF(T_LEAVE[[#This Row],[EMPLOYEE]]="","",MATCH(T_LEAVE[[#This Row],[EMPLOYEE]],L_EMPLABELS,0))</f>
        <v>441</v>
      </c>
      <c r="I641">
        <f ca="1">IF(T_LEAVE[[#This Row],[EMPLOYEE]]="","",MATCH(T_LEAVE[[#This Row],[LEAVE TYPE]],L_LEAVETYPES,0))</f>
        <v>7</v>
      </c>
      <c r="J641" t="str" cm="1">
        <f t="array" aca="1" ref="J641" ca="1">IFERROR(INDEX(T_LEAVE_TYPES[SYMBOL],T_LEAVE[[#This Row],[LEAVE TYPE SYS ID]]),"")</f>
        <v>C</v>
      </c>
      <c r="K641">
        <f ca="1">IF(T_LEAVE[[#This Row],[EMPLOYEE]]="","",IF(T_LEAVE[[#This Row],[ERROR]]="",0,1))</f>
        <v>0</v>
      </c>
      <c r="L641" t="str" cm="1">
        <f t="array" aca="1" ref="L64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2" spans="1:12">
      <c r="A642" t="s">
        <v>2305</v>
      </c>
      <c r="B642" t="s">
        <v>2170</v>
      </c>
      <c r="C642" t="s">
        <v>2170</v>
      </c>
      <c r="D642" t="s">
        <v>92</v>
      </c>
      <c r="E642">
        <v>1</v>
      </c>
      <c r="F642" s="1"/>
      <c r="G642" s="1"/>
      <c r="H642">
        <f ca="1">IF(T_LEAVE[[#This Row],[EMPLOYEE]]="","",MATCH(T_LEAVE[[#This Row],[EMPLOYEE]],L_EMPLABELS,0))</f>
        <v>387</v>
      </c>
      <c r="I642">
        <f ca="1">IF(T_LEAVE[[#This Row],[EMPLOYEE]]="","",MATCH(T_LEAVE[[#This Row],[LEAVE TYPE]],L_LEAVETYPES,0))</f>
        <v>6</v>
      </c>
      <c r="J642" t="str" cm="1">
        <f t="array" aca="1" ref="J642" ca="1">IFERROR(INDEX(T_LEAVE_TYPES[SYMBOL],T_LEAVE[[#This Row],[LEAVE TYPE SYS ID]]),"")</f>
        <v>PR</v>
      </c>
      <c r="K642">
        <f ca="1">IF(T_LEAVE[[#This Row],[EMPLOYEE]]="","",IF(T_LEAVE[[#This Row],[ERROR]]="",0,1))</f>
        <v>0</v>
      </c>
      <c r="L642" t="str" cm="1">
        <f t="array" aca="1" ref="L64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3" spans="1:12">
      <c r="A643" t="s">
        <v>2316</v>
      </c>
      <c r="B643" t="s">
        <v>2344</v>
      </c>
      <c r="C643" t="s">
        <v>2345</v>
      </c>
      <c r="D643" t="s">
        <v>92</v>
      </c>
      <c r="E643">
        <v>2</v>
      </c>
      <c r="F643" s="1"/>
      <c r="G643" s="1"/>
      <c r="H643">
        <f ca="1">IF(T_LEAVE[[#This Row],[EMPLOYEE]]="","",MATCH(T_LEAVE[[#This Row],[EMPLOYEE]],L_EMPLABELS,0))</f>
        <v>201</v>
      </c>
      <c r="I643">
        <f ca="1">IF(T_LEAVE[[#This Row],[EMPLOYEE]]="","",MATCH(T_LEAVE[[#This Row],[LEAVE TYPE]],L_LEAVETYPES,0))</f>
        <v>6</v>
      </c>
      <c r="J643" t="str" cm="1">
        <f t="array" aca="1" ref="J643" ca="1">IFERROR(INDEX(T_LEAVE_TYPES[SYMBOL],T_LEAVE[[#This Row],[LEAVE TYPE SYS ID]]),"")</f>
        <v>PR</v>
      </c>
      <c r="K643">
        <f ca="1">IF(T_LEAVE[[#This Row],[EMPLOYEE]]="","",IF(T_LEAVE[[#This Row],[ERROR]]="",0,1))</f>
        <v>0</v>
      </c>
      <c r="L643" t="str" cm="1">
        <f t="array" aca="1" ref="L64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4" spans="1:12">
      <c r="A644" t="s">
        <v>2310</v>
      </c>
      <c r="B644" t="s">
        <v>2194</v>
      </c>
      <c r="C644" t="s">
        <v>2194</v>
      </c>
      <c r="D644" t="s">
        <v>98</v>
      </c>
      <c r="E644">
        <v>1</v>
      </c>
      <c r="F644" s="1"/>
      <c r="G644" s="1"/>
      <c r="H644">
        <f ca="1">IF(T_LEAVE[[#This Row],[EMPLOYEE]]="","",MATCH(T_LEAVE[[#This Row],[EMPLOYEE]],L_EMPLABELS,0))</f>
        <v>121</v>
      </c>
      <c r="I644">
        <f ca="1">IF(T_LEAVE[[#This Row],[EMPLOYEE]]="","",MATCH(T_LEAVE[[#This Row],[LEAVE TYPE]],L_LEAVETYPES,0))</f>
        <v>7</v>
      </c>
      <c r="J644" t="str" cm="1">
        <f t="array" aca="1" ref="J644" ca="1">IFERROR(INDEX(T_LEAVE_TYPES[SYMBOL],T_LEAVE[[#This Row],[LEAVE TYPE SYS ID]]),"")</f>
        <v>C</v>
      </c>
      <c r="K644">
        <f ca="1">IF(T_LEAVE[[#This Row],[EMPLOYEE]]="","",IF(T_LEAVE[[#This Row],[ERROR]]="",0,1))</f>
        <v>0</v>
      </c>
      <c r="L644" t="str" cm="1">
        <f t="array" aca="1" ref="L64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5" spans="1:12">
      <c r="A645" t="s">
        <v>2301</v>
      </c>
      <c r="B645" t="s">
        <v>2194</v>
      </c>
      <c r="C645" t="s">
        <v>2194</v>
      </c>
      <c r="D645" t="s">
        <v>98</v>
      </c>
      <c r="E645">
        <v>1</v>
      </c>
      <c r="F645" s="1"/>
      <c r="G645" s="1"/>
      <c r="H645">
        <f ca="1">IF(T_LEAVE[[#This Row],[EMPLOYEE]]="","",MATCH(T_LEAVE[[#This Row],[EMPLOYEE]],L_EMPLABELS,0))</f>
        <v>376</v>
      </c>
      <c r="I645">
        <f ca="1">IF(T_LEAVE[[#This Row],[EMPLOYEE]]="","",MATCH(T_LEAVE[[#This Row],[LEAVE TYPE]],L_LEAVETYPES,0))</f>
        <v>7</v>
      </c>
      <c r="J645" t="str" cm="1">
        <f t="array" aca="1" ref="J645" ca="1">IFERROR(INDEX(T_LEAVE_TYPES[SYMBOL],T_LEAVE[[#This Row],[LEAVE TYPE SYS ID]]),"")</f>
        <v>C</v>
      </c>
      <c r="K645">
        <f ca="1">IF(T_LEAVE[[#This Row],[EMPLOYEE]]="","",IF(T_LEAVE[[#This Row],[ERROR]]="",0,1))</f>
        <v>0</v>
      </c>
      <c r="L645" t="str" cm="1">
        <f t="array" aca="1" ref="L64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6" spans="1:12">
      <c r="A646" t="s">
        <v>2305</v>
      </c>
      <c r="B646" t="s">
        <v>2346</v>
      </c>
      <c r="C646" t="s">
        <v>2346</v>
      </c>
      <c r="D646" t="s">
        <v>98</v>
      </c>
      <c r="E646">
        <v>1</v>
      </c>
      <c r="F646" s="1"/>
      <c r="G646" s="1"/>
      <c r="H646">
        <f ca="1">IF(T_LEAVE[[#This Row],[EMPLOYEE]]="","",MATCH(T_LEAVE[[#This Row],[EMPLOYEE]],L_EMPLABELS,0))</f>
        <v>387</v>
      </c>
      <c r="I646">
        <f ca="1">IF(T_LEAVE[[#This Row],[EMPLOYEE]]="","",MATCH(T_LEAVE[[#This Row],[LEAVE TYPE]],L_LEAVETYPES,0))</f>
        <v>7</v>
      </c>
      <c r="J646" t="str" cm="1">
        <f t="array" aca="1" ref="J646" ca="1">IFERROR(INDEX(T_LEAVE_TYPES[SYMBOL],T_LEAVE[[#This Row],[LEAVE TYPE SYS ID]]),"")</f>
        <v>C</v>
      </c>
      <c r="K646">
        <f ca="1">IF(T_LEAVE[[#This Row],[EMPLOYEE]]="","",IF(T_LEAVE[[#This Row],[ERROR]]="",0,1))</f>
        <v>0</v>
      </c>
      <c r="L646" t="str" cm="1">
        <f t="array" aca="1" ref="L64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7" spans="1:12">
      <c r="A647" t="s">
        <v>2316</v>
      </c>
      <c r="B647" t="s">
        <v>2347</v>
      </c>
      <c r="C647" t="s">
        <v>2176</v>
      </c>
      <c r="D647" t="s">
        <v>98</v>
      </c>
      <c r="E647">
        <v>2</v>
      </c>
      <c r="F647" s="1"/>
      <c r="G647" s="1"/>
      <c r="H647">
        <f ca="1">IF(T_LEAVE[[#This Row],[EMPLOYEE]]="","",MATCH(T_LEAVE[[#This Row],[EMPLOYEE]],L_EMPLABELS,0))</f>
        <v>201</v>
      </c>
      <c r="I647">
        <f ca="1">IF(T_LEAVE[[#This Row],[EMPLOYEE]]="","",MATCH(T_LEAVE[[#This Row],[LEAVE TYPE]],L_LEAVETYPES,0))</f>
        <v>7</v>
      </c>
      <c r="J647" t="str" cm="1">
        <f t="array" aca="1" ref="J647" ca="1">IFERROR(INDEX(T_LEAVE_TYPES[SYMBOL],T_LEAVE[[#This Row],[LEAVE TYPE SYS ID]]),"")</f>
        <v>C</v>
      </c>
      <c r="K647">
        <f ca="1">IF(T_LEAVE[[#This Row],[EMPLOYEE]]="","",IF(T_LEAVE[[#This Row],[ERROR]]="",0,1))</f>
        <v>0</v>
      </c>
      <c r="L647" t="str" cm="1">
        <f t="array" aca="1" ref="L64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8" spans="1:12">
      <c r="A648" t="s">
        <v>2307</v>
      </c>
      <c r="B648" t="s">
        <v>2346</v>
      </c>
      <c r="C648" t="s">
        <v>2346</v>
      </c>
      <c r="D648" t="s">
        <v>98</v>
      </c>
      <c r="E648">
        <v>1</v>
      </c>
      <c r="F648" s="1"/>
      <c r="G648" s="1"/>
      <c r="H648">
        <f ca="1">IF(T_LEAVE[[#This Row],[EMPLOYEE]]="","",MATCH(T_LEAVE[[#This Row],[EMPLOYEE]],L_EMPLABELS,0))</f>
        <v>441</v>
      </c>
      <c r="I648">
        <f ca="1">IF(T_LEAVE[[#This Row],[EMPLOYEE]]="","",MATCH(T_LEAVE[[#This Row],[LEAVE TYPE]],L_LEAVETYPES,0))</f>
        <v>7</v>
      </c>
      <c r="J648" t="str" cm="1">
        <f t="array" aca="1" ref="J648" ca="1">IFERROR(INDEX(T_LEAVE_TYPES[SYMBOL],T_LEAVE[[#This Row],[LEAVE TYPE SYS ID]]),"")</f>
        <v>C</v>
      </c>
      <c r="K648">
        <f ca="1">IF(T_LEAVE[[#This Row],[EMPLOYEE]]="","",IF(T_LEAVE[[#This Row],[ERROR]]="",0,1))</f>
        <v>0</v>
      </c>
      <c r="L648" t="str" cm="1">
        <f t="array" aca="1" ref="L64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9" spans="1:12">
      <c r="A649" t="s">
        <v>2305</v>
      </c>
      <c r="B649" t="s">
        <v>2348</v>
      </c>
      <c r="C649" t="s">
        <v>2348</v>
      </c>
      <c r="D649" t="s">
        <v>98</v>
      </c>
      <c r="E649">
        <v>1</v>
      </c>
      <c r="F649" s="1"/>
      <c r="G649" s="1"/>
      <c r="H649">
        <f ca="1">IF(T_LEAVE[[#This Row],[EMPLOYEE]]="","",MATCH(T_LEAVE[[#This Row],[EMPLOYEE]],L_EMPLABELS,0))</f>
        <v>387</v>
      </c>
      <c r="I649">
        <f ca="1">IF(T_LEAVE[[#This Row],[EMPLOYEE]]="","",MATCH(T_LEAVE[[#This Row],[LEAVE TYPE]],L_LEAVETYPES,0))</f>
        <v>7</v>
      </c>
      <c r="J649" t="str" cm="1">
        <f t="array" aca="1" ref="J649" ca="1">IFERROR(INDEX(T_LEAVE_TYPES[SYMBOL],T_LEAVE[[#This Row],[LEAVE TYPE SYS ID]]),"")</f>
        <v>C</v>
      </c>
      <c r="K649">
        <f ca="1">IF(T_LEAVE[[#This Row],[EMPLOYEE]]="","",IF(T_LEAVE[[#This Row],[ERROR]]="",0,1))</f>
        <v>0</v>
      </c>
      <c r="L649" t="str" cm="1">
        <f t="array" aca="1" ref="L64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0" spans="1:12">
      <c r="A650" t="s">
        <v>2312</v>
      </c>
      <c r="B650" t="s">
        <v>2175</v>
      </c>
      <c r="C650" t="s">
        <v>2175</v>
      </c>
      <c r="D650" t="s">
        <v>92</v>
      </c>
      <c r="E650">
        <v>1</v>
      </c>
      <c r="F650" s="1"/>
      <c r="G650" s="1"/>
      <c r="H650">
        <f ca="1">IF(T_LEAVE[[#This Row],[EMPLOYEE]]="","",MATCH(T_LEAVE[[#This Row],[EMPLOYEE]],L_EMPLABELS,0))</f>
        <v>335</v>
      </c>
      <c r="I650">
        <f ca="1">IF(T_LEAVE[[#This Row],[EMPLOYEE]]="","",MATCH(T_LEAVE[[#This Row],[LEAVE TYPE]],L_LEAVETYPES,0))</f>
        <v>6</v>
      </c>
      <c r="J650" t="str" cm="1">
        <f t="array" aca="1" ref="J650" ca="1">IFERROR(INDEX(T_LEAVE_TYPES[SYMBOL],T_LEAVE[[#This Row],[LEAVE TYPE SYS ID]]),"")</f>
        <v>PR</v>
      </c>
      <c r="K650">
        <f ca="1">IF(T_LEAVE[[#This Row],[EMPLOYEE]]="","",IF(T_LEAVE[[#This Row],[ERROR]]="",0,1))</f>
        <v>0</v>
      </c>
      <c r="L650" t="str" cm="1">
        <f t="array" aca="1" ref="L65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1" spans="1:12">
      <c r="A651" t="s">
        <v>2310</v>
      </c>
      <c r="B651" t="s">
        <v>2349</v>
      </c>
      <c r="C651" t="s">
        <v>2349</v>
      </c>
      <c r="D651" t="s">
        <v>98</v>
      </c>
      <c r="E651">
        <v>1</v>
      </c>
      <c r="F651" s="1"/>
      <c r="G651" s="1"/>
      <c r="H651">
        <f ca="1">IF(T_LEAVE[[#This Row],[EMPLOYEE]]="","",MATCH(T_LEAVE[[#This Row],[EMPLOYEE]],L_EMPLABELS,0))</f>
        <v>121</v>
      </c>
      <c r="I651">
        <f ca="1">IF(T_LEAVE[[#This Row],[EMPLOYEE]]="","",MATCH(T_LEAVE[[#This Row],[LEAVE TYPE]],L_LEAVETYPES,0))</f>
        <v>7</v>
      </c>
      <c r="J651" t="str" cm="1">
        <f t="array" aca="1" ref="J651" ca="1">IFERROR(INDEX(T_LEAVE_TYPES[SYMBOL],T_LEAVE[[#This Row],[LEAVE TYPE SYS ID]]),"")</f>
        <v>C</v>
      </c>
      <c r="K651">
        <f ca="1">IF(T_LEAVE[[#This Row],[EMPLOYEE]]="","",IF(T_LEAVE[[#This Row],[ERROR]]="",0,1))</f>
        <v>0</v>
      </c>
      <c r="L651" t="str" cm="1">
        <f t="array" aca="1" ref="L65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2" spans="1:12">
      <c r="A652" t="s">
        <v>2311</v>
      </c>
      <c r="B652" t="s">
        <v>2350</v>
      </c>
      <c r="C652" t="s">
        <v>2350</v>
      </c>
      <c r="D652" t="s">
        <v>98</v>
      </c>
      <c r="E652">
        <v>1</v>
      </c>
      <c r="F652" s="1"/>
      <c r="G652" s="1"/>
      <c r="H652">
        <f ca="1">IF(T_LEAVE[[#This Row],[EMPLOYEE]]="","",MATCH(T_LEAVE[[#This Row],[EMPLOYEE]],L_EMPLABELS,0))</f>
        <v>330</v>
      </c>
      <c r="I652">
        <f ca="1">IF(T_LEAVE[[#This Row],[EMPLOYEE]]="","",MATCH(T_LEAVE[[#This Row],[LEAVE TYPE]],L_LEAVETYPES,0))</f>
        <v>7</v>
      </c>
      <c r="J652" t="str" cm="1">
        <f t="array" aca="1" ref="J652" ca="1">IFERROR(INDEX(T_LEAVE_TYPES[SYMBOL],T_LEAVE[[#This Row],[LEAVE TYPE SYS ID]]),"")</f>
        <v>C</v>
      </c>
      <c r="K652">
        <f ca="1">IF(T_LEAVE[[#This Row],[EMPLOYEE]]="","",IF(T_LEAVE[[#This Row],[ERROR]]="",0,1))</f>
        <v>0</v>
      </c>
      <c r="L652" t="str" cm="1">
        <f t="array" aca="1" ref="L65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3" spans="1:12">
      <c r="A653" t="s">
        <v>2311</v>
      </c>
      <c r="B653" t="s">
        <v>2174</v>
      </c>
      <c r="C653" t="s">
        <v>2174</v>
      </c>
      <c r="D653" t="s">
        <v>98</v>
      </c>
      <c r="E653">
        <v>1</v>
      </c>
      <c r="F653" s="1"/>
      <c r="G653" s="1"/>
      <c r="H653">
        <f ca="1">IF(T_LEAVE[[#This Row],[EMPLOYEE]]="","",MATCH(T_LEAVE[[#This Row],[EMPLOYEE]],L_EMPLABELS,0))</f>
        <v>330</v>
      </c>
      <c r="I653">
        <f ca="1">IF(T_LEAVE[[#This Row],[EMPLOYEE]]="","",MATCH(T_LEAVE[[#This Row],[LEAVE TYPE]],L_LEAVETYPES,0))</f>
        <v>7</v>
      </c>
      <c r="J653" t="str" cm="1">
        <f t="array" aca="1" ref="J653" ca="1">IFERROR(INDEX(T_LEAVE_TYPES[SYMBOL],T_LEAVE[[#This Row],[LEAVE TYPE SYS ID]]),"")</f>
        <v>C</v>
      </c>
      <c r="K653">
        <f ca="1">IF(T_LEAVE[[#This Row],[EMPLOYEE]]="","",IF(T_LEAVE[[#This Row],[ERROR]]="",0,1))</f>
        <v>0</v>
      </c>
      <c r="L653" t="str" cm="1">
        <f t="array" aca="1" ref="L65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4" spans="1:12">
      <c r="A654" t="s">
        <v>2311</v>
      </c>
      <c r="B654" t="s">
        <v>2254</v>
      </c>
      <c r="C654" t="s">
        <v>2254</v>
      </c>
      <c r="D654" t="s">
        <v>98</v>
      </c>
      <c r="E654">
        <v>1</v>
      </c>
      <c r="F654" s="1"/>
      <c r="G654" s="1"/>
      <c r="H654">
        <f ca="1">IF(T_LEAVE[[#This Row],[EMPLOYEE]]="","",MATCH(T_LEAVE[[#This Row],[EMPLOYEE]],L_EMPLABELS,0))</f>
        <v>330</v>
      </c>
      <c r="I654">
        <f ca="1">IF(T_LEAVE[[#This Row],[EMPLOYEE]]="","",MATCH(T_LEAVE[[#This Row],[LEAVE TYPE]],L_LEAVETYPES,0))</f>
        <v>7</v>
      </c>
      <c r="J654" t="str" cm="1">
        <f t="array" aca="1" ref="J654" ca="1">IFERROR(INDEX(T_LEAVE_TYPES[SYMBOL],T_LEAVE[[#This Row],[LEAVE TYPE SYS ID]]),"")</f>
        <v>C</v>
      </c>
      <c r="K654">
        <f ca="1">IF(T_LEAVE[[#This Row],[EMPLOYEE]]="","",IF(T_LEAVE[[#This Row],[ERROR]]="",0,1))</f>
        <v>0</v>
      </c>
      <c r="L654" t="str" cm="1">
        <f t="array" aca="1" ref="L65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5" spans="1:12">
      <c r="A655" t="s">
        <v>2316</v>
      </c>
      <c r="B655" t="s">
        <v>2174</v>
      </c>
      <c r="C655" t="s">
        <v>2174</v>
      </c>
      <c r="D655" t="s">
        <v>92</v>
      </c>
      <c r="E655">
        <v>1</v>
      </c>
      <c r="F655" s="1"/>
      <c r="G655" s="1"/>
      <c r="H655">
        <f ca="1">IF(T_LEAVE[[#This Row],[EMPLOYEE]]="","",MATCH(T_LEAVE[[#This Row],[EMPLOYEE]],L_EMPLABELS,0))</f>
        <v>201</v>
      </c>
      <c r="I655">
        <f ca="1">IF(T_LEAVE[[#This Row],[EMPLOYEE]]="","",MATCH(T_LEAVE[[#This Row],[LEAVE TYPE]],L_LEAVETYPES,0))</f>
        <v>6</v>
      </c>
      <c r="J655" t="str" cm="1">
        <f t="array" aca="1" ref="J655" ca="1">IFERROR(INDEX(T_LEAVE_TYPES[SYMBOL],T_LEAVE[[#This Row],[LEAVE TYPE SYS ID]]),"")</f>
        <v>PR</v>
      </c>
      <c r="K655">
        <f ca="1">IF(T_LEAVE[[#This Row],[EMPLOYEE]]="","",IF(T_LEAVE[[#This Row],[ERROR]]="",0,1))</f>
        <v>0</v>
      </c>
      <c r="L655" t="str" cm="1">
        <f t="array" aca="1" ref="L65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6" spans="1:12">
      <c r="A656" t="s">
        <v>2305</v>
      </c>
      <c r="B656" t="s">
        <v>2351</v>
      </c>
      <c r="C656" t="s">
        <v>2351</v>
      </c>
      <c r="D656" t="s">
        <v>92</v>
      </c>
      <c r="E656">
        <v>1</v>
      </c>
      <c r="F656" s="1"/>
      <c r="G656" s="1"/>
      <c r="H656">
        <f ca="1">IF(T_LEAVE[[#This Row],[EMPLOYEE]]="","",MATCH(T_LEAVE[[#This Row],[EMPLOYEE]],L_EMPLABELS,0))</f>
        <v>387</v>
      </c>
      <c r="I656">
        <f ca="1">IF(T_LEAVE[[#This Row],[EMPLOYEE]]="","",MATCH(T_LEAVE[[#This Row],[LEAVE TYPE]],L_LEAVETYPES,0))</f>
        <v>6</v>
      </c>
      <c r="J656" t="str" cm="1">
        <f t="array" aca="1" ref="J656" ca="1">IFERROR(INDEX(T_LEAVE_TYPES[SYMBOL],T_LEAVE[[#This Row],[LEAVE TYPE SYS ID]]),"")</f>
        <v>PR</v>
      </c>
      <c r="K656">
        <f ca="1">IF(T_LEAVE[[#This Row],[EMPLOYEE]]="","",IF(T_LEAVE[[#This Row],[ERROR]]="",0,1))</f>
        <v>0</v>
      </c>
      <c r="L656" t="str" cm="1">
        <f t="array" aca="1" ref="L65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7" spans="1:12">
      <c r="A657" t="s">
        <v>2331</v>
      </c>
      <c r="B657" t="s">
        <v>2352</v>
      </c>
      <c r="C657" t="s">
        <v>2352</v>
      </c>
      <c r="D657" t="s">
        <v>98</v>
      </c>
      <c r="E657">
        <v>1</v>
      </c>
      <c r="F657" s="1"/>
      <c r="G657" s="1"/>
      <c r="H657">
        <f ca="1">IF(T_LEAVE[[#This Row],[EMPLOYEE]]="","",MATCH(T_LEAVE[[#This Row],[EMPLOYEE]],L_EMPLABELS,0))</f>
        <v>243</v>
      </c>
      <c r="I657">
        <f ca="1">IF(T_LEAVE[[#This Row],[EMPLOYEE]]="","",MATCH(T_LEAVE[[#This Row],[LEAVE TYPE]],L_LEAVETYPES,0))</f>
        <v>7</v>
      </c>
      <c r="J657" t="str" cm="1">
        <f t="array" aca="1" ref="J657" ca="1">IFERROR(INDEX(T_LEAVE_TYPES[SYMBOL],T_LEAVE[[#This Row],[LEAVE TYPE SYS ID]]),"")</f>
        <v>C</v>
      </c>
      <c r="K657">
        <f ca="1">IF(T_LEAVE[[#This Row],[EMPLOYEE]]="","",IF(T_LEAVE[[#This Row],[ERROR]]="",0,1))</f>
        <v>0</v>
      </c>
      <c r="L657" t="str" cm="1">
        <f t="array" aca="1" ref="L65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8" spans="1:12">
      <c r="A658" t="s">
        <v>2305</v>
      </c>
      <c r="B658" t="s">
        <v>2353</v>
      </c>
      <c r="C658" t="s">
        <v>2353</v>
      </c>
      <c r="D658" t="s">
        <v>92</v>
      </c>
      <c r="E658">
        <v>1</v>
      </c>
      <c r="F658" s="1"/>
      <c r="G658" s="1"/>
      <c r="H658">
        <f ca="1">IF(T_LEAVE[[#This Row],[EMPLOYEE]]="","",MATCH(T_LEAVE[[#This Row],[EMPLOYEE]],L_EMPLABELS,0))</f>
        <v>387</v>
      </c>
      <c r="I658">
        <f ca="1">IF(T_LEAVE[[#This Row],[EMPLOYEE]]="","",MATCH(T_LEAVE[[#This Row],[LEAVE TYPE]],L_LEAVETYPES,0))</f>
        <v>6</v>
      </c>
      <c r="J658" t="str" cm="1">
        <f t="array" aca="1" ref="J658" ca="1">IFERROR(INDEX(T_LEAVE_TYPES[SYMBOL],T_LEAVE[[#This Row],[LEAVE TYPE SYS ID]]),"")</f>
        <v>PR</v>
      </c>
      <c r="K658">
        <f ca="1">IF(T_LEAVE[[#This Row],[EMPLOYEE]]="","",IF(T_LEAVE[[#This Row],[ERROR]]="",0,1))</f>
        <v>0</v>
      </c>
      <c r="L658" t="str" cm="1">
        <f t="array" aca="1" ref="L65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9" spans="1:12">
      <c r="A659" t="s">
        <v>2308</v>
      </c>
      <c r="B659" t="s">
        <v>2353</v>
      </c>
      <c r="C659" t="s">
        <v>2353</v>
      </c>
      <c r="D659" t="s">
        <v>98</v>
      </c>
      <c r="E659">
        <v>1</v>
      </c>
      <c r="F659" s="1"/>
      <c r="G659" s="1"/>
      <c r="H659">
        <f ca="1">IF(T_LEAVE[[#This Row],[EMPLOYEE]]="","",MATCH(T_LEAVE[[#This Row],[EMPLOYEE]],L_EMPLABELS,0))</f>
        <v>439</v>
      </c>
      <c r="I659">
        <f ca="1">IF(T_LEAVE[[#This Row],[EMPLOYEE]]="","",MATCH(T_LEAVE[[#This Row],[LEAVE TYPE]],L_LEAVETYPES,0))</f>
        <v>7</v>
      </c>
      <c r="J659" t="str" cm="1">
        <f t="array" aca="1" ref="J659" ca="1">IFERROR(INDEX(T_LEAVE_TYPES[SYMBOL],T_LEAVE[[#This Row],[LEAVE TYPE SYS ID]]),"")</f>
        <v>C</v>
      </c>
      <c r="K659">
        <f ca="1">IF(T_LEAVE[[#This Row],[EMPLOYEE]]="","",IF(T_LEAVE[[#This Row],[ERROR]]="",0,1))</f>
        <v>0</v>
      </c>
      <c r="L659" t="str" cm="1">
        <f t="array" aca="1" ref="L65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0" spans="1:12">
      <c r="A660" t="s">
        <v>2307</v>
      </c>
      <c r="B660" t="s">
        <v>2354</v>
      </c>
      <c r="C660" t="s">
        <v>2353</v>
      </c>
      <c r="D660" t="s">
        <v>98</v>
      </c>
      <c r="E660">
        <v>2</v>
      </c>
      <c r="F660" s="1"/>
      <c r="G660" s="1"/>
      <c r="H660">
        <f ca="1">IF(T_LEAVE[[#This Row],[EMPLOYEE]]="","",MATCH(T_LEAVE[[#This Row],[EMPLOYEE]],L_EMPLABELS,0))</f>
        <v>441</v>
      </c>
      <c r="I660">
        <f ca="1">IF(T_LEAVE[[#This Row],[EMPLOYEE]]="","",MATCH(T_LEAVE[[#This Row],[LEAVE TYPE]],L_LEAVETYPES,0))</f>
        <v>7</v>
      </c>
      <c r="J660" t="str" cm="1">
        <f t="array" aca="1" ref="J660" ca="1">IFERROR(INDEX(T_LEAVE_TYPES[SYMBOL],T_LEAVE[[#This Row],[LEAVE TYPE SYS ID]]),"")</f>
        <v>C</v>
      </c>
      <c r="K660">
        <f ca="1">IF(T_LEAVE[[#This Row],[EMPLOYEE]]="","",IF(T_LEAVE[[#This Row],[ERROR]]="",0,1))</f>
        <v>0</v>
      </c>
      <c r="L660" t="str" cm="1">
        <f t="array" aca="1" ref="L66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1" spans="1:12">
      <c r="A661" t="s">
        <v>2310</v>
      </c>
      <c r="B661" t="s">
        <v>2355</v>
      </c>
      <c r="C661" t="s">
        <v>2355</v>
      </c>
      <c r="D661" t="s">
        <v>92</v>
      </c>
      <c r="E661">
        <v>1</v>
      </c>
      <c r="F661" s="1"/>
      <c r="G661" s="1"/>
      <c r="H661">
        <f ca="1">IF(T_LEAVE[[#This Row],[EMPLOYEE]]="","",MATCH(T_LEAVE[[#This Row],[EMPLOYEE]],L_EMPLABELS,0))</f>
        <v>121</v>
      </c>
      <c r="I661">
        <f ca="1">IF(T_LEAVE[[#This Row],[EMPLOYEE]]="","",MATCH(T_LEAVE[[#This Row],[LEAVE TYPE]],L_LEAVETYPES,0))</f>
        <v>6</v>
      </c>
      <c r="J661" t="str" cm="1">
        <f t="array" aca="1" ref="J661" ca="1">IFERROR(INDEX(T_LEAVE_TYPES[SYMBOL],T_LEAVE[[#This Row],[LEAVE TYPE SYS ID]]),"")</f>
        <v>PR</v>
      </c>
      <c r="K661">
        <f ca="1">IF(T_LEAVE[[#This Row],[EMPLOYEE]]="","",IF(T_LEAVE[[#This Row],[ERROR]]="",0,1))</f>
        <v>0</v>
      </c>
      <c r="L661" t="str" cm="1">
        <f t="array" aca="1" ref="L66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2" spans="1:12">
      <c r="A662" t="s">
        <v>2315</v>
      </c>
      <c r="B662" t="s">
        <v>2356</v>
      </c>
      <c r="C662" t="s">
        <v>2356</v>
      </c>
      <c r="D662" t="s">
        <v>98</v>
      </c>
      <c r="E662">
        <v>1</v>
      </c>
      <c r="F662" s="1"/>
      <c r="G662" s="1"/>
      <c r="H662">
        <f ca="1">IF(T_LEAVE[[#This Row],[EMPLOYEE]]="","",MATCH(T_LEAVE[[#This Row],[EMPLOYEE]],L_EMPLABELS,0))</f>
        <v>183</v>
      </c>
      <c r="I662">
        <f ca="1">IF(T_LEAVE[[#This Row],[EMPLOYEE]]="","",MATCH(T_LEAVE[[#This Row],[LEAVE TYPE]],L_LEAVETYPES,0))</f>
        <v>7</v>
      </c>
      <c r="J662" t="str" cm="1">
        <f t="array" aca="1" ref="J662" ca="1">IFERROR(INDEX(T_LEAVE_TYPES[SYMBOL],T_LEAVE[[#This Row],[LEAVE TYPE SYS ID]]),"")</f>
        <v>C</v>
      </c>
      <c r="K662">
        <f ca="1">IF(T_LEAVE[[#This Row],[EMPLOYEE]]="","",IF(T_LEAVE[[#This Row],[ERROR]]="",0,1))</f>
        <v>0</v>
      </c>
      <c r="L662" t="str" cm="1">
        <f t="array" aca="1" ref="L66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3" spans="1:12">
      <c r="A663" t="s">
        <v>2305</v>
      </c>
      <c r="B663" t="s">
        <v>2183</v>
      </c>
      <c r="C663" t="s">
        <v>2357</v>
      </c>
      <c r="D663" t="s">
        <v>98</v>
      </c>
      <c r="E663">
        <v>2</v>
      </c>
      <c r="F663" s="1"/>
      <c r="G663" s="1"/>
      <c r="H663">
        <f ca="1">IF(T_LEAVE[[#This Row],[EMPLOYEE]]="","",MATCH(T_LEAVE[[#This Row],[EMPLOYEE]],L_EMPLABELS,0))</f>
        <v>387</v>
      </c>
      <c r="I663">
        <f ca="1">IF(T_LEAVE[[#This Row],[EMPLOYEE]]="","",MATCH(T_LEAVE[[#This Row],[LEAVE TYPE]],L_LEAVETYPES,0))</f>
        <v>7</v>
      </c>
      <c r="J663" t="str" cm="1">
        <f t="array" aca="1" ref="J663" ca="1">IFERROR(INDEX(T_LEAVE_TYPES[SYMBOL],T_LEAVE[[#This Row],[LEAVE TYPE SYS ID]]),"")</f>
        <v>C</v>
      </c>
      <c r="K663">
        <f ca="1">IF(T_LEAVE[[#This Row],[EMPLOYEE]]="","",IF(T_LEAVE[[#This Row],[ERROR]]="",0,1))</f>
        <v>0</v>
      </c>
      <c r="L663" t="str" cm="1">
        <f t="array" aca="1" ref="L66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4" spans="1:12">
      <c r="A664" t="s">
        <v>2308</v>
      </c>
      <c r="B664" t="s">
        <v>2183</v>
      </c>
      <c r="C664" t="s">
        <v>2183</v>
      </c>
      <c r="D664" t="s">
        <v>98</v>
      </c>
      <c r="E664">
        <v>1</v>
      </c>
      <c r="F664" s="1"/>
      <c r="G664" s="1"/>
      <c r="H664">
        <f ca="1">IF(T_LEAVE[[#This Row],[EMPLOYEE]]="","",MATCH(T_LEAVE[[#This Row],[EMPLOYEE]],L_EMPLABELS,0))</f>
        <v>439</v>
      </c>
      <c r="I664">
        <f ca="1">IF(T_LEAVE[[#This Row],[EMPLOYEE]]="","",MATCH(T_LEAVE[[#This Row],[LEAVE TYPE]],L_LEAVETYPES,0))</f>
        <v>7</v>
      </c>
      <c r="J664" t="str" cm="1">
        <f t="array" aca="1" ref="J664" ca="1">IFERROR(INDEX(T_LEAVE_TYPES[SYMBOL],T_LEAVE[[#This Row],[LEAVE TYPE SYS ID]]),"")</f>
        <v>C</v>
      </c>
      <c r="K664">
        <f ca="1">IF(T_LEAVE[[#This Row],[EMPLOYEE]]="","",IF(T_LEAVE[[#This Row],[ERROR]]="",0,1))</f>
        <v>0</v>
      </c>
      <c r="L664" t="str" cm="1">
        <f t="array" aca="1" ref="L66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5" spans="1:12">
      <c r="A665" t="s">
        <v>2301</v>
      </c>
      <c r="B665" t="s">
        <v>2358</v>
      </c>
      <c r="C665" t="s">
        <v>2359</v>
      </c>
      <c r="D665" t="s">
        <v>98</v>
      </c>
      <c r="E665">
        <v>2</v>
      </c>
      <c r="F665" s="1"/>
      <c r="G665" s="1"/>
      <c r="H665">
        <f ca="1">IF(T_LEAVE[[#This Row],[EMPLOYEE]]="","",MATCH(T_LEAVE[[#This Row],[EMPLOYEE]],L_EMPLABELS,0))</f>
        <v>376</v>
      </c>
      <c r="I665">
        <f ca="1">IF(T_LEAVE[[#This Row],[EMPLOYEE]]="","",MATCH(T_LEAVE[[#This Row],[LEAVE TYPE]],L_LEAVETYPES,0))</f>
        <v>7</v>
      </c>
      <c r="J665" t="str" cm="1">
        <f t="array" aca="1" ref="J665" ca="1">IFERROR(INDEX(T_LEAVE_TYPES[SYMBOL],T_LEAVE[[#This Row],[LEAVE TYPE SYS ID]]),"")</f>
        <v>C</v>
      </c>
      <c r="K665">
        <f ca="1">IF(T_LEAVE[[#This Row],[EMPLOYEE]]="","",IF(T_LEAVE[[#This Row],[ERROR]]="",0,1))</f>
        <v>0</v>
      </c>
      <c r="L665" t="str" cm="1">
        <f t="array" aca="1" ref="L66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6" spans="1:12">
      <c r="A666" t="s">
        <v>2307</v>
      </c>
      <c r="B666" t="s">
        <v>2360</v>
      </c>
      <c r="C666" t="s">
        <v>2360</v>
      </c>
      <c r="D666" t="s">
        <v>98</v>
      </c>
      <c r="E666">
        <v>1</v>
      </c>
      <c r="F666" s="1"/>
      <c r="G666" s="1"/>
      <c r="H666">
        <f ca="1">IF(T_LEAVE[[#This Row],[EMPLOYEE]]="","",MATCH(T_LEAVE[[#This Row],[EMPLOYEE]],L_EMPLABELS,0))</f>
        <v>441</v>
      </c>
      <c r="I666">
        <f ca="1">IF(T_LEAVE[[#This Row],[EMPLOYEE]]="","",MATCH(T_LEAVE[[#This Row],[LEAVE TYPE]],L_LEAVETYPES,0))</f>
        <v>7</v>
      </c>
      <c r="J666" t="str" cm="1">
        <f t="array" aca="1" ref="J666" ca="1">IFERROR(INDEX(T_LEAVE_TYPES[SYMBOL],T_LEAVE[[#This Row],[LEAVE TYPE SYS ID]]),"")</f>
        <v>C</v>
      </c>
      <c r="K666">
        <f ca="1">IF(T_LEAVE[[#This Row],[EMPLOYEE]]="","",IF(T_LEAVE[[#This Row],[ERROR]]="",0,1))</f>
        <v>0</v>
      </c>
      <c r="L666" t="str" cm="1">
        <f t="array" aca="1" ref="L66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7" spans="1:12">
      <c r="A667" t="s">
        <v>2308</v>
      </c>
      <c r="B667" t="s">
        <v>2213</v>
      </c>
      <c r="C667" t="s">
        <v>2213</v>
      </c>
      <c r="D667" t="s">
        <v>98</v>
      </c>
      <c r="E667">
        <v>1</v>
      </c>
      <c r="F667" s="1"/>
      <c r="G667" s="1"/>
      <c r="H667">
        <f ca="1">IF(T_LEAVE[[#This Row],[EMPLOYEE]]="","",MATCH(T_LEAVE[[#This Row],[EMPLOYEE]],L_EMPLABELS,0))</f>
        <v>439</v>
      </c>
      <c r="I667">
        <f ca="1">IF(T_LEAVE[[#This Row],[EMPLOYEE]]="","",MATCH(T_LEAVE[[#This Row],[LEAVE TYPE]],L_LEAVETYPES,0))</f>
        <v>7</v>
      </c>
      <c r="J667" t="str" cm="1">
        <f t="array" aca="1" ref="J667" ca="1">IFERROR(INDEX(T_LEAVE_TYPES[SYMBOL],T_LEAVE[[#This Row],[LEAVE TYPE SYS ID]]),"")</f>
        <v>C</v>
      </c>
      <c r="K667">
        <f ca="1">IF(T_LEAVE[[#This Row],[EMPLOYEE]]="","",IF(T_LEAVE[[#This Row],[ERROR]]="",0,1))</f>
        <v>0</v>
      </c>
      <c r="L667" t="str" cm="1">
        <f t="array" aca="1" ref="L66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8" spans="1:12">
      <c r="A668" t="s">
        <v>2310</v>
      </c>
      <c r="B668" t="s">
        <v>2361</v>
      </c>
      <c r="C668" t="s">
        <v>2361</v>
      </c>
      <c r="D668" t="s">
        <v>98</v>
      </c>
      <c r="E668">
        <v>1</v>
      </c>
      <c r="F668" s="1"/>
      <c r="G668" s="1"/>
      <c r="H668">
        <f ca="1">IF(T_LEAVE[[#This Row],[EMPLOYEE]]="","",MATCH(T_LEAVE[[#This Row],[EMPLOYEE]],L_EMPLABELS,0))</f>
        <v>121</v>
      </c>
      <c r="I668">
        <f ca="1">IF(T_LEAVE[[#This Row],[EMPLOYEE]]="","",MATCH(T_LEAVE[[#This Row],[LEAVE TYPE]],L_LEAVETYPES,0))</f>
        <v>7</v>
      </c>
      <c r="J668" t="str" cm="1">
        <f t="array" aca="1" ref="J668" ca="1">IFERROR(INDEX(T_LEAVE_TYPES[SYMBOL],T_LEAVE[[#This Row],[LEAVE TYPE SYS ID]]),"")</f>
        <v>C</v>
      </c>
      <c r="K668">
        <f ca="1">IF(T_LEAVE[[#This Row],[EMPLOYEE]]="","",IF(T_LEAVE[[#This Row],[ERROR]]="",0,1))</f>
        <v>0</v>
      </c>
      <c r="L668" t="str" cm="1">
        <f t="array" aca="1" ref="L66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9" spans="1:12">
      <c r="A669" t="s">
        <v>2305</v>
      </c>
      <c r="B669" t="s">
        <v>2362</v>
      </c>
      <c r="C669" t="s">
        <v>2028</v>
      </c>
      <c r="D669" t="s">
        <v>98</v>
      </c>
      <c r="E669">
        <v>2</v>
      </c>
      <c r="F669" s="1"/>
      <c r="G669" s="1"/>
      <c r="H669">
        <f ca="1">IF(T_LEAVE[[#This Row],[EMPLOYEE]]="","",MATCH(T_LEAVE[[#This Row],[EMPLOYEE]],L_EMPLABELS,0))</f>
        <v>387</v>
      </c>
      <c r="I669">
        <f ca="1">IF(T_LEAVE[[#This Row],[EMPLOYEE]]="","",MATCH(T_LEAVE[[#This Row],[LEAVE TYPE]],L_LEAVETYPES,0))</f>
        <v>7</v>
      </c>
      <c r="J669" t="str" cm="1">
        <f t="array" aca="1" ref="J669" ca="1">IFERROR(INDEX(T_LEAVE_TYPES[SYMBOL],T_LEAVE[[#This Row],[LEAVE TYPE SYS ID]]),"")</f>
        <v>C</v>
      </c>
      <c r="K669">
        <f ca="1">IF(T_LEAVE[[#This Row],[EMPLOYEE]]="","",IF(T_LEAVE[[#This Row],[ERROR]]="",0,1))</f>
        <v>0</v>
      </c>
      <c r="L669" t="str" cm="1">
        <f t="array" aca="1" ref="L66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0" spans="1:12">
      <c r="A670" t="s">
        <v>2331</v>
      </c>
      <c r="B670" t="s">
        <v>2363</v>
      </c>
      <c r="C670" t="s">
        <v>2363</v>
      </c>
      <c r="D670" t="s">
        <v>98</v>
      </c>
      <c r="E670">
        <v>1</v>
      </c>
      <c r="F670" s="1"/>
      <c r="G670" s="1"/>
      <c r="H670">
        <f ca="1">IF(T_LEAVE[[#This Row],[EMPLOYEE]]="","",MATCH(T_LEAVE[[#This Row],[EMPLOYEE]],L_EMPLABELS,0))</f>
        <v>243</v>
      </c>
      <c r="I670">
        <f ca="1">IF(T_LEAVE[[#This Row],[EMPLOYEE]]="","",MATCH(T_LEAVE[[#This Row],[LEAVE TYPE]],L_LEAVETYPES,0))</f>
        <v>7</v>
      </c>
      <c r="J670" t="str" cm="1">
        <f t="array" aca="1" ref="J670" ca="1">IFERROR(INDEX(T_LEAVE_TYPES[SYMBOL],T_LEAVE[[#This Row],[LEAVE TYPE SYS ID]]),"")</f>
        <v>C</v>
      </c>
      <c r="K670">
        <f ca="1">IF(T_LEAVE[[#This Row],[EMPLOYEE]]="","",IF(T_LEAVE[[#This Row],[ERROR]]="",0,1))</f>
        <v>0</v>
      </c>
      <c r="L670" t="str" cm="1">
        <f t="array" aca="1" ref="L67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1" spans="1:12">
      <c r="A671" t="s">
        <v>2316</v>
      </c>
      <c r="B671" t="s">
        <v>2364</v>
      </c>
      <c r="C671" t="s">
        <v>2180</v>
      </c>
      <c r="D671" t="s">
        <v>62</v>
      </c>
      <c r="E671">
        <v>182</v>
      </c>
      <c r="F671" s="1"/>
      <c r="G671" s="1"/>
      <c r="H671">
        <f ca="1">IF(T_LEAVE[[#This Row],[EMPLOYEE]]="","",MATCH(T_LEAVE[[#This Row],[EMPLOYEE]],L_EMPLABELS,0))</f>
        <v>201</v>
      </c>
      <c r="I671">
        <f ca="1">IF(T_LEAVE[[#This Row],[EMPLOYEE]]="","",MATCH(T_LEAVE[[#This Row],[LEAVE TYPE]],L_LEAVETYPES,0))</f>
        <v>3</v>
      </c>
      <c r="J671" t="str" cm="1">
        <f t="array" aca="1" ref="J671" ca="1">IFERROR(INDEX(T_LEAVE_TYPES[SYMBOL],T_LEAVE[[#This Row],[LEAVE TYPE SYS ID]]),"")</f>
        <v>M</v>
      </c>
      <c r="K671">
        <f ca="1">IF(T_LEAVE[[#This Row],[EMPLOYEE]]="","",IF(T_LEAVE[[#This Row],[ERROR]]="",0,1))</f>
        <v>0</v>
      </c>
      <c r="L671" t="str" cm="1">
        <f t="array" aca="1" ref="L67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2" spans="1:12">
      <c r="A672" t="s">
        <v>2310</v>
      </c>
      <c r="B672" t="s">
        <v>2187</v>
      </c>
      <c r="C672" t="s">
        <v>2187</v>
      </c>
      <c r="D672" t="s">
        <v>92</v>
      </c>
      <c r="E672">
        <v>1</v>
      </c>
      <c r="F672" s="1"/>
      <c r="G672" s="1"/>
      <c r="H672">
        <f ca="1">IF(T_LEAVE[[#This Row],[EMPLOYEE]]="","",MATCH(T_LEAVE[[#This Row],[EMPLOYEE]],L_EMPLABELS,0))</f>
        <v>121</v>
      </c>
      <c r="I672">
        <f ca="1">IF(T_LEAVE[[#This Row],[EMPLOYEE]]="","",MATCH(T_LEAVE[[#This Row],[LEAVE TYPE]],L_LEAVETYPES,0))</f>
        <v>6</v>
      </c>
      <c r="J672" t="str" cm="1">
        <f t="array" aca="1" ref="J672" ca="1">IFERROR(INDEX(T_LEAVE_TYPES[SYMBOL],T_LEAVE[[#This Row],[LEAVE TYPE SYS ID]]),"")</f>
        <v>PR</v>
      </c>
      <c r="K672">
        <f ca="1">IF(T_LEAVE[[#This Row],[EMPLOYEE]]="","",IF(T_LEAVE[[#This Row],[ERROR]]="",0,1))</f>
        <v>0</v>
      </c>
      <c r="L672" t="str" cm="1">
        <f t="array" aca="1" ref="L67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3" spans="1:12">
      <c r="A673" t="s">
        <v>2312</v>
      </c>
      <c r="B673" t="s">
        <v>2365</v>
      </c>
      <c r="C673" t="s">
        <v>2365</v>
      </c>
      <c r="D673" t="s">
        <v>98</v>
      </c>
      <c r="E673">
        <v>1</v>
      </c>
      <c r="F673" s="1"/>
      <c r="G673" s="1"/>
      <c r="H673">
        <f ca="1">IF(T_LEAVE[[#This Row],[EMPLOYEE]]="","",MATCH(T_LEAVE[[#This Row],[EMPLOYEE]],L_EMPLABELS,0))</f>
        <v>335</v>
      </c>
      <c r="I673">
        <f ca="1">IF(T_LEAVE[[#This Row],[EMPLOYEE]]="","",MATCH(T_LEAVE[[#This Row],[LEAVE TYPE]],L_LEAVETYPES,0))</f>
        <v>7</v>
      </c>
      <c r="J673" t="str" cm="1">
        <f t="array" aca="1" ref="J673" ca="1">IFERROR(INDEX(T_LEAVE_TYPES[SYMBOL],T_LEAVE[[#This Row],[LEAVE TYPE SYS ID]]),"")</f>
        <v>C</v>
      </c>
      <c r="K673">
        <f ca="1">IF(T_LEAVE[[#This Row],[EMPLOYEE]]="","",IF(T_LEAVE[[#This Row],[ERROR]]="",0,1))</f>
        <v>0</v>
      </c>
      <c r="L673" t="str" cm="1">
        <f t="array" aca="1" ref="L67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4" spans="1:12">
      <c r="A674" t="s">
        <v>2331</v>
      </c>
      <c r="B674" t="s">
        <v>2366</v>
      </c>
      <c r="C674" t="s">
        <v>2366</v>
      </c>
      <c r="D674" t="s">
        <v>98</v>
      </c>
      <c r="E674">
        <v>1</v>
      </c>
      <c r="F674" s="1"/>
      <c r="G674" s="1"/>
      <c r="H674">
        <f ca="1">IF(T_LEAVE[[#This Row],[EMPLOYEE]]="","",MATCH(T_LEAVE[[#This Row],[EMPLOYEE]],L_EMPLABELS,0))</f>
        <v>243</v>
      </c>
      <c r="I674">
        <f ca="1">IF(T_LEAVE[[#This Row],[EMPLOYEE]]="","",MATCH(T_LEAVE[[#This Row],[LEAVE TYPE]],L_LEAVETYPES,0))</f>
        <v>7</v>
      </c>
      <c r="J674" t="str" cm="1">
        <f t="array" aca="1" ref="J674" ca="1">IFERROR(INDEX(T_LEAVE_TYPES[SYMBOL],T_LEAVE[[#This Row],[LEAVE TYPE SYS ID]]),"")</f>
        <v>C</v>
      </c>
      <c r="K674">
        <f ca="1">IF(T_LEAVE[[#This Row],[EMPLOYEE]]="","",IF(T_LEAVE[[#This Row],[ERROR]]="",0,1))</f>
        <v>0</v>
      </c>
      <c r="L674" t="str" cm="1">
        <f t="array" aca="1" ref="L67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5" spans="1:12">
      <c r="A675" t="s">
        <v>2305</v>
      </c>
      <c r="B675" t="s">
        <v>2367</v>
      </c>
      <c r="C675" t="s">
        <v>2367</v>
      </c>
      <c r="D675" t="s">
        <v>98</v>
      </c>
      <c r="E675">
        <v>1</v>
      </c>
      <c r="F675" s="1"/>
      <c r="G675" s="1"/>
      <c r="H675">
        <f ca="1">IF(T_LEAVE[[#This Row],[EMPLOYEE]]="","",MATCH(T_LEAVE[[#This Row],[EMPLOYEE]],L_EMPLABELS,0))</f>
        <v>387</v>
      </c>
      <c r="I675">
        <f ca="1">IF(T_LEAVE[[#This Row],[EMPLOYEE]]="","",MATCH(T_LEAVE[[#This Row],[LEAVE TYPE]],L_LEAVETYPES,0))</f>
        <v>7</v>
      </c>
      <c r="J675" t="str" cm="1">
        <f t="array" aca="1" ref="J675" ca="1">IFERROR(INDEX(T_LEAVE_TYPES[SYMBOL],T_LEAVE[[#This Row],[LEAVE TYPE SYS ID]]),"")</f>
        <v>C</v>
      </c>
      <c r="K675">
        <f ca="1">IF(T_LEAVE[[#This Row],[EMPLOYEE]]="","",IF(T_LEAVE[[#This Row],[ERROR]]="",0,1))</f>
        <v>0</v>
      </c>
      <c r="L675" t="str" cm="1">
        <f t="array" aca="1" ref="L67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6" spans="1:12">
      <c r="A676" t="s">
        <v>2305</v>
      </c>
      <c r="B676" t="s">
        <v>2368</v>
      </c>
      <c r="C676" t="s">
        <v>2368</v>
      </c>
      <c r="D676" t="s">
        <v>92</v>
      </c>
      <c r="E676">
        <v>1</v>
      </c>
      <c r="F676" s="1"/>
      <c r="G676" s="1"/>
      <c r="H676">
        <f ca="1">IF(T_LEAVE[[#This Row],[EMPLOYEE]]="","",MATCH(T_LEAVE[[#This Row],[EMPLOYEE]],L_EMPLABELS,0))</f>
        <v>387</v>
      </c>
      <c r="I676">
        <f ca="1">IF(T_LEAVE[[#This Row],[EMPLOYEE]]="","",MATCH(T_LEAVE[[#This Row],[LEAVE TYPE]],L_LEAVETYPES,0))</f>
        <v>6</v>
      </c>
      <c r="J676" t="str" cm="1">
        <f t="array" aca="1" ref="J676" ca="1">IFERROR(INDEX(T_LEAVE_TYPES[SYMBOL],T_LEAVE[[#This Row],[LEAVE TYPE SYS ID]]),"")</f>
        <v>PR</v>
      </c>
      <c r="K676">
        <f ca="1">IF(T_LEAVE[[#This Row],[EMPLOYEE]]="","",IF(T_LEAVE[[#This Row],[ERROR]]="",0,1))</f>
        <v>0</v>
      </c>
      <c r="L676" t="str" cm="1">
        <f t="array" aca="1" ref="L67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7" spans="1:12">
      <c r="A677" t="s">
        <v>2308</v>
      </c>
      <c r="B677" t="s">
        <v>2367</v>
      </c>
      <c r="C677" t="s">
        <v>2367</v>
      </c>
      <c r="D677" t="s">
        <v>98</v>
      </c>
      <c r="E677">
        <v>1</v>
      </c>
      <c r="F677" s="1"/>
      <c r="G677" s="1"/>
      <c r="H677">
        <f ca="1">IF(T_LEAVE[[#This Row],[EMPLOYEE]]="","",MATCH(T_LEAVE[[#This Row],[EMPLOYEE]],L_EMPLABELS,0))</f>
        <v>439</v>
      </c>
      <c r="I677">
        <f ca="1">IF(T_LEAVE[[#This Row],[EMPLOYEE]]="","",MATCH(T_LEAVE[[#This Row],[LEAVE TYPE]],L_LEAVETYPES,0))</f>
        <v>7</v>
      </c>
      <c r="J677" t="str" cm="1">
        <f t="array" aca="1" ref="J677" ca="1">IFERROR(INDEX(T_LEAVE_TYPES[SYMBOL],T_LEAVE[[#This Row],[LEAVE TYPE SYS ID]]),"")</f>
        <v>C</v>
      </c>
      <c r="K677">
        <f ca="1">IF(T_LEAVE[[#This Row],[EMPLOYEE]]="","",IF(T_LEAVE[[#This Row],[ERROR]]="",0,1))</f>
        <v>0</v>
      </c>
      <c r="L677" t="str" cm="1">
        <f t="array" aca="1" ref="L67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8" spans="1:12">
      <c r="A678" t="s">
        <v>2301</v>
      </c>
      <c r="B678" t="s">
        <v>2369</v>
      </c>
      <c r="C678" t="s">
        <v>2369</v>
      </c>
      <c r="D678" t="s">
        <v>92</v>
      </c>
      <c r="E678">
        <v>1</v>
      </c>
      <c r="F678" s="1"/>
      <c r="G678" s="1"/>
      <c r="H678">
        <f ca="1">IF(T_LEAVE[[#This Row],[EMPLOYEE]]="","",MATCH(T_LEAVE[[#This Row],[EMPLOYEE]],L_EMPLABELS,0))</f>
        <v>376</v>
      </c>
      <c r="I678">
        <f ca="1">IF(T_LEAVE[[#This Row],[EMPLOYEE]]="","",MATCH(T_LEAVE[[#This Row],[LEAVE TYPE]],L_LEAVETYPES,0))</f>
        <v>6</v>
      </c>
      <c r="J678" t="str" cm="1">
        <f t="array" aca="1" ref="J678" ca="1">IFERROR(INDEX(T_LEAVE_TYPES[SYMBOL],T_LEAVE[[#This Row],[LEAVE TYPE SYS ID]]),"")</f>
        <v>PR</v>
      </c>
      <c r="K678">
        <f ca="1">IF(T_LEAVE[[#This Row],[EMPLOYEE]]="","",IF(T_LEAVE[[#This Row],[ERROR]]="",0,1))</f>
        <v>0</v>
      </c>
      <c r="L678" t="str" cm="1">
        <f t="array" aca="1" ref="L67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9" spans="1:12">
      <c r="A679" t="s">
        <v>2308</v>
      </c>
      <c r="B679" t="s">
        <v>2198</v>
      </c>
      <c r="C679" t="s">
        <v>2198</v>
      </c>
      <c r="D679" t="s">
        <v>98</v>
      </c>
      <c r="E679">
        <v>1</v>
      </c>
      <c r="F679" s="1"/>
      <c r="G679" s="1"/>
      <c r="H679">
        <f ca="1">IF(T_LEAVE[[#This Row],[EMPLOYEE]]="","",MATCH(T_LEAVE[[#This Row],[EMPLOYEE]],L_EMPLABELS,0))</f>
        <v>439</v>
      </c>
      <c r="I679">
        <f ca="1">IF(T_LEAVE[[#This Row],[EMPLOYEE]]="","",MATCH(T_LEAVE[[#This Row],[LEAVE TYPE]],L_LEAVETYPES,0))</f>
        <v>7</v>
      </c>
      <c r="J679" t="str" cm="1">
        <f t="array" aca="1" ref="J679" ca="1">IFERROR(INDEX(T_LEAVE_TYPES[SYMBOL],T_LEAVE[[#This Row],[LEAVE TYPE SYS ID]]),"")</f>
        <v>C</v>
      </c>
      <c r="K679">
        <f ca="1">IF(T_LEAVE[[#This Row],[EMPLOYEE]]="","",IF(T_LEAVE[[#This Row],[ERROR]]="",0,1))</f>
        <v>0</v>
      </c>
      <c r="L679" t="str" cm="1">
        <f t="array" aca="1" ref="L67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0" spans="1:12">
      <c r="A680" t="s">
        <v>2305</v>
      </c>
      <c r="B680" t="s">
        <v>2370</v>
      </c>
      <c r="C680" t="s">
        <v>2371</v>
      </c>
      <c r="D680" t="s">
        <v>92</v>
      </c>
      <c r="E680">
        <v>3</v>
      </c>
      <c r="F680" s="1"/>
      <c r="G680" s="1"/>
      <c r="H680">
        <f ca="1">IF(T_LEAVE[[#This Row],[EMPLOYEE]]="","",MATCH(T_LEAVE[[#This Row],[EMPLOYEE]],L_EMPLABELS,0))</f>
        <v>387</v>
      </c>
      <c r="I680">
        <f ca="1">IF(T_LEAVE[[#This Row],[EMPLOYEE]]="","",MATCH(T_LEAVE[[#This Row],[LEAVE TYPE]],L_LEAVETYPES,0))</f>
        <v>6</v>
      </c>
      <c r="J680" t="str" cm="1">
        <f t="array" aca="1" ref="J680" ca="1">IFERROR(INDEX(T_LEAVE_TYPES[SYMBOL],T_LEAVE[[#This Row],[LEAVE TYPE SYS ID]]),"")</f>
        <v>PR</v>
      </c>
      <c r="K680">
        <f ca="1">IF(T_LEAVE[[#This Row],[EMPLOYEE]]="","",IF(T_LEAVE[[#This Row],[ERROR]]="",0,1))</f>
        <v>0</v>
      </c>
      <c r="L680" t="str" cm="1">
        <f t="array" aca="1" ref="L68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1" spans="1:12">
      <c r="A681" t="s">
        <v>2310</v>
      </c>
      <c r="B681" t="s">
        <v>2372</v>
      </c>
      <c r="C681" t="s">
        <v>2373</v>
      </c>
      <c r="D681" t="s">
        <v>92</v>
      </c>
      <c r="E681">
        <v>2</v>
      </c>
      <c r="F681" s="1"/>
      <c r="G681" s="1"/>
      <c r="H681">
        <f ca="1">IF(T_LEAVE[[#This Row],[EMPLOYEE]]="","",MATCH(T_LEAVE[[#This Row],[EMPLOYEE]],L_EMPLABELS,0))</f>
        <v>121</v>
      </c>
      <c r="I681">
        <f ca="1">IF(T_LEAVE[[#This Row],[EMPLOYEE]]="","",MATCH(T_LEAVE[[#This Row],[LEAVE TYPE]],L_LEAVETYPES,0))</f>
        <v>6</v>
      </c>
      <c r="J681" t="str" cm="1">
        <f t="array" aca="1" ref="J681" ca="1">IFERROR(INDEX(T_LEAVE_TYPES[SYMBOL],T_LEAVE[[#This Row],[LEAVE TYPE SYS ID]]),"")</f>
        <v>PR</v>
      </c>
      <c r="K681">
        <f ca="1">IF(T_LEAVE[[#This Row],[EMPLOYEE]]="","",IF(T_LEAVE[[#This Row],[ERROR]]="",0,1))</f>
        <v>0</v>
      </c>
      <c r="L681" t="str" cm="1">
        <f t="array" aca="1" ref="L68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2" spans="1:12">
      <c r="A682" t="s">
        <v>2301</v>
      </c>
      <c r="B682" t="s">
        <v>2371</v>
      </c>
      <c r="C682" t="s">
        <v>2371</v>
      </c>
      <c r="D682" t="s">
        <v>92</v>
      </c>
      <c r="E682">
        <v>1</v>
      </c>
      <c r="F682" s="1"/>
      <c r="G682" s="1"/>
      <c r="H682">
        <f ca="1">IF(T_LEAVE[[#This Row],[EMPLOYEE]]="","",MATCH(T_LEAVE[[#This Row],[EMPLOYEE]],L_EMPLABELS,0))</f>
        <v>376</v>
      </c>
      <c r="I682">
        <f ca="1">IF(T_LEAVE[[#This Row],[EMPLOYEE]]="","",MATCH(T_LEAVE[[#This Row],[LEAVE TYPE]],L_LEAVETYPES,0))</f>
        <v>6</v>
      </c>
      <c r="J682" t="str" cm="1">
        <f t="array" aca="1" ref="J682" ca="1">IFERROR(INDEX(T_LEAVE_TYPES[SYMBOL],T_LEAVE[[#This Row],[LEAVE TYPE SYS ID]]),"")</f>
        <v>PR</v>
      </c>
      <c r="K682">
        <f ca="1">IF(T_LEAVE[[#This Row],[EMPLOYEE]]="","",IF(T_LEAVE[[#This Row],[ERROR]]="",0,1))</f>
        <v>0</v>
      </c>
      <c r="L682" t="str" cm="1">
        <f t="array" aca="1" ref="L68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3" spans="1:12">
      <c r="A683" t="s">
        <v>2305</v>
      </c>
      <c r="B683" t="s">
        <v>2374</v>
      </c>
      <c r="C683" t="s">
        <v>2374</v>
      </c>
      <c r="D683" t="s">
        <v>98</v>
      </c>
      <c r="E683">
        <v>1</v>
      </c>
      <c r="F683" s="1"/>
      <c r="G683" s="1"/>
      <c r="H683">
        <f ca="1">IF(T_LEAVE[[#This Row],[EMPLOYEE]]="","",MATCH(T_LEAVE[[#This Row],[EMPLOYEE]],L_EMPLABELS,0))</f>
        <v>387</v>
      </c>
      <c r="I683">
        <f ca="1">IF(T_LEAVE[[#This Row],[EMPLOYEE]]="","",MATCH(T_LEAVE[[#This Row],[LEAVE TYPE]],L_LEAVETYPES,0))</f>
        <v>7</v>
      </c>
      <c r="J683" t="str" cm="1">
        <f t="array" aca="1" ref="J683" ca="1">IFERROR(INDEX(T_LEAVE_TYPES[SYMBOL],T_LEAVE[[#This Row],[LEAVE TYPE SYS ID]]),"")</f>
        <v>C</v>
      </c>
      <c r="K683">
        <f ca="1">IF(T_LEAVE[[#This Row],[EMPLOYEE]]="","",IF(T_LEAVE[[#This Row],[ERROR]]="",0,1))</f>
        <v>0</v>
      </c>
      <c r="L683" t="str" cm="1">
        <f t="array" aca="1" ref="L68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4" spans="1:12">
      <c r="A684" t="s">
        <v>2305</v>
      </c>
      <c r="B684" t="s">
        <v>2375</v>
      </c>
      <c r="C684" t="s">
        <v>2375</v>
      </c>
      <c r="D684" t="s">
        <v>92</v>
      </c>
      <c r="E684">
        <v>1</v>
      </c>
      <c r="F684" s="1"/>
      <c r="G684" s="1"/>
      <c r="H684">
        <f ca="1">IF(T_LEAVE[[#This Row],[EMPLOYEE]]="","",MATCH(T_LEAVE[[#This Row],[EMPLOYEE]],L_EMPLABELS,0))</f>
        <v>387</v>
      </c>
      <c r="I684">
        <f ca="1">IF(T_LEAVE[[#This Row],[EMPLOYEE]]="","",MATCH(T_LEAVE[[#This Row],[LEAVE TYPE]],L_LEAVETYPES,0))</f>
        <v>6</v>
      </c>
      <c r="J684" t="str" cm="1">
        <f t="array" aca="1" ref="J684" ca="1">IFERROR(INDEX(T_LEAVE_TYPES[SYMBOL],T_LEAVE[[#This Row],[LEAVE TYPE SYS ID]]),"")</f>
        <v>PR</v>
      </c>
      <c r="K684">
        <f ca="1">IF(T_LEAVE[[#This Row],[EMPLOYEE]]="","",IF(T_LEAVE[[#This Row],[ERROR]]="",0,1))</f>
        <v>0</v>
      </c>
      <c r="L684" t="str" cm="1">
        <f t="array" aca="1" ref="L68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5" spans="1:12">
      <c r="A685" t="s">
        <v>2312</v>
      </c>
      <c r="B685" t="s">
        <v>2219</v>
      </c>
      <c r="C685" t="s">
        <v>2219</v>
      </c>
      <c r="D685" t="s">
        <v>98</v>
      </c>
      <c r="E685">
        <v>1</v>
      </c>
      <c r="F685" s="1"/>
      <c r="G685" s="1"/>
      <c r="H685">
        <f ca="1">IF(T_LEAVE[[#This Row],[EMPLOYEE]]="","",MATCH(T_LEAVE[[#This Row],[EMPLOYEE]],L_EMPLABELS,0))</f>
        <v>335</v>
      </c>
      <c r="I685">
        <f ca="1">IF(T_LEAVE[[#This Row],[EMPLOYEE]]="","",MATCH(T_LEAVE[[#This Row],[LEAVE TYPE]],L_LEAVETYPES,0))</f>
        <v>7</v>
      </c>
      <c r="J685" t="str" cm="1">
        <f t="array" aca="1" ref="J685" ca="1">IFERROR(INDEX(T_LEAVE_TYPES[SYMBOL],T_LEAVE[[#This Row],[LEAVE TYPE SYS ID]]),"")</f>
        <v>C</v>
      </c>
      <c r="K685">
        <f ca="1">IF(T_LEAVE[[#This Row],[EMPLOYEE]]="","",IF(T_LEAVE[[#This Row],[ERROR]]="",0,1))</f>
        <v>0</v>
      </c>
      <c r="L685" t="str" cm="1">
        <f t="array" aca="1" ref="L68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6" spans="1:12">
      <c r="A686" t="s">
        <v>2316</v>
      </c>
      <c r="B686" t="s">
        <v>2376</v>
      </c>
      <c r="C686" t="s">
        <v>2220</v>
      </c>
      <c r="D686" t="s">
        <v>92</v>
      </c>
      <c r="E686">
        <v>5</v>
      </c>
      <c r="F686" s="1"/>
      <c r="G686" s="1"/>
      <c r="H686">
        <f ca="1">IF(T_LEAVE[[#This Row],[EMPLOYEE]]="","",MATCH(T_LEAVE[[#This Row],[EMPLOYEE]],L_EMPLABELS,0))</f>
        <v>201</v>
      </c>
      <c r="I686">
        <f ca="1">IF(T_LEAVE[[#This Row],[EMPLOYEE]]="","",MATCH(T_LEAVE[[#This Row],[LEAVE TYPE]],L_LEAVETYPES,0))</f>
        <v>6</v>
      </c>
      <c r="J686" t="str" cm="1">
        <f t="array" aca="1" ref="J686" ca="1">IFERROR(INDEX(T_LEAVE_TYPES[SYMBOL],T_LEAVE[[#This Row],[LEAVE TYPE SYS ID]]),"")</f>
        <v>PR</v>
      </c>
      <c r="K686">
        <f ca="1">IF(T_LEAVE[[#This Row],[EMPLOYEE]]="","",IF(T_LEAVE[[#This Row],[ERROR]]="",0,1))</f>
        <v>0</v>
      </c>
      <c r="L686" t="str" cm="1">
        <f t="array" aca="1" ref="L68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7" spans="1:12">
      <c r="A687" t="s">
        <v>2308</v>
      </c>
      <c r="B687" t="s">
        <v>2285</v>
      </c>
      <c r="C687" t="s">
        <v>2285</v>
      </c>
      <c r="D687" t="s">
        <v>98</v>
      </c>
      <c r="E687">
        <v>1</v>
      </c>
      <c r="F687" s="1"/>
      <c r="G687" s="1"/>
      <c r="H687">
        <f ca="1">IF(T_LEAVE[[#This Row],[EMPLOYEE]]="","",MATCH(T_LEAVE[[#This Row],[EMPLOYEE]],L_EMPLABELS,0))</f>
        <v>439</v>
      </c>
      <c r="I687">
        <f ca="1">IF(T_LEAVE[[#This Row],[EMPLOYEE]]="","",MATCH(T_LEAVE[[#This Row],[LEAVE TYPE]],L_LEAVETYPES,0))</f>
        <v>7</v>
      </c>
      <c r="J687" t="str" cm="1">
        <f t="array" aca="1" ref="J687" ca="1">IFERROR(INDEX(T_LEAVE_TYPES[SYMBOL],T_LEAVE[[#This Row],[LEAVE TYPE SYS ID]]),"")</f>
        <v>C</v>
      </c>
      <c r="K687">
        <f ca="1">IF(T_LEAVE[[#This Row],[EMPLOYEE]]="","",IF(T_LEAVE[[#This Row],[ERROR]]="",0,1))</f>
        <v>0</v>
      </c>
      <c r="L687" t="str" cm="1">
        <f t="array" aca="1" ref="L68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8" spans="1:12">
      <c r="A688" t="s">
        <v>2310</v>
      </c>
      <c r="B688" t="s">
        <v>2377</v>
      </c>
      <c r="C688" t="s">
        <v>2377</v>
      </c>
      <c r="D688" t="s">
        <v>92</v>
      </c>
      <c r="E688">
        <v>1</v>
      </c>
      <c r="F688" s="1"/>
      <c r="G688" s="1"/>
      <c r="H688">
        <f ca="1">IF(T_LEAVE[[#This Row],[EMPLOYEE]]="","",MATCH(T_LEAVE[[#This Row],[EMPLOYEE]],L_EMPLABELS,0))</f>
        <v>121</v>
      </c>
      <c r="I688">
        <f ca="1">IF(T_LEAVE[[#This Row],[EMPLOYEE]]="","",MATCH(T_LEAVE[[#This Row],[LEAVE TYPE]],L_LEAVETYPES,0))</f>
        <v>6</v>
      </c>
      <c r="J688" t="str" cm="1">
        <f t="array" aca="1" ref="J688" ca="1">IFERROR(INDEX(T_LEAVE_TYPES[SYMBOL],T_LEAVE[[#This Row],[LEAVE TYPE SYS ID]]),"")</f>
        <v>PR</v>
      </c>
      <c r="K688">
        <f ca="1">IF(T_LEAVE[[#This Row],[EMPLOYEE]]="","",IF(T_LEAVE[[#This Row],[ERROR]]="",0,1))</f>
        <v>0</v>
      </c>
      <c r="L688" t="str" cm="1">
        <f t="array" aca="1" ref="L68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9" spans="1:12">
      <c r="A689" t="s">
        <v>2308</v>
      </c>
      <c r="B689" t="s">
        <v>2378</v>
      </c>
      <c r="C689" t="s">
        <v>2378</v>
      </c>
      <c r="D689" t="s">
        <v>98</v>
      </c>
      <c r="E689">
        <v>1</v>
      </c>
      <c r="F689" s="1"/>
      <c r="G689" s="1"/>
      <c r="H689">
        <f ca="1">IF(T_LEAVE[[#This Row],[EMPLOYEE]]="","",MATCH(T_LEAVE[[#This Row],[EMPLOYEE]],L_EMPLABELS,0))</f>
        <v>439</v>
      </c>
      <c r="I689">
        <f ca="1">IF(T_LEAVE[[#This Row],[EMPLOYEE]]="","",MATCH(T_LEAVE[[#This Row],[LEAVE TYPE]],L_LEAVETYPES,0))</f>
        <v>7</v>
      </c>
      <c r="J689" t="str" cm="1">
        <f t="array" aca="1" ref="J689" ca="1">IFERROR(INDEX(T_LEAVE_TYPES[SYMBOL],T_LEAVE[[#This Row],[LEAVE TYPE SYS ID]]),"")</f>
        <v>C</v>
      </c>
      <c r="K689">
        <f ca="1">IF(T_LEAVE[[#This Row],[EMPLOYEE]]="","",IF(T_LEAVE[[#This Row],[ERROR]]="",0,1))</f>
        <v>0</v>
      </c>
      <c r="L689" t="str" cm="1">
        <f t="array" aca="1" ref="L68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0" spans="1:12">
      <c r="A690" t="s">
        <v>2305</v>
      </c>
      <c r="B690" t="s">
        <v>2379</v>
      </c>
      <c r="C690" t="s">
        <v>2379</v>
      </c>
      <c r="D690" t="s">
        <v>98</v>
      </c>
      <c r="E690">
        <v>1</v>
      </c>
      <c r="F690" s="1"/>
      <c r="G690" s="1"/>
      <c r="H690">
        <f ca="1">IF(T_LEAVE[[#This Row],[EMPLOYEE]]="","",MATCH(T_LEAVE[[#This Row],[EMPLOYEE]],L_EMPLABELS,0))</f>
        <v>387</v>
      </c>
      <c r="I690">
        <f ca="1">IF(T_LEAVE[[#This Row],[EMPLOYEE]]="","",MATCH(T_LEAVE[[#This Row],[LEAVE TYPE]],L_LEAVETYPES,0))</f>
        <v>7</v>
      </c>
      <c r="J690" t="str" cm="1">
        <f t="array" aca="1" ref="J690" ca="1">IFERROR(INDEX(T_LEAVE_TYPES[SYMBOL],T_LEAVE[[#This Row],[LEAVE TYPE SYS ID]]),"")</f>
        <v>C</v>
      </c>
      <c r="K690">
        <f ca="1">IF(T_LEAVE[[#This Row],[EMPLOYEE]]="","",IF(T_LEAVE[[#This Row],[ERROR]]="",0,1))</f>
        <v>0</v>
      </c>
      <c r="L690" t="str" cm="1">
        <f t="array" aca="1" ref="L69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1" spans="1:12">
      <c r="A691" t="s">
        <v>2301</v>
      </c>
      <c r="B691" t="s">
        <v>2378</v>
      </c>
      <c r="C691" t="s">
        <v>2285</v>
      </c>
      <c r="D691" t="s">
        <v>98</v>
      </c>
      <c r="E691">
        <v>2</v>
      </c>
      <c r="F691" s="1"/>
      <c r="G691" s="1"/>
      <c r="H691">
        <f ca="1">IF(T_LEAVE[[#This Row],[EMPLOYEE]]="","",MATCH(T_LEAVE[[#This Row],[EMPLOYEE]],L_EMPLABELS,0))</f>
        <v>376</v>
      </c>
      <c r="I691">
        <f ca="1">IF(T_LEAVE[[#This Row],[EMPLOYEE]]="","",MATCH(T_LEAVE[[#This Row],[LEAVE TYPE]],L_LEAVETYPES,0))</f>
        <v>7</v>
      </c>
      <c r="J691" t="str" cm="1">
        <f t="array" aca="1" ref="J691" ca="1">IFERROR(INDEX(T_LEAVE_TYPES[SYMBOL],T_LEAVE[[#This Row],[LEAVE TYPE SYS ID]]),"")</f>
        <v>C</v>
      </c>
      <c r="K691">
        <f ca="1">IF(T_LEAVE[[#This Row],[EMPLOYEE]]="","",IF(T_LEAVE[[#This Row],[ERROR]]="",0,1))</f>
        <v>0</v>
      </c>
      <c r="L691" t="str" cm="1">
        <f t="array" aca="1" ref="L69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2" spans="1:12">
      <c r="A692" t="s">
        <v>2305</v>
      </c>
      <c r="B692" t="s">
        <v>2380</v>
      </c>
      <c r="C692" t="s">
        <v>2380</v>
      </c>
      <c r="D692" t="s">
        <v>98</v>
      </c>
      <c r="E692">
        <v>1</v>
      </c>
      <c r="F692" s="1"/>
      <c r="G692" s="1"/>
      <c r="H692">
        <f ca="1">IF(T_LEAVE[[#This Row],[EMPLOYEE]]="","",MATCH(T_LEAVE[[#This Row],[EMPLOYEE]],L_EMPLABELS,0))</f>
        <v>387</v>
      </c>
      <c r="I692">
        <f ca="1">IF(T_LEAVE[[#This Row],[EMPLOYEE]]="","",MATCH(T_LEAVE[[#This Row],[LEAVE TYPE]],L_LEAVETYPES,0))</f>
        <v>7</v>
      </c>
      <c r="J692" t="str" cm="1">
        <f t="array" aca="1" ref="J692" ca="1">IFERROR(INDEX(T_LEAVE_TYPES[SYMBOL],T_LEAVE[[#This Row],[LEAVE TYPE SYS ID]]),"")</f>
        <v>C</v>
      </c>
      <c r="K692">
        <f ca="1">IF(T_LEAVE[[#This Row],[EMPLOYEE]]="","",IF(T_LEAVE[[#This Row],[ERROR]]="",0,1))</f>
        <v>0</v>
      </c>
      <c r="L692" t="str" cm="1">
        <f t="array" aca="1" ref="L69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3" spans="1:12">
      <c r="A693" t="s">
        <v>2310</v>
      </c>
      <c r="B693" t="s">
        <v>2378</v>
      </c>
      <c r="C693" t="s">
        <v>2285</v>
      </c>
      <c r="D693" t="s">
        <v>98</v>
      </c>
      <c r="E693">
        <v>2</v>
      </c>
      <c r="F693" s="1"/>
      <c r="G693" s="1"/>
      <c r="H693">
        <f ca="1">IF(T_LEAVE[[#This Row],[EMPLOYEE]]="","",MATCH(T_LEAVE[[#This Row],[EMPLOYEE]],L_EMPLABELS,0))</f>
        <v>121</v>
      </c>
      <c r="I693">
        <f ca="1">IF(T_LEAVE[[#This Row],[EMPLOYEE]]="","",MATCH(T_LEAVE[[#This Row],[LEAVE TYPE]],L_LEAVETYPES,0))</f>
        <v>7</v>
      </c>
      <c r="J693" t="str" cm="1">
        <f t="array" aca="1" ref="J693" ca="1">IFERROR(INDEX(T_LEAVE_TYPES[SYMBOL],T_LEAVE[[#This Row],[LEAVE TYPE SYS ID]]),"")</f>
        <v>C</v>
      </c>
      <c r="K693">
        <f ca="1">IF(T_LEAVE[[#This Row],[EMPLOYEE]]="","",IF(T_LEAVE[[#This Row],[ERROR]]="",0,1))</f>
        <v>0</v>
      </c>
      <c r="L693" t="str" cm="1">
        <f t="array" aca="1" ref="L69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4" spans="1:12">
      <c r="A694" t="s">
        <v>2305</v>
      </c>
      <c r="B694" t="s">
        <v>2381</v>
      </c>
      <c r="C694" t="s">
        <v>2381</v>
      </c>
      <c r="D694" t="s">
        <v>98</v>
      </c>
      <c r="E694">
        <v>1</v>
      </c>
      <c r="F694" s="1"/>
      <c r="G694" s="1"/>
      <c r="H694">
        <f ca="1">IF(T_LEAVE[[#This Row],[EMPLOYEE]]="","",MATCH(T_LEAVE[[#This Row],[EMPLOYEE]],L_EMPLABELS,0))</f>
        <v>387</v>
      </c>
      <c r="I694">
        <f ca="1">IF(T_LEAVE[[#This Row],[EMPLOYEE]]="","",MATCH(T_LEAVE[[#This Row],[LEAVE TYPE]],L_LEAVETYPES,0))</f>
        <v>7</v>
      </c>
      <c r="J694" t="str" cm="1">
        <f t="array" aca="1" ref="J694" ca="1">IFERROR(INDEX(T_LEAVE_TYPES[SYMBOL],T_LEAVE[[#This Row],[LEAVE TYPE SYS ID]]),"")</f>
        <v>C</v>
      </c>
      <c r="K694">
        <f ca="1">IF(T_LEAVE[[#This Row],[EMPLOYEE]]="","",IF(T_LEAVE[[#This Row],[ERROR]]="",0,1))</f>
        <v>0</v>
      </c>
      <c r="L694" t="str" cm="1">
        <f t="array" aca="1" ref="L69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5" spans="1:12">
      <c r="A695" t="s">
        <v>2310</v>
      </c>
      <c r="B695" t="s">
        <v>2224</v>
      </c>
      <c r="C695" t="s">
        <v>2224</v>
      </c>
      <c r="D695" t="s">
        <v>98</v>
      </c>
      <c r="E695">
        <v>1</v>
      </c>
      <c r="F695" s="1"/>
      <c r="G695" s="1"/>
      <c r="H695">
        <f ca="1">IF(T_LEAVE[[#This Row],[EMPLOYEE]]="","",MATCH(T_LEAVE[[#This Row],[EMPLOYEE]],L_EMPLABELS,0))</f>
        <v>121</v>
      </c>
      <c r="I695">
        <f ca="1">IF(T_LEAVE[[#This Row],[EMPLOYEE]]="","",MATCH(T_LEAVE[[#This Row],[LEAVE TYPE]],L_LEAVETYPES,0))</f>
        <v>7</v>
      </c>
      <c r="J695" t="str" cm="1">
        <f t="array" aca="1" ref="J695" ca="1">IFERROR(INDEX(T_LEAVE_TYPES[SYMBOL],T_LEAVE[[#This Row],[LEAVE TYPE SYS ID]]),"")</f>
        <v>C</v>
      </c>
      <c r="K695">
        <f ca="1">IF(T_LEAVE[[#This Row],[EMPLOYEE]]="","",IF(T_LEAVE[[#This Row],[ERROR]]="",0,1))</f>
        <v>0</v>
      </c>
      <c r="L695" t="str" cm="1">
        <f t="array" aca="1" ref="L69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6" spans="1:12">
      <c r="A696" t="s">
        <v>2310</v>
      </c>
      <c r="B696" t="s">
        <v>2382</v>
      </c>
      <c r="C696" t="s">
        <v>2382</v>
      </c>
      <c r="D696" t="s">
        <v>98</v>
      </c>
      <c r="E696">
        <v>1</v>
      </c>
      <c r="F696" s="1"/>
      <c r="G696" s="1"/>
      <c r="H696">
        <f ca="1">IF(T_LEAVE[[#This Row],[EMPLOYEE]]="","",MATCH(T_LEAVE[[#This Row],[EMPLOYEE]],L_EMPLABELS,0))</f>
        <v>121</v>
      </c>
      <c r="I696">
        <f ca="1">IF(T_LEAVE[[#This Row],[EMPLOYEE]]="","",MATCH(T_LEAVE[[#This Row],[LEAVE TYPE]],L_LEAVETYPES,0))</f>
        <v>7</v>
      </c>
      <c r="J696" t="str" cm="1">
        <f t="array" aca="1" ref="J696" ca="1">IFERROR(INDEX(T_LEAVE_TYPES[SYMBOL],T_LEAVE[[#This Row],[LEAVE TYPE SYS ID]]),"")</f>
        <v>C</v>
      </c>
      <c r="K696">
        <f ca="1">IF(T_LEAVE[[#This Row],[EMPLOYEE]]="","",IF(T_LEAVE[[#This Row],[ERROR]]="",0,1))</f>
        <v>0</v>
      </c>
      <c r="L696" t="str" cm="1">
        <f t="array" aca="1" ref="L69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7" spans="1:12">
      <c r="A697" t="s">
        <v>2305</v>
      </c>
      <c r="B697" t="s">
        <v>2379</v>
      </c>
      <c r="C697" t="s">
        <v>2379</v>
      </c>
      <c r="D697" t="s">
        <v>98</v>
      </c>
      <c r="E697">
        <v>1</v>
      </c>
      <c r="F697" s="1"/>
      <c r="G697" s="1"/>
      <c r="H697">
        <f ca="1">IF(T_LEAVE[[#This Row],[EMPLOYEE]]="","",MATCH(T_LEAVE[[#This Row],[EMPLOYEE]],L_EMPLABELS,0))</f>
        <v>387</v>
      </c>
      <c r="I697">
        <f ca="1">IF(T_LEAVE[[#This Row],[EMPLOYEE]]="","",MATCH(T_LEAVE[[#This Row],[LEAVE TYPE]],L_LEAVETYPES,0))</f>
        <v>7</v>
      </c>
      <c r="J697" t="str" cm="1">
        <f t="array" aca="1" ref="J697" ca="1">IFERROR(INDEX(T_LEAVE_TYPES[SYMBOL],T_LEAVE[[#This Row],[LEAVE TYPE SYS ID]]),"")</f>
        <v>C</v>
      </c>
      <c r="K697">
        <f ca="1">IF(T_LEAVE[[#This Row],[EMPLOYEE]]="","",IF(T_LEAVE[[#This Row],[ERROR]]="",0,1))</f>
        <v>0</v>
      </c>
      <c r="L697" t="str" cm="1">
        <f t="array" aca="1" ref="L69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8" spans="1:12">
      <c r="A698" t="s">
        <v>2305</v>
      </c>
      <c r="B698" t="s">
        <v>2379</v>
      </c>
      <c r="C698" t="s">
        <v>2379</v>
      </c>
      <c r="D698" t="s">
        <v>98</v>
      </c>
      <c r="E698">
        <v>1</v>
      </c>
      <c r="F698" s="1"/>
      <c r="G698" s="1"/>
      <c r="H698">
        <f ca="1">IF(T_LEAVE[[#This Row],[EMPLOYEE]]="","",MATCH(T_LEAVE[[#This Row],[EMPLOYEE]],L_EMPLABELS,0))</f>
        <v>387</v>
      </c>
      <c r="I698">
        <f ca="1">IF(T_LEAVE[[#This Row],[EMPLOYEE]]="","",MATCH(T_LEAVE[[#This Row],[LEAVE TYPE]],L_LEAVETYPES,0))</f>
        <v>7</v>
      </c>
      <c r="J698" t="str" cm="1">
        <f t="array" aca="1" ref="J698" ca="1">IFERROR(INDEX(T_LEAVE_TYPES[SYMBOL],T_LEAVE[[#This Row],[LEAVE TYPE SYS ID]]),"")</f>
        <v>C</v>
      </c>
      <c r="K698">
        <f ca="1">IF(T_LEAVE[[#This Row],[EMPLOYEE]]="","",IF(T_LEAVE[[#This Row],[ERROR]]="",0,1))</f>
        <v>0</v>
      </c>
      <c r="L698" t="str" cm="1">
        <f t="array" aca="1" ref="L69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9" spans="1:12">
      <c r="A699" t="s">
        <v>2308</v>
      </c>
      <c r="B699" t="s">
        <v>2379</v>
      </c>
      <c r="C699" t="s">
        <v>2379</v>
      </c>
      <c r="D699" t="s">
        <v>98</v>
      </c>
      <c r="E699">
        <v>1</v>
      </c>
      <c r="F699" s="1"/>
      <c r="G699" s="1"/>
      <c r="H699">
        <f ca="1">IF(T_LEAVE[[#This Row],[EMPLOYEE]]="","",MATCH(T_LEAVE[[#This Row],[EMPLOYEE]],L_EMPLABELS,0))</f>
        <v>439</v>
      </c>
      <c r="I699">
        <f ca="1">IF(T_LEAVE[[#This Row],[EMPLOYEE]]="","",MATCH(T_LEAVE[[#This Row],[LEAVE TYPE]],L_LEAVETYPES,0))</f>
        <v>7</v>
      </c>
      <c r="J699" t="str" cm="1">
        <f t="array" aca="1" ref="J699" ca="1">IFERROR(INDEX(T_LEAVE_TYPES[SYMBOL],T_LEAVE[[#This Row],[LEAVE TYPE SYS ID]]),"")</f>
        <v>C</v>
      </c>
      <c r="K699">
        <f ca="1">IF(T_LEAVE[[#This Row],[EMPLOYEE]]="","",IF(T_LEAVE[[#This Row],[ERROR]]="",0,1))</f>
        <v>0</v>
      </c>
      <c r="L699" t="str" cm="1">
        <f t="array" aca="1" ref="L69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0" spans="1:12">
      <c r="A700" t="s">
        <v>2310</v>
      </c>
      <c r="B700" t="s">
        <v>2383</v>
      </c>
      <c r="C700" t="s">
        <v>2383</v>
      </c>
      <c r="D700" t="s">
        <v>98</v>
      </c>
      <c r="E700">
        <v>1</v>
      </c>
      <c r="F700" s="1"/>
      <c r="G700" s="1"/>
      <c r="H700">
        <f ca="1">IF(T_LEAVE[[#This Row],[EMPLOYEE]]="","",MATCH(T_LEAVE[[#This Row],[EMPLOYEE]],L_EMPLABELS,0))</f>
        <v>121</v>
      </c>
      <c r="I700">
        <f ca="1">IF(T_LEAVE[[#This Row],[EMPLOYEE]]="","",MATCH(T_LEAVE[[#This Row],[LEAVE TYPE]],L_LEAVETYPES,0))</f>
        <v>7</v>
      </c>
      <c r="J700" t="str" cm="1">
        <f t="array" aca="1" ref="J700" ca="1">IFERROR(INDEX(T_LEAVE_TYPES[SYMBOL],T_LEAVE[[#This Row],[LEAVE TYPE SYS ID]]),"")</f>
        <v>C</v>
      </c>
      <c r="K700">
        <f ca="1">IF(T_LEAVE[[#This Row],[EMPLOYEE]]="","",IF(T_LEAVE[[#This Row],[ERROR]]="",0,1))</f>
        <v>0</v>
      </c>
      <c r="L700" t="str" cm="1">
        <f t="array" aca="1" ref="L70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1" spans="1:12">
      <c r="A701" t="s">
        <v>2301</v>
      </c>
      <c r="B701" t="s">
        <v>2384</v>
      </c>
      <c r="C701" t="s">
        <v>2385</v>
      </c>
      <c r="D701" t="s">
        <v>98</v>
      </c>
      <c r="E701">
        <v>2</v>
      </c>
      <c r="F701" s="1"/>
      <c r="G701" s="1"/>
      <c r="H701">
        <f ca="1">IF(T_LEAVE[[#This Row],[EMPLOYEE]]="","",MATCH(T_LEAVE[[#This Row],[EMPLOYEE]],L_EMPLABELS,0))</f>
        <v>376</v>
      </c>
      <c r="I701">
        <f ca="1">IF(T_LEAVE[[#This Row],[EMPLOYEE]]="","",MATCH(T_LEAVE[[#This Row],[LEAVE TYPE]],L_LEAVETYPES,0))</f>
        <v>7</v>
      </c>
      <c r="J701" t="str" cm="1">
        <f t="array" aca="1" ref="J701" ca="1">IFERROR(INDEX(T_LEAVE_TYPES[SYMBOL],T_LEAVE[[#This Row],[LEAVE TYPE SYS ID]]),"")</f>
        <v>C</v>
      </c>
      <c r="K701">
        <f ca="1">IF(T_LEAVE[[#This Row],[EMPLOYEE]]="","",IF(T_LEAVE[[#This Row],[ERROR]]="",0,1))</f>
        <v>0</v>
      </c>
      <c r="L701" t="str" cm="1">
        <f t="array" aca="1" ref="L70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2" spans="1:12">
      <c r="A702" t="s">
        <v>2308</v>
      </c>
      <c r="B702" t="s">
        <v>2386</v>
      </c>
      <c r="C702" t="s">
        <v>2386</v>
      </c>
      <c r="D702" t="s">
        <v>98</v>
      </c>
      <c r="E702">
        <v>1</v>
      </c>
      <c r="F702" s="1"/>
      <c r="G702" s="1"/>
      <c r="H702">
        <f ca="1">IF(T_LEAVE[[#This Row],[EMPLOYEE]]="","",MATCH(T_LEAVE[[#This Row],[EMPLOYEE]],L_EMPLABELS,0))</f>
        <v>439</v>
      </c>
      <c r="I702">
        <f ca="1">IF(T_LEAVE[[#This Row],[EMPLOYEE]]="","",MATCH(T_LEAVE[[#This Row],[LEAVE TYPE]],L_LEAVETYPES,0))</f>
        <v>7</v>
      </c>
      <c r="J702" t="str" cm="1">
        <f t="array" aca="1" ref="J702" ca="1">IFERROR(INDEX(T_LEAVE_TYPES[SYMBOL],T_LEAVE[[#This Row],[LEAVE TYPE SYS ID]]),"")</f>
        <v>C</v>
      </c>
      <c r="K702">
        <f ca="1">IF(T_LEAVE[[#This Row],[EMPLOYEE]]="","",IF(T_LEAVE[[#This Row],[ERROR]]="",0,1))</f>
        <v>0</v>
      </c>
      <c r="L702" t="str" cm="1">
        <f t="array" aca="1" ref="L70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3" spans="1:12">
      <c r="A703" t="s">
        <v>2316</v>
      </c>
      <c r="B703" t="s">
        <v>2387</v>
      </c>
      <c r="C703" t="s">
        <v>2387</v>
      </c>
      <c r="D703" t="s">
        <v>98</v>
      </c>
      <c r="E703">
        <v>1</v>
      </c>
      <c r="F703" s="1"/>
      <c r="G703" s="1"/>
      <c r="H703">
        <f ca="1">IF(T_LEAVE[[#This Row],[EMPLOYEE]]="","",MATCH(T_LEAVE[[#This Row],[EMPLOYEE]],L_EMPLABELS,0))</f>
        <v>201</v>
      </c>
      <c r="I703">
        <f ca="1">IF(T_LEAVE[[#This Row],[EMPLOYEE]]="","",MATCH(T_LEAVE[[#This Row],[LEAVE TYPE]],L_LEAVETYPES,0))</f>
        <v>7</v>
      </c>
      <c r="J703" t="str" cm="1">
        <f t="array" aca="1" ref="J703" ca="1">IFERROR(INDEX(T_LEAVE_TYPES[SYMBOL],T_LEAVE[[#This Row],[LEAVE TYPE SYS ID]]),"")</f>
        <v>C</v>
      </c>
      <c r="K703">
        <f ca="1">IF(T_LEAVE[[#This Row],[EMPLOYEE]]="","",IF(T_LEAVE[[#This Row],[ERROR]]="",0,1))</f>
        <v>0</v>
      </c>
      <c r="L703" t="str" cm="1">
        <f t="array" aca="1" ref="L70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4" spans="1:12">
      <c r="A704" t="s">
        <v>2308</v>
      </c>
      <c r="B704" t="s">
        <v>2387</v>
      </c>
      <c r="C704" t="s">
        <v>2387</v>
      </c>
      <c r="D704" t="s">
        <v>98</v>
      </c>
      <c r="E704">
        <v>1</v>
      </c>
      <c r="F704" s="1"/>
      <c r="G704" s="1"/>
      <c r="H704">
        <f ca="1">IF(T_LEAVE[[#This Row],[EMPLOYEE]]="","",MATCH(T_LEAVE[[#This Row],[EMPLOYEE]],L_EMPLABELS,0))</f>
        <v>439</v>
      </c>
      <c r="I704">
        <f ca="1">IF(T_LEAVE[[#This Row],[EMPLOYEE]]="","",MATCH(T_LEAVE[[#This Row],[LEAVE TYPE]],L_LEAVETYPES,0))</f>
        <v>7</v>
      </c>
      <c r="J704" t="str" cm="1">
        <f t="array" aca="1" ref="J704" ca="1">IFERROR(INDEX(T_LEAVE_TYPES[SYMBOL],T_LEAVE[[#This Row],[LEAVE TYPE SYS ID]]),"")</f>
        <v>C</v>
      </c>
      <c r="K704">
        <f ca="1">IF(T_LEAVE[[#This Row],[EMPLOYEE]]="","",IF(T_LEAVE[[#This Row],[ERROR]]="",0,1))</f>
        <v>0</v>
      </c>
      <c r="L704" t="str" cm="1">
        <f t="array" aca="1" ref="L70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5" spans="1:12">
      <c r="A705" t="s">
        <v>2301</v>
      </c>
      <c r="B705" t="s">
        <v>2388</v>
      </c>
      <c r="C705" t="s">
        <v>2388</v>
      </c>
      <c r="D705" t="s">
        <v>98</v>
      </c>
      <c r="E705">
        <v>1</v>
      </c>
      <c r="F705" s="1"/>
      <c r="G705" s="1"/>
      <c r="H705">
        <f ca="1">IF(T_LEAVE[[#This Row],[EMPLOYEE]]="","",MATCH(T_LEAVE[[#This Row],[EMPLOYEE]],L_EMPLABELS,0))</f>
        <v>376</v>
      </c>
      <c r="I705">
        <f ca="1">IF(T_LEAVE[[#This Row],[EMPLOYEE]]="","",MATCH(T_LEAVE[[#This Row],[LEAVE TYPE]],L_LEAVETYPES,0))</f>
        <v>7</v>
      </c>
      <c r="J705" t="str" cm="1">
        <f t="array" aca="1" ref="J705" ca="1">IFERROR(INDEX(T_LEAVE_TYPES[SYMBOL],T_LEAVE[[#This Row],[LEAVE TYPE SYS ID]]),"")</f>
        <v>C</v>
      </c>
      <c r="K705">
        <f ca="1">IF(T_LEAVE[[#This Row],[EMPLOYEE]]="","",IF(T_LEAVE[[#This Row],[ERROR]]="",0,1))</f>
        <v>0</v>
      </c>
      <c r="L705" t="str" cm="1">
        <f t="array" aca="1" ref="L70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6" spans="1:12">
      <c r="A706" t="s">
        <v>2316</v>
      </c>
      <c r="B706" t="s">
        <v>2389</v>
      </c>
      <c r="C706" t="s">
        <v>2389</v>
      </c>
      <c r="D706" t="s">
        <v>92</v>
      </c>
      <c r="E706">
        <v>1</v>
      </c>
      <c r="F706" s="1"/>
      <c r="G706" s="1"/>
      <c r="H706">
        <f ca="1">IF(T_LEAVE[[#This Row],[EMPLOYEE]]="","",MATCH(T_LEAVE[[#This Row],[EMPLOYEE]],L_EMPLABELS,0))</f>
        <v>201</v>
      </c>
      <c r="I706">
        <f ca="1">IF(T_LEAVE[[#This Row],[EMPLOYEE]]="","",MATCH(T_LEAVE[[#This Row],[LEAVE TYPE]],L_LEAVETYPES,0))</f>
        <v>6</v>
      </c>
      <c r="J706" t="str" cm="1">
        <f t="array" aca="1" ref="J706" ca="1">IFERROR(INDEX(T_LEAVE_TYPES[SYMBOL],T_LEAVE[[#This Row],[LEAVE TYPE SYS ID]]),"")</f>
        <v>PR</v>
      </c>
      <c r="K706">
        <f ca="1">IF(T_LEAVE[[#This Row],[EMPLOYEE]]="","",IF(T_LEAVE[[#This Row],[ERROR]]="",0,1))</f>
        <v>0</v>
      </c>
      <c r="L706" t="str" cm="1">
        <f t="array" aca="1" ref="L70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7" spans="1:12">
      <c r="A707" t="s">
        <v>2305</v>
      </c>
      <c r="B707" t="s">
        <v>2390</v>
      </c>
      <c r="C707" t="s">
        <v>2390</v>
      </c>
      <c r="D707" t="s">
        <v>98</v>
      </c>
      <c r="E707">
        <v>1</v>
      </c>
      <c r="F707" s="1"/>
      <c r="G707" s="1"/>
      <c r="H707">
        <f ca="1">IF(T_LEAVE[[#This Row],[EMPLOYEE]]="","",MATCH(T_LEAVE[[#This Row],[EMPLOYEE]],L_EMPLABELS,0))</f>
        <v>387</v>
      </c>
      <c r="I707">
        <f ca="1">IF(T_LEAVE[[#This Row],[EMPLOYEE]]="","",MATCH(T_LEAVE[[#This Row],[LEAVE TYPE]],L_LEAVETYPES,0))</f>
        <v>7</v>
      </c>
      <c r="J707" t="str" cm="1">
        <f t="array" aca="1" ref="J707" ca="1">IFERROR(INDEX(T_LEAVE_TYPES[SYMBOL],T_LEAVE[[#This Row],[LEAVE TYPE SYS ID]]),"")</f>
        <v>C</v>
      </c>
      <c r="K707">
        <f ca="1">IF(T_LEAVE[[#This Row],[EMPLOYEE]]="","",IF(T_LEAVE[[#This Row],[ERROR]]="",0,1))</f>
        <v>0</v>
      </c>
      <c r="L707" t="str" cm="1">
        <f t="array" aca="1" ref="L70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8" spans="1:12">
      <c r="A708" t="s">
        <v>2310</v>
      </c>
      <c r="B708" t="s">
        <v>2073</v>
      </c>
      <c r="C708" t="s">
        <v>2073</v>
      </c>
      <c r="D708" t="s">
        <v>92</v>
      </c>
      <c r="E708">
        <v>1</v>
      </c>
      <c r="F708" s="1"/>
      <c r="G708" s="1"/>
      <c r="H708">
        <f ca="1">IF(T_LEAVE[[#This Row],[EMPLOYEE]]="","",MATCH(T_LEAVE[[#This Row],[EMPLOYEE]],L_EMPLABELS,0))</f>
        <v>121</v>
      </c>
      <c r="I708">
        <f ca="1">IF(T_LEAVE[[#This Row],[EMPLOYEE]]="","",MATCH(T_LEAVE[[#This Row],[LEAVE TYPE]],L_LEAVETYPES,0))</f>
        <v>6</v>
      </c>
      <c r="J708" t="str" cm="1">
        <f t="array" aca="1" ref="J708" ca="1">IFERROR(INDEX(T_LEAVE_TYPES[SYMBOL],T_LEAVE[[#This Row],[LEAVE TYPE SYS ID]]),"")</f>
        <v>PR</v>
      </c>
      <c r="K708">
        <f ca="1">IF(T_LEAVE[[#This Row],[EMPLOYEE]]="","",IF(T_LEAVE[[#This Row],[ERROR]]="",0,1))</f>
        <v>0</v>
      </c>
      <c r="L708" t="str" cm="1">
        <f t="array" aca="1" ref="L70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9" spans="1:12">
      <c r="A709" t="s">
        <v>2316</v>
      </c>
      <c r="B709" t="s">
        <v>2391</v>
      </c>
      <c r="C709" t="s">
        <v>2391</v>
      </c>
      <c r="D709" t="s">
        <v>98</v>
      </c>
      <c r="E709">
        <v>1</v>
      </c>
      <c r="F709" s="1"/>
      <c r="G709" s="1"/>
      <c r="H709">
        <f ca="1">IF(T_LEAVE[[#This Row],[EMPLOYEE]]="","",MATCH(T_LEAVE[[#This Row],[EMPLOYEE]],L_EMPLABELS,0))</f>
        <v>201</v>
      </c>
      <c r="I709">
        <f ca="1">IF(T_LEAVE[[#This Row],[EMPLOYEE]]="","",MATCH(T_LEAVE[[#This Row],[LEAVE TYPE]],L_LEAVETYPES,0))</f>
        <v>7</v>
      </c>
      <c r="J709" t="str" cm="1">
        <f t="array" aca="1" ref="J709" ca="1">IFERROR(INDEX(T_LEAVE_TYPES[SYMBOL],T_LEAVE[[#This Row],[LEAVE TYPE SYS ID]]),"")</f>
        <v>C</v>
      </c>
      <c r="K709">
        <f ca="1">IF(T_LEAVE[[#This Row],[EMPLOYEE]]="","",IF(T_LEAVE[[#This Row],[ERROR]]="",0,1))</f>
        <v>0</v>
      </c>
      <c r="L709" t="str" cm="1">
        <f t="array" aca="1" ref="L70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0" spans="1:12">
      <c r="A710" t="s">
        <v>2316</v>
      </c>
      <c r="B710" t="s">
        <v>2392</v>
      </c>
      <c r="C710" t="s">
        <v>2392</v>
      </c>
      <c r="D710" t="s">
        <v>98</v>
      </c>
      <c r="E710">
        <v>1</v>
      </c>
      <c r="F710" s="1"/>
      <c r="G710" s="1"/>
      <c r="H710">
        <f ca="1">IF(T_LEAVE[[#This Row],[EMPLOYEE]]="","",MATCH(T_LEAVE[[#This Row],[EMPLOYEE]],L_EMPLABELS,0))</f>
        <v>201</v>
      </c>
      <c r="I710">
        <f ca="1">IF(T_LEAVE[[#This Row],[EMPLOYEE]]="","",MATCH(T_LEAVE[[#This Row],[LEAVE TYPE]],L_LEAVETYPES,0))</f>
        <v>7</v>
      </c>
      <c r="J710" t="str" cm="1">
        <f t="array" aca="1" ref="J710" ca="1">IFERROR(INDEX(T_LEAVE_TYPES[SYMBOL],T_LEAVE[[#This Row],[LEAVE TYPE SYS ID]]),"")</f>
        <v>C</v>
      </c>
      <c r="K710">
        <f ca="1">IF(T_LEAVE[[#This Row],[EMPLOYEE]]="","",IF(T_LEAVE[[#This Row],[ERROR]]="",0,1))</f>
        <v>0</v>
      </c>
      <c r="L710" t="str" cm="1">
        <f t="array" aca="1" ref="L71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1" spans="1:12">
      <c r="A711" t="s">
        <v>2305</v>
      </c>
      <c r="B711" t="s">
        <v>2393</v>
      </c>
      <c r="C711" t="s">
        <v>2393</v>
      </c>
      <c r="D711" t="s">
        <v>98</v>
      </c>
      <c r="E711">
        <v>1</v>
      </c>
      <c r="F711" s="1"/>
      <c r="G711" s="1"/>
      <c r="H711">
        <f ca="1">IF(T_LEAVE[[#This Row],[EMPLOYEE]]="","",MATCH(T_LEAVE[[#This Row],[EMPLOYEE]],L_EMPLABELS,0))</f>
        <v>387</v>
      </c>
      <c r="I711">
        <f ca="1">IF(T_LEAVE[[#This Row],[EMPLOYEE]]="","",MATCH(T_LEAVE[[#This Row],[LEAVE TYPE]],L_LEAVETYPES,0))</f>
        <v>7</v>
      </c>
      <c r="J711" t="str" cm="1">
        <f t="array" aca="1" ref="J711" ca="1">IFERROR(INDEX(T_LEAVE_TYPES[SYMBOL],T_LEAVE[[#This Row],[LEAVE TYPE SYS ID]]),"")</f>
        <v>C</v>
      </c>
      <c r="K711">
        <f ca="1">IF(T_LEAVE[[#This Row],[EMPLOYEE]]="","",IF(T_LEAVE[[#This Row],[ERROR]]="",0,1))</f>
        <v>0</v>
      </c>
      <c r="L711" t="str" cm="1">
        <f t="array" aca="1" ref="L71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2" spans="1:12">
      <c r="A712" t="s">
        <v>2301</v>
      </c>
      <c r="B712" t="s">
        <v>2394</v>
      </c>
      <c r="C712" t="s">
        <v>2394</v>
      </c>
      <c r="D712" t="s">
        <v>98</v>
      </c>
      <c r="E712">
        <v>1</v>
      </c>
      <c r="F712" s="1"/>
      <c r="G712" s="1"/>
      <c r="H712">
        <f ca="1">IF(T_LEAVE[[#This Row],[EMPLOYEE]]="","",MATCH(T_LEAVE[[#This Row],[EMPLOYEE]],L_EMPLABELS,0))</f>
        <v>376</v>
      </c>
      <c r="I712">
        <f ca="1">IF(T_LEAVE[[#This Row],[EMPLOYEE]]="","",MATCH(T_LEAVE[[#This Row],[LEAVE TYPE]],L_LEAVETYPES,0))</f>
        <v>7</v>
      </c>
      <c r="J712" t="str" cm="1">
        <f t="array" aca="1" ref="J712" ca="1">IFERROR(INDEX(T_LEAVE_TYPES[SYMBOL],T_LEAVE[[#This Row],[LEAVE TYPE SYS ID]]),"")</f>
        <v>C</v>
      </c>
      <c r="K712">
        <f ca="1">IF(T_LEAVE[[#This Row],[EMPLOYEE]]="","",IF(T_LEAVE[[#This Row],[ERROR]]="",0,1))</f>
        <v>0</v>
      </c>
      <c r="L712" t="str" cm="1">
        <f t="array" aca="1" ref="L71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3" spans="1:12">
      <c r="A713" t="s">
        <v>2310</v>
      </c>
      <c r="B713" t="s">
        <v>2395</v>
      </c>
      <c r="C713" t="s">
        <v>2395</v>
      </c>
      <c r="D713" t="s">
        <v>98</v>
      </c>
      <c r="E713">
        <v>1</v>
      </c>
      <c r="F713" s="1"/>
      <c r="G713" s="1"/>
      <c r="H713">
        <f ca="1">IF(T_LEAVE[[#This Row],[EMPLOYEE]]="","",MATCH(T_LEAVE[[#This Row],[EMPLOYEE]],L_EMPLABELS,0))</f>
        <v>121</v>
      </c>
      <c r="I713">
        <f ca="1">IF(T_LEAVE[[#This Row],[EMPLOYEE]]="","",MATCH(T_LEAVE[[#This Row],[LEAVE TYPE]],L_LEAVETYPES,0))</f>
        <v>7</v>
      </c>
      <c r="J713" t="str" cm="1">
        <f t="array" aca="1" ref="J713" ca="1">IFERROR(INDEX(T_LEAVE_TYPES[SYMBOL],T_LEAVE[[#This Row],[LEAVE TYPE SYS ID]]),"")</f>
        <v>C</v>
      </c>
      <c r="K713">
        <f ca="1">IF(T_LEAVE[[#This Row],[EMPLOYEE]]="","",IF(T_LEAVE[[#This Row],[ERROR]]="",0,1))</f>
        <v>0</v>
      </c>
      <c r="L713" t="str" cm="1">
        <f t="array" aca="1" ref="L71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4" spans="1:12">
      <c r="A714" t="s">
        <v>2310</v>
      </c>
      <c r="B714" t="s">
        <v>2396</v>
      </c>
      <c r="C714" t="s">
        <v>2396</v>
      </c>
      <c r="D714" t="s">
        <v>98</v>
      </c>
      <c r="E714">
        <v>1</v>
      </c>
      <c r="F714" s="1"/>
      <c r="G714" s="1"/>
      <c r="H714">
        <f ca="1">IF(T_LEAVE[[#This Row],[EMPLOYEE]]="","",MATCH(T_LEAVE[[#This Row],[EMPLOYEE]],L_EMPLABELS,0))</f>
        <v>121</v>
      </c>
      <c r="I714">
        <f ca="1">IF(T_LEAVE[[#This Row],[EMPLOYEE]]="","",MATCH(T_LEAVE[[#This Row],[LEAVE TYPE]],L_LEAVETYPES,0))</f>
        <v>7</v>
      </c>
      <c r="J714" t="str" cm="1">
        <f t="array" aca="1" ref="J714" ca="1">IFERROR(INDEX(T_LEAVE_TYPES[SYMBOL],T_LEAVE[[#This Row],[LEAVE TYPE SYS ID]]),"")</f>
        <v>C</v>
      </c>
      <c r="K714">
        <f ca="1">IF(T_LEAVE[[#This Row],[EMPLOYEE]]="","",IF(T_LEAVE[[#This Row],[ERROR]]="",0,1))</f>
        <v>0</v>
      </c>
      <c r="L714" t="str" cm="1">
        <f t="array" aca="1" ref="L71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5" spans="1:12">
      <c r="A715" t="s">
        <v>2305</v>
      </c>
      <c r="B715" t="s">
        <v>2397</v>
      </c>
      <c r="C715" t="s">
        <v>2397</v>
      </c>
      <c r="D715" t="s">
        <v>98</v>
      </c>
      <c r="E715">
        <v>1</v>
      </c>
      <c r="F715" s="1"/>
      <c r="G715" s="1"/>
      <c r="H715">
        <f ca="1">IF(T_LEAVE[[#This Row],[EMPLOYEE]]="","",MATCH(T_LEAVE[[#This Row],[EMPLOYEE]],L_EMPLABELS,0))</f>
        <v>387</v>
      </c>
      <c r="I715">
        <f ca="1">IF(T_LEAVE[[#This Row],[EMPLOYEE]]="","",MATCH(T_LEAVE[[#This Row],[LEAVE TYPE]],L_LEAVETYPES,0))</f>
        <v>7</v>
      </c>
      <c r="J715" t="str" cm="1">
        <f t="array" aca="1" ref="J715" ca="1">IFERROR(INDEX(T_LEAVE_TYPES[SYMBOL],T_LEAVE[[#This Row],[LEAVE TYPE SYS ID]]),"")</f>
        <v>C</v>
      </c>
      <c r="K715">
        <f ca="1">IF(T_LEAVE[[#This Row],[EMPLOYEE]]="","",IF(T_LEAVE[[#This Row],[ERROR]]="",0,1))</f>
        <v>0</v>
      </c>
      <c r="L715" t="str" cm="1">
        <f t="array" aca="1" ref="L71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6" spans="1:12">
      <c r="A716" t="s">
        <v>2316</v>
      </c>
      <c r="B716" t="s">
        <v>2395</v>
      </c>
      <c r="C716" t="s">
        <v>2395</v>
      </c>
      <c r="D716" t="s">
        <v>92</v>
      </c>
      <c r="E716">
        <v>1</v>
      </c>
      <c r="F716" s="1"/>
      <c r="G716" s="1"/>
      <c r="H716">
        <f ca="1">IF(T_LEAVE[[#This Row],[EMPLOYEE]]="","",MATCH(T_LEAVE[[#This Row],[EMPLOYEE]],L_EMPLABELS,0))</f>
        <v>201</v>
      </c>
      <c r="I716">
        <f ca="1">IF(T_LEAVE[[#This Row],[EMPLOYEE]]="","",MATCH(T_LEAVE[[#This Row],[LEAVE TYPE]],L_LEAVETYPES,0))</f>
        <v>6</v>
      </c>
      <c r="J716" t="str" cm="1">
        <f t="array" aca="1" ref="J716" ca="1">IFERROR(INDEX(T_LEAVE_TYPES[SYMBOL],T_LEAVE[[#This Row],[LEAVE TYPE SYS ID]]),"")</f>
        <v>PR</v>
      </c>
      <c r="K716">
        <f ca="1">IF(T_LEAVE[[#This Row],[EMPLOYEE]]="","",IF(T_LEAVE[[#This Row],[ERROR]]="",0,1))</f>
        <v>0</v>
      </c>
      <c r="L716" t="str" cm="1">
        <f t="array" aca="1" ref="L71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7" spans="1:12">
      <c r="A717" t="s">
        <v>2398</v>
      </c>
      <c r="B717" t="s">
        <v>2399</v>
      </c>
      <c r="C717" t="s">
        <v>2399</v>
      </c>
      <c r="D717" t="s">
        <v>98</v>
      </c>
      <c r="E717">
        <v>1</v>
      </c>
      <c r="F717" s="1"/>
      <c r="G717" s="1"/>
      <c r="H717">
        <f ca="1">IF(T_LEAVE[[#This Row],[EMPLOYEE]]="","",MATCH(T_LEAVE[[#This Row],[EMPLOYEE]],L_EMPLABELS,0))</f>
        <v>193</v>
      </c>
      <c r="I717">
        <f ca="1">IF(T_LEAVE[[#This Row],[EMPLOYEE]]="","",MATCH(T_LEAVE[[#This Row],[LEAVE TYPE]],L_LEAVETYPES,0))</f>
        <v>7</v>
      </c>
      <c r="J717" t="str" cm="1">
        <f t="array" aca="1" ref="J717" ca="1">IFERROR(INDEX(T_LEAVE_TYPES[SYMBOL],T_LEAVE[[#This Row],[LEAVE TYPE SYS ID]]),"")</f>
        <v>C</v>
      </c>
      <c r="K717">
        <f ca="1">IF(T_LEAVE[[#This Row],[EMPLOYEE]]="","",IF(T_LEAVE[[#This Row],[ERROR]]="",0,1))</f>
        <v>0</v>
      </c>
      <c r="L717" t="str" cm="1">
        <f t="array" aca="1" ref="L71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8" spans="1:12">
      <c r="A718" t="s">
        <v>2316</v>
      </c>
      <c r="B718" t="s">
        <v>2231</v>
      </c>
      <c r="C718" t="s">
        <v>2231</v>
      </c>
      <c r="D718" t="s">
        <v>92</v>
      </c>
      <c r="E718">
        <v>1</v>
      </c>
      <c r="F718" s="1"/>
      <c r="G718" s="1"/>
      <c r="H718">
        <f ca="1">IF(T_LEAVE[[#This Row],[EMPLOYEE]]="","",MATCH(T_LEAVE[[#This Row],[EMPLOYEE]],L_EMPLABELS,0))</f>
        <v>201</v>
      </c>
      <c r="I718">
        <f ca="1">IF(T_LEAVE[[#This Row],[EMPLOYEE]]="","",MATCH(T_LEAVE[[#This Row],[LEAVE TYPE]],L_LEAVETYPES,0))</f>
        <v>6</v>
      </c>
      <c r="J718" t="str" cm="1">
        <f t="array" aca="1" ref="J718" ca="1">IFERROR(INDEX(T_LEAVE_TYPES[SYMBOL],T_LEAVE[[#This Row],[LEAVE TYPE SYS ID]]),"")</f>
        <v>PR</v>
      </c>
      <c r="K718">
        <f ca="1">IF(T_LEAVE[[#This Row],[EMPLOYEE]]="","",IF(T_LEAVE[[#This Row],[ERROR]]="",0,1))</f>
        <v>0</v>
      </c>
      <c r="L718" t="str" cm="1">
        <f t="array" aca="1" ref="L71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9" spans="1:12">
      <c r="A719" t="s">
        <v>2316</v>
      </c>
      <c r="B719" t="s">
        <v>2240</v>
      </c>
      <c r="C719" t="s">
        <v>2240</v>
      </c>
      <c r="D719" t="s">
        <v>92</v>
      </c>
      <c r="E719">
        <v>1</v>
      </c>
      <c r="F719" s="1"/>
      <c r="G719" s="1"/>
      <c r="H719">
        <f ca="1">IF(T_LEAVE[[#This Row],[EMPLOYEE]]="","",MATCH(T_LEAVE[[#This Row],[EMPLOYEE]],L_EMPLABELS,0))</f>
        <v>201</v>
      </c>
      <c r="I719">
        <f ca="1">IF(T_LEAVE[[#This Row],[EMPLOYEE]]="","",MATCH(T_LEAVE[[#This Row],[LEAVE TYPE]],L_LEAVETYPES,0))</f>
        <v>6</v>
      </c>
      <c r="J719" t="str" cm="1">
        <f t="array" aca="1" ref="J719" ca="1">IFERROR(INDEX(T_LEAVE_TYPES[SYMBOL],T_LEAVE[[#This Row],[LEAVE TYPE SYS ID]]),"")</f>
        <v>PR</v>
      </c>
      <c r="K719">
        <f ca="1">IF(T_LEAVE[[#This Row],[EMPLOYEE]]="","",IF(T_LEAVE[[#This Row],[ERROR]]="",0,1))</f>
        <v>0</v>
      </c>
      <c r="L719" t="str" cm="1">
        <f t="array" aca="1" ref="L71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0" spans="1:12">
      <c r="A720" t="s">
        <v>2316</v>
      </c>
      <c r="B720" t="s">
        <v>2400</v>
      </c>
      <c r="C720" t="s">
        <v>2401</v>
      </c>
      <c r="D720" t="s">
        <v>98</v>
      </c>
      <c r="E720">
        <v>2</v>
      </c>
      <c r="F720" s="1"/>
      <c r="G720" s="1"/>
      <c r="H720">
        <f ca="1">IF(T_LEAVE[[#This Row],[EMPLOYEE]]="","",MATCH(T_LEAVE[[#This Row],[EMPLOYEE]],L_EMPLABELS,0))</f>
        <v>201</v>
      </c>
      <c r="I720">
        <f ca="1">IF(T_LEAVE[[#This Row],[EMPLOYEE]]="","",MATCH(T_LEAVE[[#This Row],[LEAVE TYPE]],L_LEAVETYPES,0))</f>
        <v>7</v>
      </c>
      <c r="J720" t="str" cm="1">
        <f t="array" aca="1" ref="J720" ca="1">IFERROR(INDEX(T_LEAVE_TYPES[SYMBOL],T_LEAVE[[#This Row],[LEAVE TYPE SYS ID]]),"")</f>
        <v>C</v>
      </c>
      <c r="K720">
        <f ca="1">IF(T_LEAVE[[#This Row],[EMPLOYEE]]="","",IF(T_LEAVE[[#This Row],[ERROR]]="",0,1))</f>
        <v>0</v>
      </c>
      <c r="L720" t="str" cm="1">
        <f t="array" aca="1" ref="L72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1" spans="1:12">
      <c r="A721" t="s">
        <v>2316</v>
      </c>
      <c r="B721" t="s">
        <v>2402</v>
      </c>
      <c r="C721" t="s">
        <v>2402</v>
      </c>
      <c r="D721" t="s">
        <v>98</v>
      </c>
      <c r="E721">
        <v>1</v>
      </c>
      <c r="F721" s="1"/>
      <c r="G721" s="1"/>
      <c r="H721">
        <f ca="1">IF(T_LEAVE[[#This Row],[EMPLOYEE]]="","",MATCH(T_LEAVE[[#This Row],[EMPLOYEE]],L_EMPLABELS,0))</f>
        <v>201</v>
      </c>
      <c r="I721">
        <f ca="1">IF(T_LEAVE[[#This Row],[EMPLOYEE]]="","",MATCH(T_LEAVE[[#This Row],[LEAVE TYPE]],L_LEAVETYPES,0))</f>
        <v>7</v>
      </c>
      <c r="J721" t="str" cm="1">
        <f t="array" aca="1" ref="J721" ca="1">IFERROR(INDEX(T_LEAVE_TYPES[SYMBOL],T_LEAVE[[#This Row],[LEAVE TYPE SYS ID]]),"")</f>
        <v>C</v>
      </c>
      <c r="K721">
        <f ca="1">IF(T_LEAVE[[#This Row],[EMPLOYEE]]="","",IF(T_LEAVE[[#This Row],[ERROR]]="",0,1))</f>
        <v>0</v>
      </c>
      <c r="L721" t="str" cm="1">
        <f t="array" aca="1" ref="L72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2" spans="1:12">
      <c r="A722" t="s">
        <v>2310</v>
      </c>
      <c r="B722" t="s">
        <v>2231</v>
      </c>
      <c r="C722" t="s">
        <v>2231</v>
      </c>
      <c r="D722" t="s">
        <v>92</v>
      </c>
      <c r="E722">
        <v>1</v>
      </c>
      <c r="F722" s="1"/>
      <c r="G722" s="1"/>
      <c r="H722">
        <f ca="1">IF(T_LEAVE[[#This Row],[EMPLOYEE]]="","",MATCH(T_LEAVE[[#This Row],[EMPLOYEE]],L_EMPLABELS,0))</f>
        <v>121</v>
      </c>
      <c r="I722">
        <f ca="1">IF(T_LEAVE[[#This Row],[EMPLOYEE]]="","",MATCH(T_LEAVE[[#This Row],[LEAVE TYPE]],L_LEAVETYPES,0))</f>
        <v>6</v>
      </c>
      <c r="J722" t="str" cm="1">
        <f t="array" aca="1" ref="J722" ca="1">IFERROR(INDEX(T_LEAVE_TYPES[SYMBOL],T_LEAVE[[#This Row],[LEAVE TYPE SYS ID]]),"")</f>
        <v>PR</v>
      </c>
      <c r="K722">
        <f ca="1">IF(T_LEAVE[[#This Row],[EMPLOYEE]]="","",IF(T_LEAVE[[#This Row],[ERROR]]="",0,1))</f>
        <v>0</v>
      </c>
      <c r="L722" t="str" cm="1">
        <f t="array" aca="1" ref="L72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3" spans="1:12">
      <c r="A723" t="s">
        <v>2316</v>
      </c>
      <c r="B723" t="s">
        <v>2403</v>
      </c>
      <c r="C723" t="s">
        <v>2403</v>
      </c>
      <c r="D723" t="s">
        <v>98</v>
      </c>
      <c r="E723">
        <v>1</v>
      </c>
      <c r="F723" s="1"/>
      <c r="G723" s="1"/>
      <c r="H723">
        <f ca="1">IF(T_LEAVE[[#This Row],[EMPLOYEE]]="","",MATCH(T_LEAVE[[#This Row],[EMPLOYEE]],L_EMPLABELS,0))</f>
        <v>201</v>
      </c>
      <c r="I723">
        <f ca="1">IF(T_LEAVE[[#This Row],[EMPLOYEE]]="","",MATCH(T_LEAVE[[#This Row],[LEAVE TYPE]],L_LEAVETYPES,0))</f>
        <v>7</v>
      </c>
      <c r="J723" t="str" cm="1">
        <f t="array" aca="1" ref="J723" ca="1">IFERROR(INDEX(T_LEAVE_TYPES[SYMBOL],T_LEAVE[[#This Row],[LEAVE TYPE SYS ID]]),"")</f>
        <v>C</v>
      </c>
      <c r="K723">
        <f ca="1">IF(T_LEAVE[[#This Row],[EMPLOYEE]]="","",IF(T_LEAVE[[#This Row],[ERROR]]="",0,1))</f>
        <v>0</v>
      </c>
      <c r="L723" t="str" cm="1">
        <f t="array" aca="1" ref="L72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4" spans="1:12">
      <c r="A724" t="s">
        <v>2310</v>
      </c>
      <c r="B724" t="s">
        <v>2404</v>
      </c>
      <c r="C724" t="s">
        <v>2404</v>
      </c>
      <c r="D724" t="s">
        <v>92</v>
      </c>
      <c r="E724">
        <v>1</v>
      </c>
      <c r="F724" s="1"/>
      <c r="G724" s="1"/>
      <c r="H724">
        <f ca="1">IF(T_LEAVE[[#This Row],[EMPLOYEE]]="","",MATCH(T_LEAVE[[#This Row],[EMPLOYEE]],L_EMPLABELS,0))</f>
        <v>121</v>
      </c>
      <c r="I724">
        <f ca="1">IF(T_LEAVE[[#This Row],[EMPLOYEE]]="","",MATCH(T_LEAVE[[#This Row],[LEAVE TYPE]],L_LEAVETYPES,0))</f>
        <v>6</v>
      </c>
      <c r="J724" t="str" cm="1">
        <f t="array" aca="1" ref="J724" ca="1">IFERROR(INDEX(T_LEAVE_TYPES[SYMBOL],T_LEAVE[[#This Row],[LEAVE TYPE SYS ID]]),"")</f>
        <v>PR</v>
      </c>
      <c r="K724">
        <f ca="1">IF(T_LEAVE[[#This Row],[EMPLOYEE]]="","",IF(T_LEAVE[[#This Row],[ERROR]]="",0,1))</f>
        <v>0</v>
      </c>
      <c r="L724" t="str" cm="1">
        <f t="array" aca="1" ref="L72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5" spans="1:12">
      <c r="A725" t="s">
        <v>2310</v>
      </c>
      <c r="B725" t="s">
        <v>2405</v>
      </c>
      <c r="C725" t="s">
        <v>2405</v>
      </c>
      <c r="D725" t="s">
        <v>98</v>
      </c>
      <c r="E725">
        <v>1</v>
      </c>
      <c r="F725" s="1"/>
      <c r="G725" s="1"/>
      <c r="H725">
        <f ca="1">IF(T_LEAVE[[#This Row],[EMPLOYEE]]="","",MATCH(T_LEAVE[[#This Row],[EMPLOYEE]],L_EMPLABELS,0))</f>
        <v>121</v>
      </c>
      <c r="I725">
        <f ca="1">IF(T_LEAVE[[#This Row],[EMPLOYEE]]="","",MATCH(T_LEAVE[[#This Row],[LEAVE TYPE]],L_LEAVETYPES,0))</f>
        <v>7</v>
      </c>
      <c r="J725" t="str" cm="1">
        <f t="array" aca="1" ref="J725" ca="1">IFERROR(INDEX(T_LEAVE_TYPES[SYMBOL],T_LEAVE[[#This Row],[LEAVE TYPE SYS ID]]),"")</f>
        <v>C</v>
      </c>
      <c r="K725">
        <f ca="1">IF(T_LEAVE[[#This Row],[EMPLOYEE]]="","",IF(T_LEAVE[[#This Row],[ERROR]]="",0,1))</f>
        <v>0</v>
      </c>
      <c r="L725" t="str" cm="1">
        <f t="array" aca="1" ref="L72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6" spans="1:12">
      <c r="A726" t="s">
        <v>2316</v>
      </c>
      <c r="B726" t="s">
        <v>2406</v>
      </c>
      <c r="C726" t="s">
        <v>2407</v>
      </c>
      <c r="D726" t="s">
        <v>92</v>
      </c>
      <c r="E726">
        <v>3</v>
      </c>
      <c r="F726" s="1"/>
      <c r="G726" s="1"/>
      <c r="H726">
        <f ca="1">IF(T_LEAVE[[#This Row],[EMPLOYEE]]="","",MATCH(T_LEAVE[[#This Row],[EMPLOYEE]],L_EMPLABELS,0))</f>
        <v>201</v>
      </c>
      <c r="I726">
        <f ca="1">IF(T_LEAVE[[#This Row],[EMPLOYEE]]="","",MATCH(T_LEAVE[[#This Row],[LEAVE TYPE]],L_LEAVETYPES,0))</f>
        <v>6</v>
      </c>
      <c r="J726" t="str" cm="1">
        <f t="array" aca="1" ref="J726" ca="1">IFERROR(INDEX(T_LEAVE_TYPES[SYMBOL],T_LEAVE[[#This Row],[LEAVE TYPE SYS ID]]),"")</f>
        <v>PR</v>
      </c>
      <c r="K726">
        <f ca="1">IF(T_LEAVE[[#This Row],[EMPLOYEE]]="","",IF(T_LEAVE[[#This Row],[ERROR]]="",0,1))</f>
        <v>0</v>
      </c>
      <c r="L726" t="str" cm="1">
        <f t="array" aca="1" ref="L72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7" spans="1:12">
      <c r="A727" t="s">
        <v>2310</v>
      </c>
      <c r="B727" t="s">
        <v>2233</v>
      </c>
      <c r="C727" t="s">
        <v>2233</v>
      </c>
      <c r="D727" t="s">
        <v>98</v>
      </c>
      <c r="E727">
        <v>1</v>
      </c>
      <c r="F727" s="1"/>
      <c r="G727" s="1"/>
      <c r="H727">
        <f ca="1">IF(T_LEAVE[[#This Row],[EMPLOYEE]]="","",MATCH(T_LEAVE[[#This Row],[EMPLOYEE]],L_EMPLABELS,0))</f>
        <v>121</v>
      </c>
      <c r="I727">
        <f ca="1">IF(T_LEAVE[[#This Row],[EMPLOYEE]]="","",MATCH(T_LEAVE[[#This Row],[LEAVE TYPE]],L_LEAVETYPES,0))</f>
        <v>7</v>
      </c>
      <c r="J727" t="str" cm="1">
        <f t="array" aca="1" ref="J727" ca="1">IFERROR(INDEX(T_LEAVE_TYPES[SYMBOL],T_LEAVE[[#This Row],[LEAVE TYPE SYS ID]]),"")</f>
        <v>C</v>
      </c>
      <c r="K727">
        <f ca="1">IF(T_LEAVE[[#This Row],[EMPLOYEE]]="","",IF(T_LEAVE[[#This Row],[ERROR]]="",0,1))</f>
        <v>0</v>
      </c>
      <c r="L727" t="str" cm="1">
        <f t="array" aca="1" ref="L72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8" spans="1:12">
      <c r="A728" t="s">
        <v>2316</v>
      </c>
      <c r="B728" t="s">
        <v>2408</v>
      </c>
      <c r="C728" t="s">
        <v>2408</v>
      </c>
      <c r="D728" t="s">
        <v>92</v>
      </c>
      <c r="E728">
        <v>1</v>
      </c>
      <c r="F728" s="1"/>
      <c r="G728" s="1"/>
      <c r="H728">
        <f ca="1">IF(T_LEAVE[[#This Row],[EMPLOYEE]]="","",MATCH(T_LEAVE[[#This Row],[EMPLOYEE]],L_EMPLABELS,0))</f>
        <v>201</v>
      </c>
      <c r="I728">
        <f ca="1">IF(T_LEAVE[[#This Row],[EMPLOYEE]]="","",MATCH(T_LEAVE[[#This Row],[LEAVE TYPE]],L_LEAVETYPES,0))</f>
        <v>6</v>
      </c>
      <c r="J728" t="str" cm="1">
        <f t="array" aca="1" ref="J728" ca="1">IFERROR(INDEX(T_LEAVE_TYPES[SYMBOL],T_LEAVE[[#This Row],[LEAVE TYPE SYS ID]]),"")</f>
        <v>PR</v>
      </c>
      <c r="K728">
        <f ca="1">IF(T_LEAVE[[#This Row],[EMPLOYEE]]="","",IF(T_LEAVE[[#This Row],[ERROR]]="",0,1))</f>
        <v>0</v>
      </c>
      <c r="L728" t="str" cm="1">
        <f t="array" aca="1" ref="L72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9" spans="1:12">
      <c r="A729" t="s">
        <v>2316</v>
      </c>
      <c r="B729" t="s">
        <v>2202</v>
      </c>
      <c r="C729" t="s">
        <v>2210</v>
      </c>
      <c r="D729" t="s">
        <v>92</v>
      </c>
      <c r="E729">
        <v>2</v>
      </c>
      <c r="F729" s="1"/>
      <c r="G729" s="1"/>
      <c r="H729">
        <f ca="1">IF(T_LEAVE[[#This Row],[EMPLOYEE]]="","",MATCH(T_LEAVE[[#This Row],[EMPLOYEE]],L_EMPLABELS,0))</f>
        <v>201</v>
      </c>
      <c r="I729">
        <f ca="1">IF(T_LEAVE[[#This Row],[EMPLOYEE]]="","",MATCH(T_LEAVE[[#This Row],[LEAVE TYPE]],L_LEAVETYPES,0))</f>
        <v>6</v>
      </c>
      <c r="J729" t="str" cm="1">
        <f t="array" aca="1" ref="J729" ca="1">IFERROR(INDEX(T_LEAVE_TYPES[SYMBOL],T_LEAVE[[#This Row],[LEAVE TYPE SYS ID]]),"")</f>
        <v>PR</v>
      </c>
      <c r="K729">
        <f ca="1">IF(T_LEAVE[[#This Row],[EMPLOYEE]]="","",IF(T_LEAVE[[#This Row],[ERROR]]="",0,1))</f>
        <v>0</v>
      </c>
      <c r="L729" t="str" cm="1">
        <f t="array" aca="1" ref="L72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0" spans="1:12">
      <c r="A730" t="s">
        <v>2310</v>
      </c>
      <c r="B730" t="s">
        <v>2211</v>
      </c>
      <c r="C730" t="s">
        <v>2211</v>
      </c>
      <c r="D730" t="s">
        <v>98</v>
      </c>
      <c r="E730">
        <v>1</v>
      </c>
      <c r="F730" s="1"/>
      <c r="G730" s="1"/>
      <c r="H730">
        <f ca="1">IF(T_LEAVE[[#This Row],[EMPLOYEE]]="","",MATCH(T_LEAVE[[#This Row],[EMPLOYEE]],L_EMPLABELS,0))</f>
        <v>121</v>
      </c>
      <c r="I730">
        <f ca="1">IF(T_LEAVE[[#This Row],[EMPLOYEE]]="","",MATCH(T_LEAVE[[#This Row],[LEAVE TYPE]],L_LEAVETYPES,0))</f>
        <v>7</v>
      </c>
      <c r="J730" t="str" cm="1">
        <f t="array" aca="1" ref="J730" ca="1">IFERROR(INDEX(T_LEAVE_TYPES[SYMBOL],T_LEAVE[[#This Row],[LEAVE TYPE SYS ID]]),"")</f>
        <v>C</v>
      </c>
      <c r="K730">
        <f ca="1">IF(T_LEAVE[[#This Row],[EMPLOYEE]]="","",IF(T_LEAVE[[#This Row],[ERROR]]="",0,1))</f>
        <v>0</v>
      </c>
      <c r="L730" t="str" cm="1">
        <f t="array" aca="1" ref="L73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1" spans="1:12">
      <c r="A731" t="s">
        <v>2316</v>
      </c>
      <c r="B731" t="s">
        <v>2409</v>
      </c>
      <c r="C731" t="s">
        <v>2267</v>
      </c>
      <c r="D731" t="s">
        <v>92</v>
      </c>
      <c r="E731">
        <v>10</v>
      </c>
      <c r="F731" s="1"/>
      <c r="G731" s="1"/>
      <c r="H731">
        <f ca="1">IF(T_LEAVE[[#This Row],[EMPLOYEE]]="","",MATCH(T_LEAVE[[#This Row],[EMPLOYEE]],L_EMPLABELS,0))</f>
        <v>201</v>
      </c>
      <c r="I731">
        <f ca="1">IF(T_LEAVE[[#This Row],[EMPLOYEE]]="","",MATCH(T_LEAVE[[#This Row],[LEAVE TYPE]],L_LEAVETYPES,0))</f>
        <v>6</v>
      </c>
      <c r="J731" t="str" cm="1">
        <f t="array" aca="1" ref="J731" ca="1">IFERROR(INDEX(T_LEAVE_TYPES[SYMBOL],T_LEAVE[[#This Row],[LEAVE TYPE SYS ID]]),"")</f>
        <v>PR</v>
      </c>
      <c r="K731">
        <f ca="1">IF(T_LEAVE[[#This Row],[EMPLOYEE]]="","",IF(T_LEAVE[[#This Row],[ERROR]]="",0,1))</f>
        <v>0</v>
      </c>
      <c r="L731" t="str" cm="1">
        <f t="array" aca="1" ref="L73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2" spans="1:12">
      <c r="A732" t="s">
        <v>2310</v>
      </c>
      <c r="B732" t="s">
        <v>2249</v>
      </c>
      <c r="C732" t="s">
        <v>2249</v>
      </c>
      <c r="D732" t="s">
        <v>92</v>
      </c>
      <c r="E732">
        <v>1</v>
      </c>
      <c r="F732" s="1"/>
      <c r="G732" s="1"/>
      <c r="H732">
        <f ca="1">IF(T_LEAVE[[#This Row],[EMPLOYEE]]="","",MATCH(T_LEAVE[[#This Row],[EMPLOYEE]],L_EMPLABELS,0))</f>
        <v>121</v>
      </c>
      <c r="I732">
        <f ca="1">IF(T_LEAVE[[#This Row],[EMPLOYEE]]="","",MATCH(T_LEAVE[[#This Row],[LEAVE TYPE]],L_LEAVETYPES,0))</f>
        <v>6</v>
      </c>
      <c r="J732" t="str" cm="1">
        <f t="array" aca="1" ref="J732" ca="1">IFERROR(INDEX(T_LEAVE_TYPES[SYMBOL],T_LEAVE[[#This Row],[LEAVE TYPE SYS ID]]),"")</f>
        <v>PR</v>
      </c>
      <c r="K732">
        <f ca="1">IF(T_LEAVE[[#This Row],[EMPLOYEE]]="","",IF(T_LEAVE[[#This Row],[ERROR]]="",0,1))</f>
        <v>0</v>
      </c>
      <c r="L732" t="str" cm="1">
        <f t="array" aca="1" ref="L73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3" spans="1:12">
      <c r="A733" t="s">
        <v>2316</v>
      </c>
      <c r="B733" t="s">
        <v>2410</v>
      </c>
      <c r="C733" t="s">
        <v>2411</v>
      </c>
      <c r="D733" t="s">
        <v>92</v>
      </c>
      <c r="E733">
        <v>2</v>
      </c>
      <c r="F733" s="1"/>
      <c r="G733" s="1"/>
      <c r="H733">
        <f ca="1">IF(T_LEAVE[[#This Row],[EMPLOYEE]]="","",MATCH(T_LEAVE[[#This Row],[EMPLOYEE]],L_EMPLABELS,0))</f>
        <v>201</v>
      </c>
      <c r="I733">
        <f ca="1">IF(T_LEAVE[[#This Row],[EMPLOYEE]]="","",MATCH(T_LEAVE[[#This Row],[LEAVE TYPE]],L_LEAVETYPES,0))</f>
        <v>6</v>
      </c>
      <c r="J733" t="str" cm="1">
        <f t="array" aca="1" ref="J733" ca="1">IFERROR(INDEX(T_LEAVE_TYPES[SYMBOL],T_LEAVE[[#This Row],[LEAVE TYPE SYS ID]]),"")</f>
        <v>PR</v>
      </c>
      <c r="K733">
        <f ca="1">IF(T_LEAVE[[#This Row],[EMPLOYEE]]="","",IF(T_LEAVE[[#This Row],[ERROR]]="",0,1))</f>
        <v>0</v>
      </c>
      <c r="L733" t="str" cm="1">
        <f t="array" aca="1" ref="L73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4" spans="1:12">
      <c r="A734" t="s">
        <v>2316</v>
      </c>
      <c r="B734" t="s">
        <v>2412</v>
      </c>
      <c r="C734" t="s">
        <v>2412</v>
      </c>
      <c r="D734" t="s">
        <v>98</v>
      </c>
      <c r="E734">
        <v>1</v>
      </c>
      <c r="F734" s="1"/>
      <c r="G734" s="1"/>
      <c r="H734">
        <f ca="1">IF(T_LEAVE[[#This Row],[EMPLOYEE]]="","",MATCH(T_LEAVE[[#This Row],[EMPLOYEE]],L_EMPLABELS,0))</f>
        <v>201</v>
      </c>
      <c r="I734">
        <f ca="1">IF(T_LEAVE[[#This Row],[EMPLOYEE]]="","",MATCH(T_LEAVE[[#This Row],[LEAVE TYPE]],L_LEAVETYPES,0))</f>
        <v>7</v>
      </c>
      <c r="J734" t="str" cm="1">
        <f t="array" aca="1" ref="J734" ca="1">IFERROR(INDEX(T_LEAVE_TYPES[SYMBOL],T_LEAVE[[#This Row],[LEAVE TYPE SYS ID]]),"")</f>
        <v>C</v>
      </c>
      <c r="K734">
        <f ca="1">IF(T_LEAVE[[#This Row],[EMPLOYEE]]="","",IF(T_LEAVE[[#This Row],[ERROR]]="",0,1))</f>
        <v>0</v>
      </c>
      <c r="L734" t="str" cm="1">
        <f t="array" aca="1" ref="L73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5" spans="1:12">
      <c r="A735" t="s">
        <v>2310</v>
      </c>
      <c r="B735" t="s">
        <v>2413</v>
      </c>
      <c r="C735" t="s">
        <v>2413</v>
      </c>
      <c r="D735" t="s">
        <v>98</v>
      </c>
      <c r="E735">
        <v>1</v>
      </c>
      <c r="F735" s="1"/>
      <c r="G735" s="1"/>
      <c r="H735">
        <f ca="1">IF(T_LEAVE[[#This Row],[EMPLOYEE]]="","",MATCH(T_LEAVE[[#This Row],[EMPLOYEE]],L_EMPLABELS,0))</f>
        <v>121</v>
      </c>
      <c r="I735">
        <f ca="1">IF(T_LEAVE[[#This Row],[EMPLOYEE]]="","",MATCH(T_LEAVE[[#This Row],[LEAVE TYPE]],L_LEAVETYPES,0))</f>
        <v>7</v>
      </c>
      <c r="J735" t="str" cm="1">
        <f t="array" aca="1" ref="J735" ca="1">IFERROR(INDEX(T_LEAVE_TYPES[SYMBOL],T_LEAVE[[#This Row],[LEAVE TYPE SYS ID]]),"")</f>
        <v>C</v>
      </c>
      <c r="K735">
        <f ca="1">IF(T_LEAVE[[#This Row],[EMPLOYEE]]="","",IF(T_LEAVE[[#This Row],[ERROR]]="",0,1))</f>
        <v>0</v>
      </c>
      <c r="L735" t="str" cm="1">
        <f t="array" aca="1" ref="L73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6" spans="1:12">
      <c r="A736" t="s">
        <v>2316</v>
      </c>
      <c r="B736" t="s">
        <v>2414</v>
      </c>
      <c r="C736" t="s">
        <v>2414</v>
      </c>
      <c r="D736" t="s">
        <v>92</v>
      </c>
      <c r="E736">
        <v>1</v>
      </c>
      <c r="F736" s="1"/>
      <c r="G736" s="1"/>
      <c r="H736">
        <f ca="1">IF(T_LEAVE[[#This Row],[EMPLOYEE]]="","",MATCH(T_LEAVE[[#This Row],[EMPLOYEE]],L_EMPLABELS,0))</f>
        <v>201</v>
      </c>
      <c r="I736">
        <f ca="1">IF(T_LEAVE[[#This Row],[EMPLOYEE]]="","",MATCH(T_LEAVE[[#This Row],[LEAVE TYPE]],L_LEAVETYPES,0))</f>
        <v>6</v>
      </c>
      <c r="J736" t="str" cm="1">
        <f t="array" aca="1" ref="J736" ca="1">IFERROR(INDEX(T_LEAVE_TYPES[SYMBOL],T_LEAVE[[#This Row],[LEAVE TYPE SYS ID]]),"")</f>
        <v>PR</v>
      </c>
      <c r="K736">
        <f ca="1">IF(T_LEAVE[[#This Row],[EMPLOYEE]]="","",IF(T_LEAVE[[#This Row],[ERROR]]="",0,1))</f>
        <v>0</v>
      </c>
      <c r="L736" t="str" cm="1">
        <f t="array" aca="1" ref="L73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7" spans="1:12">
      <c r="A737" t="s">
        <v>2310</v>
      </c>
      <c r="B737" t="s">
        <v>2414</v>
      </c>
      <c r="C737" t="s">
        <v>2414</v>
      </c>
      <c r="D737" t="s">
        <v>92</v>
      </c>
      <c r="E737">
        <v>1</v>
      </c>
      <c r="F737" s="1"/>
      <c r="G737" s="1"/>
      <c r="H737">
        <f ca="1">IF(T_LEAVE[[#This Row],[EMPLOYEE]]="","",MATCH(T_LEAVE[[#This Row],[EMPLOYEE]],L_EMPLABELS,0))</f>
        <v>121</v>
      </c>
      <c r="I737">
        <f ca="1">IF(T_LEAVE[[#This Row],[EMPLOYEE]]="","",MATCH(T_LEAVE[[#This Row],[LEAVE TYPE]],L_LEAVETYPES,0))</f>
        <v>6</v>
      </c>
      <c r="J737" t="str" cm="1">
        <f t="array" aca="1" ref="J737" ca="1">IFERROR(INDEX(T_LEAVE_TYPES[SYMBOL],T_LEAVE[[#This Row],[LEAVE TYPE SYS ID]]),"")</f>
        <v>PR</v>
      </c>
      <c r="K737">
        <f ca="1">IF(T_LEAVE[[#This Row],[EMPLOYEE]]="","",IF(T_LEAVE[[#This Row],[ERROR]]="",0,1))</f>
        <v>0</v>
      </c>
      <c r="L737" t="str" cm="1">
        <f t="array" aca="1" ref="L73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8" spans="1:12">
      <c r="A738" t="s">
        <v>2316</v>
      </c>
      <c r="B738" t="s">
        <v>2415</v>
      </c>
      <c r="C738" t="s">
        <v>2415</v>
      </c>
      <c r="D738" t="s">
        <v>98</v>
      </c>
      <c r="E738">
        <v>1</v>
      </c>
      <c r="F738" s="1"/>
      <c r="G738" s="1"/>
      <c r="H738">
        <f ca="1">IF(T_LEAVE[[#This Row],[EMPLOYEE]]="","",MATCH(T_LEAVE[[#This Row],[EMPLOYEE]],L_EMPLABELS,0))</f>
        <v>201</v>
      </c>
      <c r="I738">
        <f ca="1">IF(T_LEAVE[[#This Row],[EMPLOYEE]]="","",MATCH(T_LEAVE[[#This Row],[LEAVE TYPE]],L_LEAVETYPES,0))</f>
        <v>7</v>
      </c>
      <c r="J738" t="str" cm="1">
        <f t="array" aca="1" ref="J738" ca="1">IFERROR(INDEX(T_LEAVE_TYPES[SYMBOL],T_LEAVE[[#This Row],[LEAVE TYPE SYS ID]]),"")</f>
        <v>C</v>
      </c>
      <c r="K738">
        <f ca="1">IF(T_LEAVE[[#This Row],[EMPLOYEE]]="","",IF(T_LEAVE[[#This Row],[ERROR]]="",0,1))</f>
        <v>0</v>
      </c>
      <c r="L738" t="str" cm="1">
        <f t="array" aca="1" ref="L73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9" spans="1:12">
      <c r="A739" t="s">
        <v>2316</v>
      </c>
      <c r="B739" t="s">
        <v>2416</v>
      </c>
      <c r="C739" t="s">
        <v>2416</v>
      </c>
      <c r="D739" t="s">
        <v>98</v>
      </c>
      <c r="E739">
        <v>1</v>
      </c>
      <c r="F739" s="1"/>
      <c r="G739" s="1"/>
      <c r="H739">
        <f ca="1">IF(T_LEAVE[[#This Row],[EMPLOYEE]]="","",MATCH(T_LEAVE[[#This Row],[EMPLOYEE]],L_EMPLABELS,0))</f>
        <v>201</v>
      </c>
      <c r="I739">
        <f ca="1">IF(T_LEAVE[[#This Row],[EMPLOYEE]]="","",MATCH(T_LEAVE[[#This Row],[LEAVE TYPE]],L_LEAVETYPES,0))</f>
        <v>7</v>
      </c>
      <c r="J739" t="str" cm="1">
        <f t="array" aca="1" ref="J739" ca="1">IFERROR(INDEX(T_LEAVE_TYPES[SYMBOL],T_LEAVE[[#This Row],[LEAVE TYPE SYS ID]]),"")</f>
        <v>C</v>
      </c>
      <c r="K739">
        <f ca="1">IF(T_LEAVE[[#This Row],[EMPLOYEE]]="","",IF(T_LEAVE[[#This Row],[ERROR]]="",0,1))</f>
        <v>0</v>
      </c>
      <c r="L739" t="str" cm="1">
        <f t="array" aca="1" ref="L73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0" spans="1:12">
      <c r="A740" t="s">
        <v>2316</v>
      </c>
      <c r="B740" t="s">
        <v>2417</v>
      </c>
      <c r="C740" t="s">
        <v>2417</v>
      </c>
      <c r="D740" t="s">
        <v>98</v>
      </c>
      <c r="E740">
        <v>1</v>
      </c>
      <c r="F740" s="1"/>
      <c r="G740" s="1"/>
      <c r="H740">
        <f ca="1">IF(T_LEAVE[[#This Row],[EMPLOYEE]]="","",MATCH(T_LEAVE[[#This Row],[EMPLOYEE]],L_EMPLABELS,0))</f>
        <v>201</v>
      </c>
      <c r="I740">
        <f ca="1">IF(T_LEAVE[[#This Row],[EMPLOYEE]]="","",MATCH(T_LEAVE[[#This Row],[LEAVE TYPE]],L_LEAVETYPES,0))</f>
        <v>7</v>
      </c>
      <c r="J740" t="str" cm="1">
        <f t="array" aca="1" ref="J740" ca="1">IFERROR(INDEX(T_LEAVE_TYPES[SYMBOL],T_LEAVE[[#This Row],[LEAVE TYPE SYS ID]]),"")</f>
        <v>C</v>
      </c>
      <c r="K740">
        <f ca="1">IF(T_LEAVE[[#This Row],[EMPLOYEE]]="","",IF(T_LEAVE[[#This Row],[ERROR]]="",0,1))</f>
        <v>0</v>
      </c>
      <c r="L740" t="str" cm="1">
        <f t="array" aca="1" ref="L74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1" spans="1:12">
      <c r="A741" t="s">
        <v>2316</v>
      </c>
      <c r="B741" t="s">
        <v>2418</v>
      </c>
      <c r="C741" t="s">
        <v>2418</v>
      </c>
      <c r="D741" t="s">
        <v>98</v>
      </c>
      <c r="E741">
        <v>1</v>
      </c>
      <c r="F741" s="1"/>
      <c r="G741" s="1"/>
      <c r="H741">
        <f ca="1">IF(T_LEAVE[[#This Row],[EMPLOYEE]]="","",MATCH(T_LEAVE[[#This Row],[EMPLOYEE]],L_EMPLABELS,0))</f>
        <v>201</v>
      </c>
      <c r="I741">
        <f ca="1">IF(T_LEAVE[[#This Row],[EMPLOYEE]]="","",MATCH(T_LEAVE[[#This Row],[LEAVE TYPE]],L_LEAVETYPES,0))</f>
        <v>7</v>
      </c>
      <c r="J741" t="str" cm="1">
        <f t="array" aca="1" ref="J741" ca="1">IFERROR(INDEX(T_LEAVE_TYPES[SYMBOL],T_LEAVE[[#This Row],[LEAVE TYPE SYS ID]]),"")</f>
        <v>C</v>
      </c>
      <c r="K741">
        <f ca="1">IF(T_LEAVE[[#This Row],[EMPLOYEE]]="","",IF(T_LEAVE[[#This Row],[ERROR]]="",0,1))</f>
        <v>0</v>
      </c>
      <c r="L741" t="str" cm="1">
        <f t="array" aca="1" ref="L74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2" spans="1:12">
      <c r="A742" t="s">
        <v>2316</v>
      </c>
      <c r="B742" t="s">
        <v>2419</v>
      </c>
      <c r="C742" t="s">
        <v>2419</v>
      </c>
      <c r="D742" t="s">
        <v>98</v>
      </c>
      <c r="E742">
        <v>1</v>
      </c>
      <c r="F742" s="1"/>
      <c r="G742" s="1"/>
      <c r="H742">
        <f ca="1">IF(T_LEAVE[[#This Row],[EMPLOYEE]]="","",MATCH(T_LEAVE[[#This Row],[EMPLOYEE]],L_EMPLABELS,0))</f>
        <v>201</v>
      </c>
      <c r="I742">
        <f ca="1">IF(T_LEAVE[[#This Row],[EMPLOYEE]]="","",MATCH(T_LEAVE[[#This Row],[LEAVE TYPE]],L_LEAVETYPES,0))</f>
        <v>7</v>
      </c>
      <c r="J742" t="str" cm="1">
        <f t="array" aca="1" ref="J742" ca="1">IFERROR(INDEX(T_LEAVE_TYPES[SYMBOL],T_LEAVE[[#This Row],[LEAVE TYPE SYS ID]]),"")</f>
        <v>C</v>
      </c>
      <c r="K742">
        <f ca="1">IF(T_LEAVE[[#This Row],[EMPLOYEE]]="","",IF(T_LEAVE[[#This Row],[ERROR]]="",0,1))</f>
        <v>0</v>
      </c>
      <c r="L742" t="str" cm="1">
        <f t="array" aca="1" ref="L74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3" spans="1:12">
      <c r="A743" t="s">
        <v>2310</v>
      </c>
      <c r="B743" t="s">
        <v>2420</v>
      </c>
      <c r="C743" t="s">
        <v>2420</v>
      </c>
      <c r="D743" t="s">
        <v>98</v>
      </c>
      <c r="E743">
        <v>1</v>
      </c>
      <c r="F743" s="1"/>
      <c r="G743" s="1"/>
      <c r="H743">
        <f ca="1">IF(T_LEAVE[[#This Row],[EMPLOYEE]]="","",MATCH(T_LEAVE[[#This Row],[EMPLOYEE]],L_EMPLABELS,0))</f>
        <v>121</v>
      </c>
      <c r="I743">
        <f ca="1">IF(T_LEAVE[[#This Row],[EMPLOYEE]]="","",MATCH(T_LEAVE[[#This Row],[LEAVE TYPE]],L_LEAVETYPES,0))</f>
        <v>7</v>
      </c>
      <c r="J743" t="str" cm="1">
        <f t="array" aca="1" ref="J743" ca="1">IFERROR(INDEX(T_LEAVE_TYPES[SYMBOL],T_LEAVE[[#This Row],[LEAVE TYPE SYS ID]]),"")</f>
        <v>C</v>
      </c>
      <c r="K743">
        <f ca="1">IF(T_LEAVE[[#This Row],[EMPLOYEE]]="","",IF(T_LEAVE[[#This Row],[ERROR]]="",0,1))</f>
        <v>0</v>
      </c>
      <c r="L743" t="str" cm="1">
        <f t="array" aca="1" ref="L74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4" spans="1:12">
      <c r="A744" t="s">
        <v>2316</v>
      </c>
      <c r="B744" t="s">
        <v>2421</v>
      </c>
      <c r="C744" t="s">
        <v>2421</v>
      </c>
      <c r="D744" t="s">
        <v>98</v>
      </c>
      <c r="E744">
        <v>1</v>
      </c>
      <c r="F744" s="1"/>
      <c r="G744" s="1"/>
      <c r="H744">
        <f ca="1">IF(T_LEAVE[[#This Row],[EMPLOYEE]]="","",MATCH(T_LEAVE[[#This Row],[EMPLOYEE]],L_EMPLABELS,0))</f>
        <v>201</v>
      </c>
      <c r="I744">
        <f ca="1">IF(T_LEAVE[[#This Row],[EMPLOYEE]]="","",MATCH(T_LEAVE[[#This Row],[LEAVE TYPE]],L_LEAVETYPES,0))</f>
        <v>7</v>
      </c>
      <c r="J744" t="str" cm="1">
        <f t="array" aca="1" ref="J744" ca="1">IFERROR(INDEX(T_LEAVE_TYPES[SYMBOL],T_LEAVE[[#This Row],[LEAVE TYPE SYS ID]]),"")</f>
        <v>C</v>
      </c>
      <c r="K744">
        <f ca="1">IF(T_LEAVE[[#This Row],[EMPLOYEE]]="","",IF(T_LEAVE[[#This Row],[ERROR]]="",0,1))</f>
        <v>0</v>
      </c>
      <c r="L744" t="str" cm="1">
        <f t="array" aca="1" ref="L74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5" spans="1:12">
      <c r="A745" t="s">
        <v>2310</v>
      </c>
      <c r="B745" t="s">
        <v>2422</v>
      </c>
      <c r="C745" t="s">
        <v>2422</v>
      </c>
      <c r="D745" t="s">
        <v>98</v>
      </c>
      <c r="E745">
        <v>1</v>
      </c>
      <c r="F745" s="1"/>
      <c r="G745" s="1"/>
      <c r="H745">
        <f ca="1">IF(T_LEAVE[[#This Row],[EMPLOYEE]]="","",MATCH(T_LEAVE[[#This Row],[EMPLOYEE]],L_EMPLABELS,0))</f>
        <v>121</v>
      </c>
      <c r="I745">
        <f ca="1">IF(T_LEAVE[[#This Row],[EMPLOYEE]]="","",MATCH(T_LEAVE[[#This Row],[LEAVE TYPE]],L_LEAVETYPES,0))</f>
        <v>7</v>
      </c>
      <c r="J745" t="str" cm="1">
        <f t="array" aca="1" ref="J745" ca="1">IFERROR(INDEX(T_LEAVE_TYPES[SYMBOL],T_LEAVE[[#This Row],[LEAVE TYPE SYS ID]]),"")</f>
        <v>C</v>
      </c>
      <c r="K745">
        <f ca="1">IF(T_LEAVE[[#This Row],[EMPLOYEE]]="","",IF(T_LEAVE[[#This Row],[ERROR]]="",0,1))</f>
        <v>0</v>
      </c>
      <c r="L745" t="str" cm="1">
        <f t="array" aca="1" ref="L74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6" spans="1:12">
      <c r="A746" t="s">
        <v>2310</v>
      </c>
      <c r="B746" t="s">
        <v>2423</v>
      </c>
      <c r="C746" t="s">
        <v>2423</v>
      </c>
      <c r="D746" t="s">
        <v>92</v>
      </c>
      <c r="E746">
        <v>1</v>
      </c>
      <c r="F746" s="1"/>
      <c r="G746" s="1"/>
      <c r="H746">
        <f ca="1">IF(T_LEAVE[[#This Row],[EMPLOYEE]]="","",MATCH(T_LEAVE[[#This Row],[EMPLOYEE]],L_EMPLABELS,0))</f>
        <v>121</v>
      </c>
      <c r="I746">
        <f ca="1">IF(T_LEAVE[[#This Row],[EMPLOYEE]]="","",MATCH(T_LEAVE[[#This Row],[LEAVE TYPE]],L_LEAVETYPES,0))</f>
        <v>6</v>
      </c>
      <c r="J746" t="str" cm="1">
        <f t="array" aca="1" ref="J746" ca="1">IFERROR(INDEX(T_LEAVE_TYPES[SYMBOL],T_LEAVE[[#This Row],[LEAVE TYPE SYS ID]]),"")</f>
        <v>PR</v>
      </c>
      <c r="K746">
        <f ca="1">IF(T_LEAVE[[#This Row],[EMPLOYEE]]="","",IF(T_LEAVE[[#This Row],[ERROR]]="",0,1))</f>
        <v>0</v>
      </c>
      <c r="L746" t="str" cm="1">
        <f t="array" aca="1" ref="L74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7" spans="1:12">
      <c r="A747" t="s">
        <v>2310</v>
      </c>
      <c r="B747" t="s">
        <v>2424</v>
      </c>
      <c r="C747" t="s">
        <v>2424</v>
      </c>
      <c r="D747" t="s">
        <v>98</v>
      </c>
      <c r="E747">
        <v>1</v>
      </c>
      <c r="F747" s="1"/>
      <c r="G747" s="1"/>
      <c r="H747">
        <f ca="1">IF(T_LEAVE[[#This Row],[EMPLOYEE]]="","",MATCH(T_LEAVE[[#This Row],[EMPLOYEE]],L_EMPLABELS,0))</f>
        <v>121</v>
      </c>
      <c r="I747">
        <f ca="1">IF(T_LEAVE[[#This Row],[EMPLOYEE]]="","",MATCH(T_LEAVE[[#This Row],[LEAVE TYPE]],L_LEAVETYPES,0))</f>
        <v>7</v>
      </c>
      <c r="J747" t="str" cm="1">
        <f t="array" aca="1" ref="J747" ca="1">IFERROR(INDEX(T_LEAVE_TYPES[SYMBOL],T_LEAVE[[#This Row],[LEAVE TYPE SYS ID]]),"")</f>
        <v>C</v>
      </c>
      <c r="K747">
        <f ca="1">IF(T_LEAVE[[#This Row],[EMPLOYEE]]="","",IF(T_LEAVE[[#This Row],[ERROR]]="",0,1))</f>
        <v>0</v>
      </c>
      <c r="L747" t="str" cm="1">
        <f t="array" aca="1" ref="L74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8" spans="1:12">
      <c r="A748" t="s">
        <v>2316</v>
      </c>
      <c r="B748" t="s">
        <v>2281</v>
      </c>
      <c r="C748" t="s">
        <v>2425</v>
      </c>
      <c r="D748" t="s">
        <v>92</v>
      </c>
      <c r="E748">
        <v>2</v>
      </c>
      <c r="F748" s="1"/>
      <c r="G748" s="1"/>
      <c r="H748">
        <f ca="1">IF(T_LEAVE[[#This Row],[EMPLOYEE]]="","",MATCH(T_LEAVE[[#This Row],[EMPLOYEE]],L_EMPLABELS,0))</f>
        <v>201</v>
      </c>
      <c r="I748">
        <f ca="1">IF(T_LEAVE[[#This Row],[EMPLOYEE]]="","",MATCH(T_LEAVE[[#This Row],[LEAVE TYPE]],L_LEAVETYPES,0))</f>
        <v>6</v>
      </c>
      <c r="J748" t="str" cm="1">
        <f t="array" aca="1" ref="J748" ca="1">IFERROR(INDEX(T_LEAVE_TYPES[SYMBOL],T_LEAVE[[#This Row],[LEAVE TYPE SYS ID]]),"")</f>
        <v>PR</v>
      </c>
      <c r="K748">
        <f ca="1">IF(T_LEAVE[[#This Row],[EMPLOYEE]]="","",IF(T_LEAVE[[#This Row],[ERROR]]="",0,1))</f>
        <v>0</v>
      </c>
      <c r="L748" t="str" cm="1">
        <f t="array" aca="1" ref="L74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9" spans="1:12">
      <c r="A749" t="s">
        <v>2316</v>
      </c>
      <c r="B749" t="s">
        <v>2426</v>
      </c>
      <c r="C749" t="s">
        <v>2426</v>
      </c>
      <c r="D749" t="s">
        <v>92</v>
      </c>
      <c r="E749">
        <v>1</v>
      </c>
      <c r="F749" s="1"/>
      <c r="G749" s="1"/>
      <c r="H749">
        <f ca="1">IF(T_LEAVE[[#This Row],[EMPLOYEE]]="","",MATCH(T_LEAVE[[#This Row],[EMPLOYEE]],L_EMPLABELS,0))</f>
        <v>201</v>
      </c>
      <c r="I749">
        <f ca="1">IF(T_LEAVE[[#This Row],[EMPLOYEE]]="","",MATCH(T_LEAVE[[#This Row],[LEAVE TYPE]],L_LEAVETYPES,0))</f>
        <v>6</v>
      </c>
      <c r="J749" t="str" cm="1">
        <f t="array" aca="1" ref="J749" ca="1">IFERROR(INDEX(T_LEAVE_TYPES[SYMBOL],T_LEAVE[[#This Row],[LEAVE TYPE SYS ID]]),"")</f>
        <v>PR</v>
      </c>
      <c r="K749">
        <f ca="1">IF(T_LEAVE[[#This Row],[EMPLOYEE]]="","",IF(T_LEAVE[[#This Row],[ERROR]]="",0,1))</f>
        <v>0</v>
      </c>
      <c r="L749" t="str" cm="1">
        <f t="array" aca="1" ref="L74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0" spans="1:12">
      <c r="A750" t="s">
        <v>2316</v>
      </c>
      <c r="B750" t="s">
        <v>2427</v>
      </c>
      <c r="C750" t="s">
        <v>2428</v>
      </c>
      <c r="D750" t="s">
        <v>92</v>
      </c>
      <c r="E750">
        <v>2</v>
      </c>
      <c r="F750" s="1"/>
      <c r="G750" s="1"/>
      <c r="H750">
        <f ca="1">IF(T_LEAVE[[#This Row],[EMPLOYEE]]="","",MATCH(T_LEAVE[[#This Row],[EMPLOYEE]],L_EMPLABELS,0))</f>
        <v>201</v>
      </c>
      <c r="I750">
        <f ca="1">IF(T_LEAVE[[#This Row],[EMPLOYEE]]="","",MATCH(T_LEAVE[[#This Row],[LEAVE TYPE]],L_LEAVETYPES,0))</f>
        <v>6</v>
      </c>
      <c r="J750" t="str" cm="1">
        <f t="array" aca="1" ref="J750" ca="1">IFERROR(INDEX(T_LEAVE_TYPES[SYMBOL],T_LEAVE[[#This Row],[LEAVE TYPE SYS ID]]),"")</f>
        <v>PR</v>
      </c>
      <c r="K750">
        <f ca="1">IF(T_LEAVE[[#This Row],[EMPLOYEE]]="","",IF(T_LEAVE[[#This Row],[ERROR]]="",0,1))</f>
        <v>0</v>
      </c>
      <c r="L750" t="str" cm="1">
        <f t="array" aca="1" ref="L75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1" spans="1:12">
      <c r="A751" t="s">
        <v>2316</v>
      </c>
      <c r="B751" t="s">
        <v>2429</v>
      </c>
      <c r="C751" t="s">
        <v>2429</v>
      </c>
      <c r="D751" t="s">
        <v>92</v>
      </c>
      <c r="E751">
        <v>1</v>
      </c>
      <c r="F751" s="1"/>
      <c r="G751" s="1"/>
      <c r="H751">
        <f ca="1">IF(T_LEAVE[[#This Row],[EMPLOYEE]]="","",MATCH(T_LEAVE[[#This Row],[EMPLOYEE]],L_EMPLABELS,0))</f>
        <v>201</v>
      </c>
      <c r="I751">
        <f ca="1">IF(T_LEAVE[[#This Row],[EMPLOYEE]]="","",MATCH(T_LEAVE[[#This Row],[LEAVE TYPE]],L_LEAVETYPES,0))</f>
        <v>6</v>
      </c>
      <c r="J751" t="str" cm="1">
        <f t="array" aca="1" ref="J751" ca="1">IFERROR(INDEX(T_LEAVE_TYPES[SYMBOL],T_LEAVE[[#This Row],[LEAVE TYPE SYS ID]]),"")</f>
        <v>PR</v>
      </c>
      <c r="K751">
        <f ca="1">IF(T_LEAVE[[#This Row],[EMPLOYEE]]="","",IF(T_LEAVE[[#This Row],[ERROR]]="",0,1))</f>
        <v>0</v>
      </c>
      <c r="L751" t="str" cm="1">
        <f t="array" aca="1" ref="L75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2" spans="1:12">
      <c r="A752" t="s">
        <v>2316</v>
      </c>
      <c r="B752" t="s">
        <v>2430</v>
      </c>
      <c r="C752" t="s">
        <v>2430</v>
      </c>
      <c r="D752" t="s">
        <v>92</v>
      </c>
      <c r="E752">
        <v>1</v>
      </c>
      <c r="F752" s="1"/>
      <c r="G752" s="1"/>
      <c r="H752">
        <f ca="1">IF(T_LEAVE[[#This Row],[EMPLOYEE]]="","",MATCH(T_LEAVE[[#This Row],[EMPLOYEE]],L_EMPLABELS,0))</f>
        <v>201</v>
      </c>
      <c r="I752">
        <f ca="1">IF(T_LEAVE[[#This Row],[EMPLOYEE]]="","",MATCH(T_LEAVE[[#This Row],[LEAVE TYPE]],L_LEAVETYPES,0))</f>
        <v>6</v>
      </c>
      <c r="J752" t="str" cm="1">
        <f t="array" aca="1" ref="J752" ca="1">IFERROR(INDEX(T_LEAVE_TYPES[SYMBOL],T_LEAVE[[#This Row],[LEAVE TYPE SYS ID]]),"")</f>
        <v>PR</v>
      </c>
      <c r="K752">
        <f ca="1">IF(T_LEAVE[[#This Row],[EMPLOYEE]]="","",IF(T_LEAVE[[#This Row],[ERROR]]="",0,1))</f>
        <v>0</v>
      </c>
      <c r="L752" t="str" cm="1">
        <f t="array" aca="1" ref="L75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3" spans="1:12">
      <c r="A753" t="s">
        <v>2316</v>
      </c>
      <c r="B753" t="s">
        <v>2431</v>
      </c>
      <c r="C753" t="s">
        <v>2432</v>
      </c>
      <c r="D753" t="s">
        <v>92</v>
      </c>
      <c r="E753">
        <v>2</v>
      </c>
      <c r="F753" s="1"/>
      <c r="G753" s="1"/>
      <c r="H753">
        <f ca="1">IF(T_LEAVE[[#This Row],[EMPLOYEE]]="","",MATCH(T_LEAVE[[#This Row],[EMPLOYEE]],L_EMPLABELS,0))</f>
        <v>201</v>
      </c>
      <c r="I753">
        <f ca="1">IF(T_LEAVE[[#This Row],[EMPLOYEE]]="","",MATCH(T_LEAVE[[#This Row],[LEAVE TYPE]],L_LEAVETYPES,0))</f>
        <v>6</v>
      </c>
      <c r="J753" t="str" cm="1">
        <f t="array" aca="1" ref="J753" ca="1">IFERROR(INDEX(T_LEAVE_TYPES[SYMBOL],T_LEAVE[[#This Row],[LEAVE TYPE SYS ID]]),"")</f>
        <v>PR</v>
      </c>
      <c r="K753">
        <f ca="1">IF(T_LEAVE[[#This Row],[EMPLOYEE]]="","",IF(T_LEAVE[[#This Row],[ERROR]]="",0,1))</f>
        <v>0</v>
      </c>
      <c r="L753" t="str" cm="1">
        <f t="array" aca="1" ref="L75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4" spans="1:12">
      <c r="A754" t="s">
        <v>2316</v>
      </c>
      <c r="B754" t="s">
        <v>2433</v>
      </c>
      <c r="C754" t="s">
        <v>2433</v>
      </c>
      <c r="D754" t="s">
        <v>92</v>
      </c>
      <c r="E754">
        <v>1</v>
      </c>
      <c r="F754" s="1"/>
      <c r="G754" s="1"/>
      <c r="H754">
        <f ca="1">IF(T_LEAVE[[#This Row],[EMPLOYEE]]="","",MATCH(T_LEAVE[[#This Row],[EMPLOYEE]],L_EMPLABELS,0))</f>
        <v>201</v>
      </c>
      <c r="I754">
        <f ca="1">IF(T_LEAVE[[#This Row],[EMPLOYEE]]="","",MATCH(T_LEAVE[[#This Row],[LEAVE TYPE]],L_LEAVETYPES,0))</f>
        <v>6</v>
      </c>
      <c r="J754" t="str" cm="1">
        <f t="array" aca="1" ref="J754" ca="1">IFERROR(INDEX(T_LEAVE_TYPES[SYMBOL],T_LEAVE[[#This Row],[LEAVE TYPE SYS ID]]),"")</f>
        <v>PR</v>
      </c>
      <c r="K754">
        <f ca="1">IF(T_LEAVE[[#This Row],[EMPLOYEE]]="","",IF(T_LEAVE[[#This Row],[ERROR]]="",0,1))</f>
        <v>0</v>
      </c>
      <c r="L754" t="str" cm="1">
        <f t="array" aca="1" ref="L75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5" spans="1:12">
      <c r="A755" s="1" t="s">
        <v>2434</v>
      </c>
      <c r="B755" s="15" t="s">
        <v>1907</v>
      </c>
      <c r="C755" s="15" t="s">
        <v>1911</v>
      </c>
      <c r="D755" t="s">
        <v>98</v>
      </c>
      <c r="E755" s="1">
        <v>2</v>
      </c>
      <c r="F755" s="1"/>
      <c r="G755" s="1"/>
      <c r="H755">
        <f ca="1">IF(T_LEAVE[[#This Row],[EMPLOYEE]]="","",MATCH(T_LEAVE[[#This Row],[EMPLOYEE]],L_EMPLABELS,0))</f>
        <v>496</v>
      </c>
      <c r="I755">
        <f ca="1">IF(T_LEAVE[[#This Row],[EMPLOYEE]]="","",MATCH(T_LEAVE[[#This Row],[LEAVE TYPE]],L_LEAVETYPES,0))</f>
        <v>7</v>
      </c>
      <c r="J755" t="str" cm="1">
        <f t="array" aca="1" ref="J755" ca="1">IFERROR(INDEX(T_LEAVE_TYPES[SYMBOL],T_LEAVE[[#This Row],[LEAVE TYPE SYS ID]]),"")</f>
        <v>C</v>
      </c>
      <c r="K755">
        <f ca="1">IF(T_LEAVE[[#This Row],[EMPLOYEE]]="","",IF(T_LEAVE[[#This Row],[ERROR]]="",0,1))</f>
        <v>0</v>
      </c>
      <c r="L755" t="str" cm="1">
        <f t="array" aca="1" ref="L75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6" spans="1:12">
      <c r="A756" s="1" t="s">
        <v>2435</v>
      </c>
      <c r="B756" s="15" t="s">
        <v>2302</v>
      </c>
      <c r="C756" s="15" t="s">
        <v>2302</v>
      </c>
      <c r="D756" t="s">
        <v>98</v>
      </c>
      <c r="E756" s="1">
        <v>1</v>
      </c>
      <c r="F756" s="1"/>
      <c r="G756" s="1"/>
      <c r="H756">
        <f ca="1">IF(T_LEAVE[[#This Row],[EMPLOYEE]]="","",MATCH(T_LEAVE[[#This Row],[EMPLOYEE]],L_EMPLABELS,0))</f>
        <v>528</v>
      </c>
      <c r="I756">
        <f ca="1">IF(T_LEAVE[[#This Row],[EMPLOYEE]]="","",MATCH(T_LEAVE[[#This Row],[LEAVE TYPE]],L_LEAVETYPES,0))</f>
        <v>7</v>
      </c>
      <c r="J756" t="str" cm="1">
        <f t="array" aca="1" ref="J756" ca="1">IFERROR(INDEX(T_LEAVE_TYPES[SYMBOL],T_LEAVE[[#This Row],[LEAVE TYPE SYS ID]]),"")</f>
        <v>C</v>
      </c>
      <c r="K756">
        <f ca="1">IF(T_LEAVE[[#This Row],[EMPLOYEE]]="","",IF(T_LEAVE[[#This Row],[ERROR]]="",0,1))</f>
        <v>0</v>
      </c>
      <c r="L756" t="str" cm="1">
        <f t="array" aca="1" ref="L75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7" spans="1:12">
      <c r="A757" s="1" t="s">
        <v>2436</v>
      </c>
      <c r="B757" s="15" t="s">
        <v>1911</v>
      </c>
      <c r="C757" s="15" t="s">
        <v>2302</v>
      </c>
      <c r="D757" t="s">
        <v>98</v>
      </c>
      <c r="E757" s="1">
        <v>2</v>
      </c>
      <c r="F757" s="1"/>
      <c r="G757" s="1"/>
      <c r="H757">
        <f ca="1">IF(T_LEAVE[[#This Row],[EMPLOYEE]]="","",MATCH(T_LEAVE[[#This Row],[EMPLOYEE]],L_EMPLABELS,0))</f>
        <v>329</v>
      </c>
      <c r="I757">
        <f ca="1">IF(T_LEAVE[[#This Row],[EMPLOYEE]]="","",MATCH(T_LEAVE[[#This Row],[LEAVE TYPE]],L_LEAVETYPES,0))</f>
        <v>7</v>
      </c>
      <c r="J757" t="str" cm="1">
        <f t="array" aca="1" ref="J757" ca="1">IFERROR(INDEX(T_LEAVE_TYPES[SYMBOL],T_LEAVE[[#This Row],[LEAVE TYPE SYS ID]]),"")</f>
        <v>C</v>
      </c>
      <c r="K757">
        <f ca="1">IF(T_LEAVE[[#This Row],[EMPLOYEE]]="","",IF(T_LEAVE[[#This Row],[ERROR]]="",0,1))</f>
        <v>0</v>
      </c>
      <c r="L757" t="str" cm="1">
        <f t="array" aca="1" ref="L75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8" spans="1:12">
      <c r="A758" s="1" t="s">
        <v>2437</v>
      </c>
      <c r="B758" s="15" t="s">
        <v>1934</v>
      </c>
      <c r="C758" s="15" t="s">
        <v>1934</v>
      </c>
      <c r="D758" t="s">
        <v>98</v>
      </c>
      <c r="E758" s="1">
        <v>1</v>
      </c>
      <c r="F758" s="1"/>
      <c r="G758" s="1"/>
      <c r="H758">
        <f ca="1">IF(T_LEAVE[[#This Row],[EMPLOYEE]]="","",MATCH(T_LEAVE[[#This Row],[EMPLOYEE]],L_EMPLABELS,0))</f>
        <v>585</v>
      </c>
      <c r="I758">
        <f ca="1">IF(T_LEAVE[[#This Row],[EMPLOYEE]]="","",MATCH(T_LEAVE[[#This Row],[LEAVE TYPE]],L_LEAVETYPES,0))</f>
        <v>7</v>
      </c>
      <c r="J758" t="str" cm="1">
        <f t="array" aca="1" ref="J758" ca="1">IFERROR(INDEX(T_LEAVE_TYPES[SYMBOL],T_LEAVE[[#This Row],[LEAVE TYPE SYS ID]]),"")</f>
        <v>C</v>
      </c>
      <c r="K758">
        <f ca="1">IF(T_LEAVE[[#This Row],[EMPLOYEE]]="","",IF(T_LEAVE[[#This Row],[ERROR]]="",0,1))</f>
        <v>0</v>
      </c>
      <c r="L758" t="str" cm="1">
        <f t="array" aca="1" ref="L75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9" spans="1:12">
      <c r="A759" s="1" t="s">
        <v>2438</v>
      </c>
      <c r="B759" s="15" t="s">
        <v>1958</v>
      </c>
      <c r="C759" s="15" t="s">
        <v>1958</v>
      </c>
      <c r="D759" t="s">
        <v>98</v>
      </c>
      <c r="E759" s="1">
        <v>1</v>
      </c>
      <c r="F759" s="1"/>
      <c r="G759" s="1"/>
      <c r="H759">
        <f ca="1">IF(T_LEAVE[[#This Row],[EMPLOYEE]]="","",MATCH(T_LEAVE[[#This Row],[EMPLOYEE]],L_EMPLABELS,0))</f>
        <v>565</v>
      </c>
      <c r="I759">
        <f ca="1">IF(T_LEAVE[[#This Row],[EMPLOYEE]]="","",MATCH(T_LEAVE[[#This Row],[LEAVE TYPE]],L_LEAVETYPES,0))</f>
        <v>7</v>
      </c>
      <c r="J759" t="str" cm="1">
        <f t="array" aca="1" ref="J759" ca="1">IFERROR(INDEX(T_LEAVE_TYPES[SYMBOL],T_LEAVE[[#This Row],[LEAVE TYPE SYS ID]]),"")</f>
        <v>C</v>
      </c>
      <c r="K759">
        <f ca="1">IF(T_LEAVE[[#This Row],[EMPLOYEE]]="","",IF(T_LEAVE[[#This Row],[ERROR]]="",0,1))</f>
        <v>0</v>
      </c>
      <c r="L759" t="str" cm="1">
        <f t="array" aca="1" ref="L75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0" spans="1:12">
      <c r="A760" s="1" t="s">
        <v>2435</v>
      </c>
      <c r="B760" s="15" t="s">
        <v>1914</v>
      </c>
      <c r="C760" s="15" t="s">
        <v>1914</v>
      </c>
      <c r="D760" t="s">
        <v>98</v>
      </c>
      <c r="E760" s="1">
        <v>1</v>
      </c>
      <c r="F760" s="1"/>
      <c r="G760" s="1"/>
      <c r="H760">
        <f ca="1">IF(T_LEAVE[[#This Row],[EMPLOYEE]]="","",MATCH(T_LEAVE[[#This Row],[EMPLOYEE]],L_EMPLABELS,0))</f>
        <v>528</v>
      </c>
      <c r="I760">
        <f ca="1">IF(T_LEAVE[[#This Row],[EMPLOYEE]]="","",MATCH(T_LEAVE[[#This Row],[LEAVE TYPE]],L_LEAVETYPES,0))</f>
        <v>7</v>
      </c>
      <c r="J760" t="str" cm="1">
        <f t="array" aca="1" ref="J760" ca="1">IFERROR(INDEX(T_LEAVE_TYPES[SYMBOL],T_LEAVE[[#This Row],[LEAVE TYPE SYS ID]]),"")</f>
        <v>C</v>
      </c>
      <c r="K760">
        <f ca="1">IF(T_LEAVE[[#This Row],[EMPLOYEE]]="","",IF(T_LEAVE[[#This Row],[ERROR]]="",0,1))</f>
        <v>0</v>
      </c>
      <c r="L760" t="str" cm="1">
        <f t="array" aca="1" ref="L76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1" spans="1:12">
      <c r="A761" s="1" t="s">
        <v>2439</v>
      </c>
      <c r="B761" s="15" t="s">
        <v>1994</v>
      </c>
      <c r="C761" s="15" t="s">
        <v>1994</v>
      </c>
      <c r="D761" t="s">
        <v>92</v>
      </c>
      <c r="E761" s="1">
        <v>1</v>
      </c>
      <c r="F761" s="1"/>
      <c r="G761" s="1"/>
      <c r="H761">
        <f ca="1">IF(T_LEAVE[[#This Row],[EMPLOYEE]]="","",MATCH(T_LEAVE[[#This Row],[EMPLOYEE]],L_EMPLABELS,0))</f>
        <v>582</v>
      </c>
      <c r="I761">
        <f ca="1">IF(T_LEAVE[[#This Row],[EMPLOYEE]]="","",MATCH(T_LEAVE[[#This Row],[LEAVE TYPE]],L_LEAVETYPES,0))</f>
        <v>6</v>
      </c>
      <c r="J761" t="str" cm="1">
        <f t="array" aca="1" ref="J761" ca="1">IFERROR(INDEX(T_LEAVE_TYPES[SYMBOL],T_LEAVE[[#This Row],[LEAVE TYPE SYS ID]]),"")</f>
        <v>PR</v>
      </c>
      <c r="K761">
        <f ca="1">IF(T_LEAVE[[#This Row],[EMPLOYEE]]="","",IF(T_LEAVE[[#This Row],[ERROR]]="",0,1))</f>
        <v>0</v>
      </c>
      <c r="L761" t="str" cm="1">
        <f t="array" aca="1" ref="L76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2" spans="1:12">
      <c r="A762" s="1" t="s">
        <v>2436</v>
      </c>
      <c r="B762" s="15" t="s">
        <v>1999</v>
      </c>
      <c r="C762" s="15" t="s">
        <v>1999</v>
      </c>
      <c r="D762" t="s">
        <v>98</v>
      </c>
      <c r="E762" s="1">
        <v>1</v>
      </c>
      <c r="F762" s="1"/>
      <c r="G762" s="1"/>
      <c r="H762">
        <f ca="1">IF(T_LEAVE[[#This Row],[EMPLOYEE]]="","",MATCH(T_LEAVE[[#This Row],[EMPLOYEE]],L_EMPLABELS,0))</f>
        <v>329</v>
      </c>
      <c r="I762">
        <f ca="1">IF(T_LEAVE[[#This Row],[EMPLOYEE]]="","",MATCH(T_LEAVE[[#This Row],[LEAVE TYPE]],L_LEAVETYPES,0))</f>
        <v>7</v>
      </c>
      <c r="J762" t="str" cm="1">
        <f t="array" aca="1" ref="J762" ca="1">IFERROR(INDEX(T_LEAVE_TYPES[SYMBOL],T_LEAVE[[#This Row],[LEAVE TYPE SYS ID]]),"")</f>
        <v>C</v>
      </c>
      <c r="K762">
        <f ca="1">IF(T_LEAVE[[#This Row],[EMPLOYEE]]="","",IF(T_LEAVE[[#This Row],[ERROR]]="",0,1))</f>
        <v>0</v>
      </c>
      <c r="L762" t="str" cm="1">
        <f t="array" aca="1" ref="L76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3" spans="1:12">
      <c r="A763" s="1" t="s">
        <v>2436</v>
      </c>
      <c r="B763" s="15" t="s">
        <v>1934</v>
      </c>
      <c r="C763" s="15" t="s">
        <v>1934</v>
      </c>
      <c r="D763" t="s">
        <v>98</v>
      </c>
      <c r="E763" s="1">
        <v>1</v>
      </c>
      <c r="F763" s="1"/>
      <c r="G763" s="1"/>
      <c r="H763">
        <f ca="1">IF(T_LEAVE[[#This Row],[EMPLOYEE]]="","",MATCH(T_LEAVE[[#This Row],[EMPLOYEE]],L_EMPLABELS,0))</f>
        <v>329</v>
      </c>
      <c r="I763">
        <f ca="1">IF(T_LEAVE[[#This Row],[EMPLOYEE]]="","",MATCH(T_LEAVE[[#This Row],[LEAVE TYPE]],L_LEAVETYPES,0))</f>
        <v>7</v>
      </c>
      <c r="J763" t="str" cm="1">
        <f t="array" aca="1" ref="J763" ca="1">IFERROR(INDEX(T_LEAVE_TYPES[SYMBOL],T_LEAVE[[#This Row],[LEAVE TYPE SYS ID]]),"")</f>
        <v>C</v>
      </c>
      <c r="K763">
        <f ca="1">IF(T_LEAVE[[#This Row],[EMPLOYEE]]="","",IF(T_LEAVE[[#This Row],[ERROR]]="",0,1))</f>
        <v>0</v>
      </c>
      <c r="L763" t="str" cm="1">
        <f t="array" aca="1" ref="L76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4" spans="1:12">
      <c r="A764" s="1" t="s">
        <v>2436</v>
      </c>
      <c r="B764" s="15" t="s">
        <v>1920</v>
      </c>
      <c r="C764" s="15" t="s">
        <v>1920</v>
      </c>
      <c r="D764" t="s">
        <v>98</v>
      </c>
      <c r="E764" s="1">
        <v>1</v>
      </c>
      <c r="F764" s="1"/>
      <c r="G764" s="1"/>
      <c r="H764">
        <f ca="1">IF(T_LEAVE[[#This Row],[EMPLOYEE]]="","",MATCH(T_LEAVE[[#This Row],[EMPLOYEE]],L_EMPLABELS,0))</f>
        <v>329</v>
      </c>
      <c r="I764">
        <f ca="1">IF(T_LEAVE[[#This Row],[EMPLOYEE]]="","",MATCH(T_LEAVE[[#This Row],[LEAVE TYPE]],L_LEAVETYPES,0))</f>
        <v>7</v>
      </c>
      <c r="J764" t="str" cm="1">
        <f t="array" aca="1" ref="J764" ca="1">IFERROR(INDEX(T_LEAVE_TYPES[SYMBOL],T_LEAVE[[#This Row],[LEAVE TYPE SYS ID]]),"")</f>
        <v>C</v>
      </c>
      <c r="K764">
        <f ca="1">IF(T_LEAVE[[#This Row],[EMPLOYEE]]="","",IF(T_LEAVE[[#This Row],[ERROR]]="",0,1))</f>
        <v>0</v>
      </c>
      <c r="L764" t="str" cm="1">
        <f t="array" aca="1" ref="L76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5" spans="1:12">
      <c r="A765" s="1" t="s">
        <v>2436</v>
      </c>
      <c r="B765" s="15" t="s">
        <v>1920</v>
      </c>
      <c r="C765" s="15" t="s">
        <v>1920</v>
      </c>
      <c r="D765" t="s">
        <v>98</v>
      </c>
      <c r="E765" s="1">
        <v>1</v>
      </c>
      <c r="F765" s="1"/>
      <c r="G765" s="1"/>
      <c r="H765">
        <f ca="1">IF(T_LEAVE[[#This Row],[EMPLOYEE]]="","",MATCH(T_LEAVE[[#This Row],[EMPLOYEE]],L_EMPLABELS,0))</f>
        <v>329</v>
      </c>
      <c r="I765">
        <f ca="1">IF(T_LEAVE[[#This Row],[EMPLOYEE]]="","",MATCH(T_LEAVE[[#This Row],[LEAVE TYPE]],L_LEAVETYPES,0))</f>
        <v>7</v>
      </c>
      <c r="J765" t="str" cm="1">
        <f t="array" aca="1" ref="J765" ca="1">IFERROR(INDEX(T_LEAVE_TYPES[SYMBOL],T_LEAVE[[#This Row],[LEAVE TYPE SYS ID]]),"")</f>
        <v>C</v>
      </c>
      <c r="K765">
        <f ca="1">IF(T_LEAVE[[#This Row],[EMPLOYEE]]="","",IF(T_LEAVE[[#This Row],[ERROR]]="",0,1))</f>
        <v>0</v>
      </c>
      <c r="L765" t="str" cm="1">
        <f t="array" aca="1" ref="L76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6" spans="1:12">
      <c r="A766" s="1" t="s">
        <v>2440</v>
      </c>
      <c r="B766" s="15" t="s">
        <v>2441</v>
      </c>
      <c r="C766" s="15" t="s">
        <v>2441</v>
      </c>
      <c r="D766" t="s">
        <v>98</v>
      </c>
      <c r="E766" s="1">
        <v>1</v>
      </c>
      <c r="F766" s="1"/>
      <c r="G766" s="1"/>
      <c r="H766">
        <f ca="1">IF(T_LEAVE[[#This Row],[EMPLOYEE]]="","",MATCH(T_LEAVE[[#This Row],[EMPLOYEE]],L_EMPLABELS,0))</f>
        <v>304</v>
      </c>
      <c r="I766">
        <f ca="1">IF(T_LEAVE[[#This Row],[EMPLOYEE]]="","",MATCH(T_LEAVE[[#This Row],[LEAVE TYPE]],L_LEAVETYPES,0))</f>
        <v>7</v>
      </c>
      <c r="J766" t="str" cm="1">
        <f t="array" aca="1" ref="J766" ca="1">IFERROR(INDEX(T_LEAVE_TYPES[SYMBOL],T_LEAVE[[#This Row],[LEAVE TYPE SYS ID]]),"")</f>
        <v>C</v>
      </c>
      <c r="K766">
        <f ca="1">IF(T_LEAVE[[#This Row],[EMPLOYEE]]="","",IF(T_LEAVE[[#This Row],[ERROR]]="",0,1))</f>
        <v>0</v>
      </c>
      <c r="L766" t="str" cm="1">
        <f t="array" aca="1" ref="L76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7" spans="1:12">
      <c r="A767" s="1" t="s">
        <v>2440</v>
      </c>
      <c r="B767" s="15" t="s">
        <v>2442</v>
      </c>
      <c r="C767" s="15" t="s">
        <v>2442</v>
      </c>
      <c r="D767" t="s">
        <v>92</v>
      </c>
      <c r="E767" s="1">
        <v>1</v>
      </c>
      <c r="F767" s="1"/>
      <c r="G767" s="1"/>
      <c r="H767">
        <f ca="1">IF(T_LEAVE[[#This Row],[EMPLOYEE]]="","",MATCH(T_LEAVE[[#This Row],[EMPLOYEE]],L_EMPLABELS,0))</f>
        <v>304</v>
      </c>
      <c r="I767">
        <f ca="1">IF(T_LEAVE[[#This Row],[EMPLOYEE]]="","",MATCH(T_LEAVE[[#This Row],[LEAVE TYPE]],L_LEAVETYPES,0))</f>
        <v>6</v>
      </c>
      <c r="J767" t="str" cm="1">
        <f t="array" aca="1" ref="J767" ca="1">IFERROR(INDEX(T_LEAVE_TYPES[SYMBOL],T_LEAVE[[#This Row],[LEAVE TYPE SYS ID]]),"")</f>
        <v>PR</v>
      </c>
      <c r="K767">
        <f ca="1">IF(T_LEAVE[[#This Row],[EMPLOYEE]]="","",IF(T_LEAVE[[#This Row],[ERROR]]="",0,1))</f>
        <v>0</v>
      </c>
      <c r="L767" t="str" cm="1">
        <f t="array" aca="1" ref="L76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8" spans="1:12">
      <c r="A768" s="1" t="s">
        <v>2440</v>
      </c>
      <c r="B768" s="15" t="s">
        <v>2238</v>
      </c>
      <c r="C768" s="15" t="s">
        <v>2238</v>
      </c>
      <c r="D768" t="s">
        <v>98</v>
      </c>
      <c r="E768" s="1">
        <v>1</v>
      </c>
      <c r="F768" s="1"/>
      <c r="G768" s="1"/>
      <c r="H768">
        <f ca="1">IF(T_LEAVE[[#This Row],[EMPLOYEE]]="","",MATCH(T_LEAVE[[#This Row],[EMPLOYEE]],L_EMPLABELS,0))</f>
        <v>304</v>
      </c>
      <c r="I768">
        <f ca="1">IF(T_LEAVE[[#This Row],[EMPLOYEE]]="","",MATCH(T_LEAVE[[#This Row],[LEAVE TYPE]],L_LEAVETYPES,0))</f>
        <v>7</v>
      </c>
      <c r="J768" t="str" cm="1">
        <f t="array" aca="1" ref="J768" ca="1">IFERROR(INDEX(T_LEAVE_TYPES[SYMBOL],T_LEAVE[[#This Row],[LEAVE TYPE SYS ID]]),"")</f>
        <v>C</v>
      </c>
      <c r="K768">
        <f ca="1">IF(T_LEAVE[[#This Row],[EMPLOYEE]]="","",IF(T_LEAVE[[#This Row],[ERROR]]="",0,1))</f>
        <v>0</v>
      </c>
      <c r="L768" t="str" cm="1">
        <f t="array" aca="1" ref="L76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9" spans="1:12">
      <c r="A769" s="1" t="s">
        <v>2440</v>
      </c>
      <c r="B769" s="15" t="s">
        <v>2443</v>
      </c>
      <c r="C769" s="15" t="s">
        <v>2443</v>
      </c>
      <c r="D769" t="s">
        <v>98</v>
      </c>
      <c r="E769" s="1">
        <v>1</v>
      </c>
      <c r="F769" s="1"/>
      <c r="G769" s="1"/>
      <c r="H769">
        <f ca="1">IF(T_LEAVE[[#This Row],[EMPLOYEE]]="","",MATCH(T_LEAVE[[#This Row],[EMPLOYEE]],L_EMPLABELS,0))</f>
        <v>304</v>
      </c>
      <c r="I769">
        <f ca="1">IF(T_LEAVE[[#This Row],[EMPLOYEE]]="","",MATCH(T_LEAVE[[#This Row],[LEAVE TYPE]],L_LEAVETYPES,0))</f>
        <v>7</v>
      </c>
      <c r="J769" t="str" cm="1">
        <f t="array" aca="1" ref="J769" ca="1">IFERROR(INDEX(T_LEAVE_TYPES[SYMBOL],T_LEAVE[[#This Row],[LEAVE TYPE SYS ID]]),"")</f>
        <v>C</v>
      </c>
      <c r="K769">
        <f ca="1">IF(T_LEAVE[[#This Row],[EMPLOYEE]]="","",IF(T_LEAVE[[#This Row],[ERROR]]="",0,1))</f>
        <v>0</v>
      </c>
      <c r="L769" t="str" cm="1">
        <f t="array" aca="1" ref="L76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0" spans="1:12">
      <c r="A770" s="1" t="s">
        <v>2440</v>
      </c>
      <c r="B770" s="15" t="s">
        <v>2116</v>
      </c>
      <c r="C770" s="15" t="s">
        <v>2116</v>
      </c>
      <c r="D770" t="s">
        <v>92</v>
      </c>
      <c r="E770" s="1">
        <v>1</v>
      </c>
      <c r="F770" s="1"/>
      <c r="G770" s="1"/>
      <c r="H770">
        <f ca="1">IF(T_LEAVE[[#This Row],[EMPLOYEE]]="","",MATCH(T_LEAVE[[#This Row],[EMPLOYEE]],L_EMPLABELS,0))</f>
        <v>304</v>
      </c>
      <c r="I770">
        <f ca="1">IF(T_LEAVE[[#This Row],[EMPLOYEE]]="","",MATCH(T_LEAVE[[#This Row],[LEAVE TYPE]],L_LEAVETYPES,0))</f>
        <v>6</v>
      </c>
      <c r="J770" t="str" cm="1">
        <f t="array" aca="1" ref="J770" ca="1">IFERROR(INDEX(T_LEAVE_TYPES[SYMBOL],T_LEAVE[[#This Row],[LEAVE TYPE SYS ID]]),"")</f>
        <v>PR</v>
      </c>
      <c r="K770">
        <f ca="1">IF(T_LEAVE[[#This Row],[EMPLOYEE]]="","",IF(T_LEAVE[[#This Row],[ERROR]]="",0,1))</f>
        <v>0</v>
      </c>
      <c r="L770" t="str" cm="1">
        <f t="array" aca="1" ref="L77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1" spans="1:12">
      <c r="A771" s="1" t="s">
        <v>2440</v>
      </c>
      <c r="B771" s="15" t="s">
        <v>2015</v>
      </c>
      <c r="C771" s="15" t="s">
        <v>2015</v>
      </c>
      <c r="D771" t="s">
        <v>98</v>
      </c>
      <c r="E771" s="1">
        <v>1</v>
      </c>
      <c r="F771" s="1"/>
      <c r="G771" s="1"/>
      <c r="H771">
        <f ca="1">IF(T_LEAVE[[#This Row],[EMPLOYEE]]="","",MATCH(T_LEAVE[[#This Row],[EMPLOYEE]],L_EMPLABELS,0))</f>
        <v>304</v>
      </c>
      <c r="I771">
        <f ca="1">IF(T_LEAVE[[#This Row],[EMPLOYEE]]="","",MATCH(T_LEAVE[[#This Row],[LEAVE TYPE]],L_LEAVETYPES,0))</f>
        <v>7</v>
      </c>
      <c r="J771" t="str" cm="1">
        <f t="array" aca="1" ref="J771" ca="1">IFERROR(INDEX(T_LEAVE_TYPES[SYMBOL],T_LEAVE[[#This Row],[LEAVE TYPE SYS ID]]),"")</f>
        <v>C</v>
      </c>
      <c r="K771">
        <f ca="1">IF(T_LEAVE[[#This Row],[EMPLOYEE]]="","",IF(T_LEAVE[[#This Row],[ERROR]]="",0,1))</f>
        <v>0</v>
      </c>
      <c r="L771" t="str" cm="1">
        <f t="array" aca="1" ref="L77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2" spans="1:12">
      <c r="A772" s="1" t="s">
        <v>2440</v>
      </c>
      <c r="B772" s="15" t="s">
        <v>1932</v>
      </c>
      <c r="C772" s="15" t="s">
        <v>1932</v>
      </c>
      <c r="D772" t="s">
        <v>98</v>
      </c>
      <c r="E772" s="1">
        <v>1</v>
      </c>
      <c r="F772" s="1"/>
      <c r="G772" s="1"/>
      <c r="H772">
        <f ca="1">IF(T_LEAVE[[#This Row],[EMPLOYEE]]="","",MATCH(T_LEAVE[[#This Row],[EMPLOYEE]],L_EMPLABELS,0))</f>
        <v>304</v>
      </c>
      <c r="I772">
        <f ca="1">IF(T_LEAVE[[#This Row],[EMPLOYEE]]="","",MATCH(T_LEAVE[[#This Row],[LEAVE TYPE]],L_LEAVETYPES,0))</f>
        <v>7</v>
      </c>
      <c r="J772" t="str" cm="1">
        <f t="array" aca="1" ref="J772" ca="1">IFERROR(INDEX(T_LEAVE_TYPES[SYMBOL],T_LEAVE[[#This Row],[LEAVE TYPE SYS ID]]),"")</f>
        <v>C</v>
      </c>
      <c r="K772">
        <f ca="1">IF(T_LEAVE[[#This Row],[EMPLOYEE]]="","",IF(T_LEAVE[[#This Row],[ERROR]]="",0,1))</f>
        <v>0</v>
      </c>
      <c r="L772" t="str" cm="1">
        <f t="array" aca="1" ref="L77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3" spans="1:12">
      <c r="A773" s="1" t="s">
        <v>2439</v>
      </c>
      <c r="B773" s="15" t="s">
        <v>1985</v>
      </c>
      <c r="C773" s="15" t="s">
        <v>1985</v>
      </c>
      <c r="D773" t="s">
        <v>92</v>
      </c>
      <c r="E773" s="1">
        <v>0.5</v>
      </c>
      <c r="F773" s="1"/>
      <c r="G773" s="1"/>
      <c r="H773">
        <f ca="1">IF(T_LEAVE[[#This Row],[EMPLOYEE]]="","",MATCH(T_LEAVE[[#This Row],[EMPLOYEE]],L_EMPLABELS,0))</f>
        <v>582</v>
      </c>
      <c r="I773">
        <f ca="1">IF(T_LEAVE[[#This Row],[EMPLOYEE]]="","",MATCH(T_LEAVE[[#This Row],[LEAVE TYPE]],L_LEAVETYPES,0))</f>
        <v>6</v>
      </c>
      <c r="J773" t="str" cm="1">
        <f t="array" aca="1" ref="J773" ca="1">IFERROR(INDEX(T_LEAVE_TYPES[SYMBOL],T_LEAVE[[#This Row],[LEAVE TYPE SYS ID]]),"")</f>
        <v>PR</v>
      </c>
      <c r="K773">
        <f ca="1">IF(T_LEAVE[[#This Row],[EMPLOYEE]]="","",IF(T_LEAVE[[#This Row],[ERROR]]="",0,1))</f>
        <v>0</v>
      </c>
      <c r="L773" t="str" cm="1">
        <f t="array" aca="1" ref="L77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4" spans="1:12">
      <c r="A774" s="1" t="s">
        <v>2434</v>
      </c>
      <c r="B774" s="15" t="s">
        <v>1915</v>
      </c>
      <c r="C774" s="15" t="s">
        <v>1915</v>
      </c>
      <c r="D774" t="s">
        <v>98</v>
      </c>
      <c r="E774" s="1">
        <v>1</v>
      </c>
      <c r="F774" s="1"/>
      <c r="G774" s="1"/>
      <c r="H774">
        <f ca="1">IF(T_LEAVE[[#This Row],[EMPLOYEE]]="","",MATCH(T_LEAVE[[#This Row],[EMPLOYEE]],L_EMPLABELS,0))</f>
        <v>496</v>
      </c>
      <c r="I774">
        <f ca="1">IF(T_LEAVE[[#This Row],[EMPLOYEE]]="","",MATCH(T_LEAVE[[#This Row],[LEAVE TYPE]],L_LEAVETYPES,0))</f>
        <v>7</v>
      </c>
      <c r="J774" t="str" cm="1">
        <f t="array" aca="1" ref="J774" ca="1">IFERROR(INDEX(T_LEAVE_TYPES[SYMBOL],T_LEAVE[[#This Row],[LEAVE TYPE SYS ID]]),"")</f>
        <v>C</v>
      </c>
      <c r="K774">
        <f ca="1">IF(T_LEAVE[[#This Row],[EMPLOYEE]]="","",IF(T_LEAVE[[#This Row],[ERROR]]="",0,1))</f>
        <v>0</v>
      </c>
      <c r="L774" t="str" cm="1">
        <f t="array" aca="1" ref="L77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5" spans="1:12">
      <c r="A775" s="1" t="s">
        <v>2439</v>
      </c>
      <c r="B775" s="15" t="s">
        <v>1938</v>
      </c>
      <c r="C775" s="15" t="s">
        <v>1997</v>
      </c>
      <c r="D775" t="s">
        <v>92</v>
      </c>
      <c r="E775" s="1">
        <v>2</v>
      </c>
      <c r="F775" s="1"/>
      <c r="G775" s="1"/>
      <c r="H775">
        <f ca="1">IF(T_LEAVE[[#This Row],[EMPLOYEE]]="","",MATCH(T_LEAVE[[#This Row],[EMPLOYEE]],L_EMPLABELS,0))</f>
        <v>582</v>
      </c>
      <c r="I775">
        <f ca="1">IF(T_LEAVE[[#This Row],[EMPLOYEE]]="","",MATCH(T_LEAVE[[#This Row],[LEAVE TYPE]],L_LEAVETYPES,0))</f>
        <v>6</v>
      </c>
      <c r="J775" t="str" cm="1">
        <f t="array" aca="1" ref="J775" ca="1">IFERROR(INDEX(T_LEAVE_TYPES[SYMBOL],T_LEAVE[[#This Row],[LEAVE TYPE SYS ID]]),"")</f>
        <v>PR</v>
      </c>
      <c r="K775">
        <f ca="1">IF(T_LEAVE[[#This Row],[EMPLOYEE]]="","",IF(T_LEAVE[[#This Row],[ERROR]]="",0,1))</f>
        <v>0</v>
      </c>
      <c r="L775" t="str" cm="1">
        <f t="array" aca="1" ref="L77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6" spans="1:12">
      <c r="A776" s="1" t="s">
        <v>2444</v>
      </c>
      <c r="B776" s="15" t="s">
        <v>2022</v>
      </c>
      <c r="C776" s="15" t="s">
        <v>2022</v>
      </c>
      <c r="D776" t="s">
        <v>92</v>
      </c>
      <c r="E776" s="1">
        <v>1</v>
      </c>
      <c r="F776" s="1"/>
      <c r="G776" s="1"/>
      <c r="H776">
        <f ca="1">IF(T_LEAVE[[#This Row],[EMPLOYEE]]="","",MATCH(T_LEAVE[[#This Row],[EMPLOYEE]],L_EMPLABELS,0))</f>
        <v>320</v>
      </c>
      <c r="I776">
        <f ca="1">IF(T_LEAVE[[#This Row],[EMPLOYEE]]="","",MATCH(T_LEAVE[[#This Row],[LEAVE TYPE]],L_LEAVETYPES,0))</f>
        <v>6</v>
      </c>
      <c r="J776" t="str" cm="1">
        <f t="array" aca="1" ref="J776" ca="1">IFERROR(INDEX(T_LEAVE_TYPES[SYMBOL],T_LEAVE[[#This Row],[LEAVE TYPE SYS ID]]),"")</f>
        <v>PR</v>
      </c>
      <c r="K776">
        <f ca="1">IF(T_LEAVE[[#This Row],[EMPLOYEE]]="","",IF(T_LEAVE[[#This Row],[ERROR]]="",0,1))</f>
        <v>0</v>
      </c>
      <c r="L776" t="str" cm="1">
        <f t="array" aca="1" ref="L77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7" spans="1:12">
      <c r="A777" s="1" t="s">
        <v>2445</v>
      </c>
      <c r="B777" s="15" t="s">
        <v>1915</v>
      </c>
      <c r="C777" s="15" t="s">
        <v>1915</v>
      </c>
      <c r="D777" t="s">
        <v>98</v>
      </c>
      <c r="E777" s="1">
        <v>1</v>
      </c>
      <c r="F777" s="1"/>
      <c r="G777" s="1"/>
      <c r="H777">
        <f ca="1">IF(T_LEAVE[[#This Row],[EMPLOYEE]]="","",MATCH(T_LEAVE[[#This Row],[EMPLOYEE]],L_EMPLABELS,0))</f>
        <v>572</v>
      </c>
      <c r="I777">
        <f ca="1">IF(T_LEAVE[[#This Row],[EMPLOYEE]]="","",MATCH(T_LEAVE[[#This Row],[LEAVE TYPE]],L_LEAVETYPES,0))</f>
        <v>7</v>
      </c>
      <c r="J777" t="str" cm="1">
        <f t="array" aca="1" ref="J777" ca="1">IFERROR(INDEX(T_LEAVE_TYPES[SYMBOL],T_LEAVE[[#This Row],[LEAVE TYPE SYS ID]]),"")</f>
        <v>C</v>
      </c>
      <c r="K777">
        <f ca="1">IF(T_LEAVE[[#This Row],[EMPLOYEE]]="","",IF(T_LEAVE[[#This Row],[ERROR]]="",0,1))</f>
        <v>0</v>
      </c>
      <c r="L777" t="str" cm="1">
        <f t="array" aca="1" ref="L77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8" spans="1:12">
      <c r="A778" s="1" t="s">
        <v>2436</v>
      </c>
      <c r="B778" s="15" t="s">
        <v>2036</v>
      </c>
      <c r="C778" s="15" t="s">
        <v>2024</v>
      </c>
      <c r="D778" t="s">
        <v>98</v>
      </c>
      <c r="E778" s="1">
        <v>2</v>
      </c>
      <c r="F778" s="1"/>
      <c r="G778" s="1"/>
      <c r="H778">
        <f ca="1">IF(T_LEAVE[[#This Row],[EMPLOYEE]]="","",MATCH(T_LEAVE[[#This Row],[EMPLOYEE]],L_EMPLABELS,0))</f>
        <v>329</v>
      </c>
      <c r="I778">
        <f ca="1">IF(T_LEAVE[[#This Row],[EMPLOYEE]]="","",MATCH(T_LEAVE[[#This Row],[LEAVE TYPE]],L_LEAVETYPES,0))</f>
        <v>7</v>
      </c>
      <c r="J778" t="str" cm="1">
        <f t="array" aca="1" ref="J778" ca="1">IFERROR(INDEX(T_LEAVE_TYPES[SYMBOL],T_LEAVE[[#This Row],[LEAVE TYPE SYS ID]]),"")</f>
        <v>C</v>
      </c>
      <c r="K778">
        <f ca="1">IF(T_LEAVE[[#This Row],[EMPLOYEE]]="","",IF(T_LEAVE[[#This Row],[ERROR]]="",0,1))</f>
        <v>0</v>
      </c>
      <c r="L778" t="str" cm="1">
        <f t="array" aca="1" ref="L77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9" spans="1:12">
      <c r="A779" s="1" t="s">
        <v>2437</v>
      </c>
      <c r="B779" s="15" t="s">
        <v>1989</v>
      </c>
      <c r="C779" s="15" t="s">
        <v>1989</v>
      </c>
      <c r="D779" t="s">
        <v>98</v>
      </c>
      <c r="E779" s="1">
        <v>1</v>
      </c>
      <c r="F779" s="1"/>
      <c r="G779" s="1"/>
      <c r="H779">
        <f ca="1">IF(T_LEAVE[[#This Row],[EMPLOYEE]]="","",MATCH(T_LEAVE[[#This Row],[EMPLOYEE]],L_EMPLABELS,0))</f>
        <v>585</v>
      </c>
      <c r="I779">
        <f ca="1">IF(T_LEAVE[[#This Row],[EMPLOYEE]]="","",MATCH(T_LEAVE[[#This Row],[LEAVE TYPE]],L_LEAVETYPES,0))</f>
        <v>7</v>
      </c>
      <c r="J779" t="str" cm="1">
        <f t="array" aca="1" ref="J779" ca="1">IFERROR(INDEX(T_LEAVE_TYPES[SYMBOL],T_LEAVE[[#This Row],[LEAVE TYPE SYS ID]]),"")</f>
        <v>C</v>
      </c>
      <c r="K779">
        <f ca="1">IF(T_LEAVE[[#This Row],[EMPLOYEE]]="","",IF(T_LEAVE[[#This Row],[ERROR]]="",0,1))</f>
        <v>0</v>
      </c>
      <c r="L779" t="str" cm="1">
        <f t="array" aca="1" ref="L77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0" spans="1:12">
      <c r="A780" s="1" t="s">
        <v>2440</v>
      </c>
      <c r="B780" s="15" t="s">
        <v>2022</v>
      </c>
      <c r="C780" s="15" t="s">
        <v>1990</v>
      </c>
      <c r="D780" t="s">
        <v>92</v>
      </c>
      <c r="E780" s="1">
        <v>2</v>
      </c>
      <c r="F780" s="1"/>
      <c r="G780" s="1"/>
      <c r="H780">
        <f ca="1">IF(T_LEAVE[[#This Row],[EMPLOYEE]]="","",MATCH(T_LEAVE[[#This Row],[EMPLOYEE]],L_EMPLABELS,0))</f>
        <v>304</v>
      </c>
      <c r="I780">
        <f ca="1">IF(T_LEAVE[[#This Row],[EMPLOYEE]]="","",MATCH(T_LEAVE[[#This Row],[LEAVE TYPE]],L_LEAVETYPES,0))</f>
        <v>6</v>
      </c>
      <c r="J780" t="str" cm="1">
        <f t="array" aca="1" ref="J780" ca="1">IFERROR(INDEX(T_LEAVE_TYPES[SYMBOL],T_LEAVE[[#This Row],[LEAVE TYPE SYS ID]]),"")</f>
        <v>PR</v>
      </c>
      <c r="K780">
        <f ca="1">IF(T_LEAVE[[#This Row],[EMPLOYEE]]="","",IF(T_LEAVE[[#This Row],[ERROR]]="",0,1))</f>
        <v>0</v>
      </c>
      <c r="L780" t="str" cm="1">
        <f t="array" aca="1" ref="L78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1" spans="1:12">
      <c r="A781" s="1" t="s">
        <v>2435</v>
      </c>
      <c r="B781" s="15" t="s">
        <v>1999</v>
      </c>
      <c r="C781" s="15" t="s">
        <v>1999</v>
      </c>
      <c r="D781" t="s">
        <v>98</v>
      </c>
      <c r="E781" s="1">
        <v>1</v>
      </c>
      <c r="F781" s="1"/>
      <c r="G781" s="1"/>
      <c r="H781">
        <f ca="1">IF(T_LEAVE[[#This Row],[EMPLOYEE]]="","",MATCH(T_LEAVE[[#This Row],[EMPLOYEE]],L_EMPLABELS,0))</f>
        <v>528</v>
      </c>
      <c r="I781">
        <f ca="1">IF(T_LEAVE[[#This Row],[EMPLOYEE]]="","",MATCH(T_LEAVE[[#This Row],[LEAVE TYPE]],L_LEAVETYPES,0))</f>
        <v>7</v>
      </c>
      <c r="J781" t="str" cm="1">
        <f t="array" aca="1" ref="J781" ca="1">IFERROR(INDEX(T_LEAVE_TYPES[SYMBOL],T_LEAVE[[#This Row],[LEAVE TYPE SYS ID]]),"")</f>
        <v>C</v>
      </c>
      <c r="K781">
        <f ca="1">IF(T_LEAVE[[#This Row],[EMPLOYEE]]="","",IF(T_LEAVE[[#This Row],[ERROR]]="",0,1))</f>
        <v>0</v>
      </c>
      <c r="L781" t="str" cm="1">
        <f t="array" aca="1" ref="L78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2" spans="1:12">
      <c r="A782" s="1" t="s">
        <v>2439</v>
      </c>
      <c r="B782" s="15" t="s">
        <v>2049</v>
      </c>
      <c r="C782" s="15" t="s">
        <v>1939</v>
      </c>
      <c r="D782" t="s">
        <v>98</v>
      </c>
      <c r="E782" s="1">
        <v>2</v>
      </c>
      <c r="F782" s="1"/>
      <c r="G782" s="1"/>
      <c r="H782">
        <f ca="1">IF(T_LEAVE[[#This Row],[EMPLOYEE]]="","",MATCH(T_LEAVE[[#This Row],[EMPLOYEE]],L_EMPLABELS,0))</f>
        <v>582</v>
      </c>
      <c r="I782">
        <f ca="1">IF(T_LEAVE[[#This Row],[EMPLOYEE]]="","",MATCH(T_LEAVE[[#This Row],[LEAVE TYPE]],L_LEAVETYPES,0))</f>
        <v>7</v>
      </c>
      <c r="J782" t="str" cm="1">
        <f t="array" aca="1" ref="J782" ca="1">IFERROR(INDEX(T_LEAVE_TYPES[SYMBOL],T_LEAVE[[#This Row],[LEAVE TYPE SYS ID]]),"")</f>
        <v>C</v>
      </c>
      <c r="K782">
        <f ca="1">IF(T_LEAVE[[#This Row],[EMPLOYEE]]="","",IF(T_LEAVE[[#This Row],[ERROR]]="",0,1))</f>
        <v>0</v>
      </c>
      <c r="L782" t="str" cm="1">
        <f t="array" aca="1" ref="L78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3" spans="1:12">
      <c r="A783" s="1" t="s">
        <v>2438</v>
      </c>
      <c r="B783" s="15" t="s">
        <v>2035</v>
      </c>
      <c r="C783" s="15" t="s">
        <v>2035</v>
      </c>
      <c r="D783" t="s">
        <v>98</v>
      </c>
      <c r="E783" s="1">
        <v>1</v>
      </c>
      <c r="F783" s="1"/>
      <c r="G783" s="1"/>
      <c r="H783">
        <f ca="1">IF(T_LEAVE[[#This Row],[EMPLOYEE]]="","",MATCH(T_LEAVE[[#This Row],[EMPLOYEE]],L_EMPLABELS,0))</f>
        <v>565</v>
      </c>
      <c r="I783">
        <f ca="1">IF(T_LEAVE[[#This Row],[EMPLOYEE]]="","",MATCH(T_LEAVE[[#This Row],[LEAVE TYPE]],L_LEAVETYPES,0))</f>
        <v>7</v>
      </c>
      <c r="J783" t="str" cm="1">
        <f t="array" aca="1" ref="J783" ca="1">IFERROR(INDEX(T_LEAVE_TYPES[SYMBOL],T_LEAVE[[#This Row],[LEAVE TYPE SYS ID]]),"")</f>
        <v>C</v>
      </c>
      <c r="K783">
        <f ca="1">IF(T_LEAVE[[#This Row],[EMPLOYEE]]="","",IF(T_LEAVE[[#This Row],[ERROR]]="",0,1))</f>
        <v>0</v>
      </c>
      <c r="L783" t="str" cm="1">
        <f t="array" aca="1" ref="L78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4" spans="1:12">
      <c r="A784" s="1" t="s">
        <v>2437</v>
      </c>
      <c r="B784" s="15" t="s">
        <v>2035</v>
      </c>
      <c r="C784" s="15" t="s">
        <v>2035</v>
      </c>
      <c r="D784" t="s">
        <v>98</v>
      </c>
      <c r="E784" s="1">
        <v>1</v>
      </c>
      <c r="F784" s="1"/>
      <c r="G784" s="1"/>
      <c r="H784">
        <f ca="1">IF(T_LEAVE[[#This Row],[EMPLOYEE]]="","",MATCH(T_LEAVE[[#This Row],[EMPLOYEE]],L_EMPLABELS,0))</f>
        <v>585</v>
      </c>
      <c r="I784">
        <f ca="1">IF(T_LEAVE[[#This Row],[EMPLOYEE]]="","",MATCH(T_LEAVE[[#This Row],[LEAVE TYPE]],L_LEAVETYPES,0))</f>
        <v>7</v>
      </c>
      <c r="J784" t="str" cm="1">
        <f t="array" aca="1" ref="J784" ca="1">IFERROR(INDEX(T_LEAVE_TYPES[SYMBOL],T_LEAVE[[#This Row],[LEAVE TYPE SYS ID]]),"")</f>
        <v>C</v>
      </c>
      <c r="K784">
        <f ca="1">IF(T_LEAVE[[#This Row],[EMPLOYEE]]="","",IF(T_LEAVE[[#This Row],[ERROR]]="",0,1))</f>
        <v>0</v>
      </c>
      <c r="L784" t="str" cm="1">
        <f t="array" aca="1" ref="L78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5" spans="1:12">
      <c r="A785" s="1" t="s">
        <v>2439</v>
      </c>
      <c r="B785" s="15" t="s">
        <v>2059</v>
      </c>
      <c r="C785" s="15" t="s">
        <v>2059</v>
      </c>
      <c r="D785" t="s">
        <v>98</v>
      </c>
      <c r="E785" s="1">
        <v>1</v>
      </c>
      <c r="F785" s="1"/>
      <c r="G785" s="1"/>
      <c r="H785">
        <f ca="1">IF(T_LEAVE[[#This Row],[EMPLOYEE]]="","",MATCH(T_LEAVE[[#This Row],[EMPLOYEE]],L_EMPLABELS,0))</f>
        <v>582</v>
      </c>
      <c r="I785">
        <f ca="1">IF(T_LEAVE[[#This Row],[EMPLOYEE]]="","",MATCH(T_LEAVE[[#This Row],[LEAVE TYPE]],L_LEAVETYPES,0))</f>
        <v>7</v>
      </c>
      <c r="J785" t="str" cm="1">
        <f t="array" aca="1" ref="J785" ca="1">IFERROR(INDEX(T_LEAVE_TYPES[SYMBOL],T_LEAVE[[#This Row],[LEAVE TYPE SYS ID]]),"")</f>
        <v>C</v>
      </c>
      <c r="K785">
        <f ca="1">IF(T_LEAVE[[#This Row],[EMPLOYEE]]="","",IF(T_LEAVE[[#This Row],[ERROR]]="",0,1))</f>
        <v>0</v>
      </c>
      <c r="L785" t="str" cm="1">
        <f t="array" aca="1" ref="L78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6" spans="1:12">
      <c r="A786" s="1" t="s">
        <v>2436</v>
      </c>
      <c r="B786" s="15" t="s">
        <v>1940</v>
      </c>
      <c r="C786" s="15" t="s">
        <v>1941</v>
      </c>
      <c r="D786" s="1" t="s">
        <v>103</v>
      </c>
      <c r="E786" s="1">
        <v>4</v>
      </c>
      <c r="F786" s="1"/>
      <c r="G786" s="1"/>
      <c r="H786">
        <f ca="1">IF(T_LEAVE[[#This Row],[EMPLOYEE]]="","",MATCH(T_LEAVE[[#This Row],[EMPLOYEE]],L_EMPLABELS,0))</f>
        <v>329</v>
      </c>
      <c r="I786">
        <f ca="1">IF(T_LEAVE[[#This Row],[EMPLOYEE]]="","",MATCH(T_LEAVE[[#This Row],[LEAVE TYPE]],L_LEAVETYPES,0))</f>
        <v>8</v>
      </c>
      <c r="J786" t="str" cm="1">
        <f t="array" aca="1" ref="J786" ca="1">IFERROR(INDEX(T_LEAVE_TYPES[SYMBOL],T_LEAVE[[#This Row],[LEAVE TYPE SYS ID]]),"")</f>
        <v>LOP</v>
      </c>
      <c r="K786">
        <f ca="1">IF(T_LEAVE[[#This Row],[EMPLOYEE]]="","",IF(T_LEAVE[[#This Row],[ERROR]]="",0,1))</f>
        <v>0</v>
      </c>
      <c r="L786" t="str" cm="1">
        <f t="array" aca="1" ref="L78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7" spans="1:12">
      <c r="A787" s="1" t="s">
        <v>2436</v>
      </c>
      <c r="B787" s="15" t="s">
        <v>2044</v>
      </c>
      <c r="C787" s="15" t="s">
        <v>2082</v>
      </c>
      <c r="D787" s="1" t="s">
        <v>103</v>
      </c>
      <c r="E787" s="1">
        <v>4</v>
      </c>
      <c r="F787" s="1"/>
      <c r="G787" s="1"/>
      <c r="H787">
        <f ca="1">IF(T_LEAVE[[#This Row],[EMPLOYEE]]="","",MATCH(T_LEAVE[[#This Row],[EMPLOYEE]],L_EMPLABELS,0))</f>
        <v>329</v>
      </c>
      <c r="I787">
        <f ca="1">IF(T_LEAVE[[#This Row],[EMPLOYEE]]="","",MATCH(T_LEAVE[[#This Row],[LEAVE TYPE]],L_LEAVETYPES,0))</f>
        <v>8</v>
      </c>
      <c r="J787" t="str" cm="1">
        <f t="array" aca="1" ref="J787" ca="1">IFERROR(INDEX(T_LEAVE_TYPES[SYMBOL],T_LEAVE[[#This Row],[LEAVE TYPE SYS ID]]),"")</f>
        <v>LOP</v>
      </c>
      <c r="K787">
        <f ca="1">IF(T_LEAVE[[#This Row],[EMPLOYEE]]="","",IF(T_LEAVE[[#This Row],[ERROR]]="",0,1))</f>
        <v>0</v>
      </c>
      <c r="L787" t="str" cm="1">
        <f t="array" aca="1" ref="L78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8" spans="1:12">
      <c r="A788" s="1" t="s">
        <v>2436</v>
      </c>
      <c r="B788" s="15" t="s">
        <v>2044</v>
      </c>
      <c r="C788" s="15" t="s">
        <v>1941</v>
      </c>
      <c r="D788" s="1" t="s">
        <v>103</v>
      </c>
      <c r="E788" s="1">
        <v>8</v>
      </c>
      <c r="F788" s="1"/>
      <c r="G788" s="1"/>
      <c r="H788">
        <f ca="1">IF(T_LEAVE[[#This Row],[EMPLOYEE]]="","",MATCH(T_LEAVE[[#This Row],[EMPLOYEE]],L_EMPLABELS,0))</f>
        <v>329</v>
      </c>
      <c r="I788">
        <f ca="1">IF(T_LEAVE[[#This Row],[EMPLOYEE]]="","",MATCH(T_LEAVE[[#This Row],[LEAVE TYPE]],L_LEAVETYPES,0))</f>
        <v>8</v>
      </c>
      <c r="J788" t="str" cm="1">
        <f t="array" aca="1" ref="J788" ca="1">IFERROR(INDEX(T_LEAVE_TYPES[SYMBOL],T_LEAVE[[#This Row],[LEAVE TYPE SYS ID]]),"")</f>
        <v>LOP</v>
      </c>
      <c r="K788">
        <f ca="1">IF(T_LEAVE[[#This Row],[EMPLOYEE]]="","",IF(T_LEAVE[[#This Row],[ERROR]]="",0,1))</f>
        <v>0</v>
      </c>
      <c r="L788" t="str" cm="1">
        <f t="array" aca="1" ref="L78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9" spans="1:12">
      <c r="A789" s="1" t="s">
        <v>2436</v>
      </c>
      <c r="B789" s="15" t="s">
        <v>2026</v>
      </c>
      <c r="C789" s="15" t="s">
        <v>2161</v>
      </c>
      <c r="D789" t="s">
        <v>98</v>
      </c>
      <c r="E789" s="1">
        <v>2</v>
      </c>
      <c r="F789" s="1"/>
      <c r="G789" s="1"/>
      <c r="H789">
        <f ca="1">IF(T_LEAVE[[#This Row],[EMPLOYEE]]="","",MATCH(T_LEAVE[[#This Row],[EMPLOYEE]],L_EMPLABELS,0))</f>
        <v>329</v>
      </c>
      <c r="I789">
        <f ca="1">IF(T_LEAVE[[#This Row],[EMPLOYEE]]="","",MATCH(T_LEAVE[[#This Row],[LEAVE TYPE]],L_LEAVETYPES,0))</f>
        <v>7</v>
      </c>
      <c r="J789" t="str" cm="1">
        <f t="array" aca="1" ref="J789" ca="1">IFERROR(INDEX(T_LEAVE_TYPES[SYMBOL],T_LEAVE[[#This Row],[LEAVE TYPE SYS ID]]),"")</f>
        <v>C</v>
      </c>
      <c r="K789">
        <f ca="1">IF(T_LEAVE[[#This Row],[EMPLOYEE]]="","",IF(T_LEAVE[[#This Row],[ERROR]]="",0,1))</f>
        <v>0</v>
      </c>
      <c r="L789" t="str" cm="1">
        <f t="array" aca="1" ref="L78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0" spans="1:12">
      <c r="A790" s="1" t="s">
        <v>2436</v>
      </c>
      <c r="B790" s="15" t="s">
        <v>2080</v>
      </c>
      <c r="C790" s="15" t="s">
        <v>2080</v>
      </c>
      <c r="D790" t="s">
        <v>92</v>
      </c>
      <c r="E790" s="1">
        <v>1</v>
      </c>
      <c r="F790" s="1"/>
      <c r="G790" s="1"/>
      <c r="H790">
        <f ca="1">IF(T_LEAVE[[#This Row],[EMPLOYEE]]="","",MATCH(T_LEAVE[[#This Row],[EMPLOYEE]],L_EMPLABELS,0))</f>
        <v>329</v>
      </c>
      <c r="I790">
        <f ca="1">IF(T_LEAVE[[#This Row],[EMPLOYEE]]="","",MATCH(T_LEAVE[[#This Row],[LEAVE TYPE]],L_LEAVETYPES,0))</f>
        <v>6</v>
      </c>
      <c r="J790" t="str" cm="1">
        <f t="array" aca="1" ref="J790" ca="1">IFERROR(INDEX(T_LEAVE_TYPES[SYMBOL],T_LEAVE[[#This Row],[LEAVE TYPE SYS ID]]),"")</f>
        <v>PR</v>
      </c>
      <c r="K790">
        <f ca="1">IF(T_LEAVE[[#This Row],[EMPLOYEE]]="","",IF(T_LEAVE[[#This Row],[ERROR]]="",0,1))</f>
        <v>0</v>
      </c>
      <c r="L790" t="str" cm="1">
        <f t="array" aca="1" ref="L79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1" spans="1:12">
      <c r="A791" s="1" t="s">
        <v>2436</v>
      </c>
      <c r="B791" s="15" t="s">
        <v>2057</v>
      </c>
      <c r="C791" s="15" t="s">
        <v>1992</v>
      </c>
      <c r="D791" t="s">
        <v>92</v>
      </c>
      <c r="E791" s="1">
        <v>3</v>
      </c>
      <c r="F791" s="1"/>
      <c r="G791" s="1"/>
      <c r="H791">
        <f ca="1">IF(T_LEAVE[[#This Row],[EMPLOYEE]]="","",MATCH(T_LEAVE[[#This Row],[EMPLOYEE]],L_EMPLABELS,0))</f>
        <v>329</v>
      </c>
      <c r="I791">
        <f ca="1">IF(T_LEAVE[[#This Row],[EMPLOYEE]]="","",MATCH(T_LEAVE[[#This Row],[LEAVE TYPE]],L_LEAVETYPES,0))</f>
        <v>6</v>
      </c>
      <c r="J791" t="str" cm="1">
        <f t="array" aca="1" ref="J791" ca="1">IFERROR(INDEX(T_LEAVE_TYPES[SYMBOL],T_LEAVE[[#This Row],[LEAVE TYPE SYS ID]]),"")</f>
        <v>PR</v>
      </c>
      <c r="K791">
        <f ca="1">IF(T_LEAVE[[#This Row],[EMPLOYEE]]="","",IF(T_LEAVE[[#This Row],[ERROR]]="",0,1))</f>
        <v>0</v>
      </c>
      <c r="L791" t="str" cm="1">
        <f t="array" aca="1" ref="L79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2" spans="1:12">
      <c r="A792" s="1" t="s">
        <v>2436</v>
      </c>
      <c r="B792" s="15" t="s">
        <v>2044</v>
      </c>
      <c r="C792" s="15" t="s">
        <v>1941</v>
      </c>
      <c r="D792" s="1" t="s">
        <v>103</v>
      </c>
      <c r="E792" s="1">
        <v>8</v>
      </c>
      <c r="F792" s="1"/>
      <c r="G792" s="1"/>
      <c r="H792">
        <f ca="1">IF(T_LEAVE[[#This Row],[EMPLOYEE]]="","",MATCH(T_LEAVE[[#This Row],[EMPLOYEE]],L_EMPLABELS,0))</f>
        <v>329</v>
      </c>
      <c r="I792">
        <f ca="1">IF(T_LEAVE[[#This Row],[EMPLOYEE]]="","",MATCH(T_LEAVE[[#This Row],[LEAVE TYPE]],L_LEAVETYPES,0))</f>
        <v>8</v>
      </c>
      <c r="J792" t="str" cm="1">
        <f t="array" aca="1" ref="J792" ca="1">IFERROR(INDEX(T_LEAVE_TYPES[SYMBOL],T_LEAVE[[#This Row],[LEAVE TYPE SYS ID]]),"")</f>
        <v>LOP</v>
      </c>
      <c r="K792">
        <f ca="1">IF(T_LEAVE[[#This Row],[EMPLOYEE]]="","",IF(T_LEAVE[[#This Row],[ERROR]]="",0,1))</f>
        <v>0</v>
      </c>
      <c r="L792" t="str" cm="1">
        <f t="array" aca="1" ref="L79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3" spans="1:12">
      <c r="A793" s="1" t="s">
        <v>2440</v>
      </c>
      <c r="B793" s="15" t="s">
        <v>2446</v>
      </c>
      <c r="C793" s="15" t="s">
        <v>2207</v>
      </c>
      <c r="D793" t="s">
        <v>92</v>
      </c>
      <c r="E793" s="1">
        <v>2</v>
      </c>
      <c r="F793" s="1"/>
      <c r="G793" s="1"/>
      <c r="H793">
        <f ca="1">IF(T_LEAVE[[#This Row],[EMPLOYEE]]="","",MATCH(T_LEAVE[[#This Row],[EMPLOYEE]],L_EMPLABELS,0))</f>
        <v>304</v>
      </c>
      <c r="I793">
        <f ca="1">IF(T_LEAVE[[#This Row],[EMPLOYEE]]="","",MATCH(T_LEAVE[[#This Row],[LEAVE TYPE]],L_LEAVETYPES,0))</f>
        <v>6</v>
      </c>
      <c r="J793" t="str" cm="1">
        <f t="array" aca="1" ref="J793" ca="1">IFERROR(INDEX(T_LEAVE_TYPES[SYMBOL],T_LEAVE[[#This Row],[LEAVE TYPE SYS ID]]),"")</f>
        <v>PR</v>
      </c>
      <c r="K793">
        <f ca="1">IF(T_LEAVE[[#This Row],[EMPLOYEE]]="","",IF(T_LEAVE[[#This Row],[ERROR]]="",0,1))</f>
        <v>0</v>
      </c>
      <c r="L793" t="str" cm="1">
        <f t="array" aca="1" ref="L793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4" spans="1:12">
      <c r="A794" s="1" t="s">
        <v>2436</v>
      </c>
      <c r="B794" s="15" t="s">
        <v>1942</v>
      </c>
      <c r="C794" s="15" t="s">
        <v>2087</v>
      </c>
      <c r="D794" t="s">
        <v>92</v>
      </c>
      <c r="E794" s="1">
        <v>2</v>
      </c>
      <c r="F794" s="1"/>
      <c r="G794" s="1"/>
      <c r="H794">
        <f ca="1">IF(T_LEAVE[[#This Row],[EMPLOYEE]]="","",MATCH(T_LEAVE[[#This Row],[EMPLOYEE]],L_EMPLABELS,0))</f>
        <v>329</v>
      </c>
      <c r="I794">
        <f ca="1">IF(T_LEAVE[[#This Row],[EMPLOYEE]]="","",MATCH(T_LEAVE[[#This Row],[LEAVE TYPE]],L_LEAVETYPES,0))</f>
        <v>6</v>
      </c>
      <c r="J794" t="str" cm="1">
        <f t="array" aca="1" ref="J794" ca="1">IFERROR(INDEX(T_LEAVE_TYPES[SYMBOL],T_LEAVE[[#This Row],[LEAVE TYPE SYS ID]]),"")</f>
        <v>PR</v>
      </c>
      <c r="K794">
        <f ca="1">IF(T_LEAVE[[#This Row],[EMPLOYEE]]="","",IF(T_LEAVE[[#This Row],[ERROR]]="",0,1))</f>
        <v>0</v>
      </c>
      <c r="L794" t="str" cm="1">
        <f t="array" aca="1" ref="L794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5" spans="1:12">
      <c r="A795" s="1" t="s">
        <v>2440</v>
      </c>
      <c r="B795" s="15" t="s">
        <v>1943</v>
      </c>
      <c r="C795" s="15" t="s">
        <v>1943</v>
      </c>
      <c r="D795" t="s">
        <v>98</v>
      </c>
      <c r="E795" s="1">
        <v>1</v>
      </c>
      <c r="F795" s="1"/>
      <c r="G795" s="1"/>
      <c r="H795">
        <f ca="1">IF(T_LEAVE[[#This Row],[EMPLOYEE]]="","",MATCH(T_LEAVE[[#This Row],[EMPLOYEE]],L_EMPLABELS,0))</f>
        <v>304</v>
      </c>
      <c r="I795">
        <f ca="1">IF(T_LEAVE[[#This Row],[EMPLOYEE]]="","",MATCH(T_LEAVE[[#This Row],[LEAVE TYPE]],L_LEAVETYPES,0))</f>
        <v>7</v>
      </c>
      <c r="J795" t="str" cm="1">
        <f t="array" aca="1" ref="J795" ca="1">IFERROR(INDEX(T_LEAVE_TYPES[SYMBOL],T_LEAVE[[#This Row],[LEAVE TYPE SYS ID]]),"")</f>
        <v>C</v>
      </c>
      <c r="K795">
        <f ca="1">IF(T_LEAVE[[#This Row],[EMPLOYEE]]="","",IF(T_LEAVE[[#This Row],[ERROR]]="",0,1))</f>
        <v>0</v>
      </c>
      <c r="L795" t="str" cm="1">
        <f t="array" aca="1" ref="L795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6" spans="1:12">
      <c r="A796" s="1" t="s">
        <v>2436</v>
      </c>
      <c r="B796" s="15" t="s">
        <v>2130</v>
      </c>
      <c r="C796" s="15" t="s">
        <v>2128</v>
      </c>
      <c r="D796" s="17" t="s">
        <v>84</v>
      </c>
      <c r="E796" s="1">
        <v>2</v>
      </c>
      <c r="F796" s="1"/>
      <c r="G796" s="1"/>
      <c r="H796">
        <f ca="1">IF(T_LEAVE[[#This Row],[EMPLOYEE]]="","",MATCH(T_LEAVE[[#This Row],[EMPLOYEE]],L_EMPLABELS,0))</f>
        <v>329</v>
      </c>
      <c r="I796">
        <f ca="1">IF(T_LEAVE[[#This Row],[EMPLOYEE]]="","",MATCH(T_LEAVE[[#This Row],[LEAVE TYPE]],L_LEAVETYPES,0))</f>
        <v>5</v>
      </c>
      <c r="J796" t="str" cm="1">
        <f t="array" aca="1" ref="J796" ca="1">IFERROR(INDEX(T_LEAVE_TYPES[SYMBOL],T_LEAVE[[#This Row],[LEAVE TYPE SYS ID]]),"")</f>
        <v>B</v>
      </c>
      <c r="K796">
        <f ca="1">IF(T_LEAVE[[#This Row],[EMPLOYEE]]="","",IF(T_LEAVE[[#This Row],[ERROR]]="",0,1))</f>
        <v>0</v>
      </c>
      <c r="L796" t="str" cm="1">
        <f t="array" aca="1" ref="L796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7" spans="1:12">
      <c r="A797" s="1" t="s">
        <v>2436</v>
      </c>
      <c r="B797" s="15" t="s">
        <v>2162</v>
      </c>
      <c r="C797" s="15" t="s">
        <v>2447</v>
      </c>
      <c r="D797" t="s">
        <v>98</v>
      </c>
      <c r="E797" s="1">
        <v>2</v>
      </c>
      <c r="F797" s="1"/>
      <c r="G797" s="1"/>
      <c r="H797">
        <f ca="1">IF(T_LEAVE[[#This Row],[EMPLOYEE]]="","",MATCH(T_LEAVE[[#This Row],[EMPLOYEE]],L_EMPLABELS,0))</f>
        <v>329</v>
      </c>
      <c r="I797">
        <f ca="1">IF(T_LEAVE[[#This Row],[EMPLOYEE]]="","",MATCH(T_LEAVE[[#This Row],[LEAVE TYPE]],L_LEAVETYPES,0))</f>
        <v>7</v>
      </c>
      <c r="J797" t="str" cm="1">
        <f t="array" aca="1" ref="J797" ca="1">IFERROR(INDEX(T_LEAVE_TYPES[SYMBOL],T_LEAVE[[#This Row],[LEAVE TYPE SYS ID]]),"")</f>
        <v>C</v>
      </c>
      <c r="K797">
        <f ca="1">IF(T_LEAVE[[#This Row],[EMPLOYEE]]="","",IF(T_LEAVE[[#This Row],[ERROR]]="",0,1))</f>
        <v>0</v>
      </c>
      <c r="L797" t="str" cm="1">
        <f t="array" aca="1" ref="L797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8" spans="1:12">
      <c r="A798" s="1" t="s">
        <v>2434</v>
      </c>
      <c r="B798" s="15" t="s">
        <v>2137</v>
      </c>
      <c r="C798" s="15" t="s">
        <v>2138</v>
      </c>
      <c r="D798" t="s">
        <v>98</v>
      </c>
      <c r="E798" s="1">
        <v>2</v>
      </c>
      <c r="F798" s="1"/>
      <c r="G798" s="1"/>
      <c r="H798">
        <f ca="1">IF(T_LEAVE[[#This Row],[EMPLOYEE]]="","",MATCH(T_LEAVE[[#This Row],[EMPLOYEE]],L_EMPLABELS,0))</f>
        <v>496</v>
      </c>
      <c r="I798">
        <f ca="1">IF(T_LEAVE[[#This Row],[EMPLOYEE]]="","",MATCH(T_LEAVE[[#This Row],[LEAVE TYPE]],L_LEAVETYPES,0))</f>
        <v>7</v>
      </c>
      <c r="J798" t="str" cm="1">
        <f t="array" aca="1" ref="J798" ca="1">IFERROR(INDEX(T_LEAVE_TYPES[SYMBOL],T_LEAVE[[#This Row],[LEAVE TYPE SYS ID]]),"")</f>
        <v>C</v>
      </c>
      <c r="K798">
        <f ca="1">IF(T_LEAVE[[#This Row],[EMPLOYEE]]="","",IF(T_LEAVE[[#This Row],[ERROR]]="",0,1))</f>
        <v>0</v>
      </c>
      <c r="L798" t="str" cm="1">
        <f t="array" aca="1" ref="L798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9" spans="1:12">
      <c r="A799" s="1" t="s">
        <v>2435</v>
      </c>
      <c r="B799" s="15" t="s">
        <v>2347</v>
      </c>
      <c r="C799" s="15" t="s">
        <v>2176</v>
      </c>
      <c r="D799" t="s">
        <v>98</v>
      </c>
      <c r="E799" s="1">
        <v>2</v>
      </c>
      <c r="F799" s="1"/>
      <c r="G799" s="1"/>
      <c r="H799">
        <f ca="1">IF(T_LEAVE[[#This Row],[EMPLOYEE]]="","",MATCH(T_LEAVE[[#This Row],[EMPLOYEE]],L_EMPLABELS,0))</f>
        <v>528</v>
      </c>
      <c r="I799">
        <f ca="1">IF(T_LEAVE[[#This Row],[EMPLOYEE]]="","",MATCH(T_LEAVE[[#This Row],[LEAVE TYPE]],L_LEAVETYPES,0))</f>
        <v>7</v>
      </c>
      <c r="J799" t="str" cm="1">
        <f t="array" aca="1" ref="J799" ca="1">IFERROR(INDEX(T_LEAVE_TYPES[SYMBOL],T_LEAVE[[#This Row],[LEAVE TYPE SYS ID]]),"")</f>
        <v>C</v>
      </c>
      <c r="K799">
        <f ca="1">IF(T_LEAVE[[#This Row],[EMPLOYEE]]="","",IF(T_LEAVE[[#This Row],[ERROR]]="",0,1))</f>
        <v>0</v>
      </c>
      <c r="L799" t="str" cm="1">
        <f t="array" aca="1" ref="L799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00" spans="1:12">
      <c r="A800" s="1" t="s">
        <v>2435</v>
      </c>
      <c r="B800" s="15" t="s">
        <v>2448</v>
      </c>
      <c r="C800" s="15" t="s">
        <v>2448</v>
      </c>
      <c r="D800" t="s">
        <v>98</v>
      </c>
      <c r="E800" s="1">
        <v>1</v>
      </c>
      <c r="F800" s="1"/>
      <c r="G800" s="1"/>
      <c r="H800">
        <f ca="1">IF(T_LEAVE[[#This Row],[EMPLOYEE]]="","",MATCH(T_LEAVE[[#This Row],[EMPLOYEE]],L_EMPLABELS,0))</f>
        <v>528</v>
      </c>
      <c r="I800">
        <f ca="1">IF(T_LEAVE[[#This Row],[EMPLOYEE]]="","",MATCH(T_LEAVE[[#This Row],[LEAVE TYPE]],L_LEAVETYPES,0))</f>
        <v>7</v>
      </c>
      <c r="J800" t="str" cm="1">
        <f t="array" aca="1" ref="J800" ca="1">IFERROR(INDEX(T_LEAVE_TYPES[SYMBOL],T_LEAVE[[#This Row],[LEAVE TYPE SYS ID]]),"")</f>
        <v>C</v>
      </c>
      <c r="K800">
        <f ca="1">IF(T_LEAVE[[#This Row],[EMPLOYEE]]="","",IF(T_LEAVE[[#This Row],[ERROR]]="",0,1))</f>
        <v>0</v>
      </c>
      <c r="L800" t="str" cm="1">
        <f t="array" aca="1" ref="L800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01" spans="1:12">
      <c r="A801" s="1" t="s">
        <v>2440</v>
      </c>
      <c r="B801" s="15" t="s">
        <v>2103</v>
      </c>
      <c r="C801" s="15" t="s">
        <v>1956</v>
      </c>
      <c r="D801" t="s">
        <v>92</v>
      </c>
      <c r="E801" s="1">
        <v>8</v>
      </c>
      <c r="F801" s="1"/>
      <c r="G801" s="1"/>
      <c r="H801">
        <f ca="1">IF(T_LEAVE[[#This Row],[EMPLOYEE]]="","",MATCH(T_LEAVE[[#This Row],[EMPLOYEE]],L_EMPLABELS,0))</f>
        <v>304</v>
      </c>
      <c r="I801">
        <f ca="1">IF(T_LEAVE[[#This Row],[EMPLOYEE]]="","",MATCH(T_LEAVE[[#This Row],[LEAVE TYPE]],L_LEAVETYPES,0))</f>
        <v>6</v>
      </c>
      <c r="J801" t="str" cm="1">
        <f t="array" aca="1" ref="J801" ca="1">IFERROR(INDEX(T_LEAVE_TYPES[SYMBOL],T_LEAVE[[#This Row],[LEAVE TYPE SYS ID]]),"")</f>
        <v>PR</v>
      </c>
      <c r="K801">
        <f ca="1">IF(T_LEAVE[[#This Row],[EMPLOYEE]]="","",IF(T_LEAVE[[#This Row],[ERROR]]="",0,1))</f>
        <v>0</v>
      </c>
      <c r="L801" t="str" cm="1">
        <f t="array" aca="1" ref="L801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02" spans="1:12">
      <c r="A802" s="1" t="s">
        <v>2440</v>
      </c>
      <c r="B802" s="15" t="s">
        <v>1975</v>
      </c>
      <c r="C802" s="15" t="s">
        <v>2449</v>
      </c>
      <c r="D802" t="s">
        <v>98</v>
      </c>
      <c r="E802" s="1">
        <v>7</v>
      </c>
      <c r="F802" s="1"/>
      <c r="G802" s="1"/>
      <c r="H802">
        <f ca="1">IF(T_LEAVE[[#This Row],[EMPLOYEE]]="","",MATCH(T_LEAVE[[#This Row],[EMPLOYEE]],L_EMPLABELS,0))</f>
        <v>304</v>
      </c>
      <c r="I802">
        <f ca="1">IF(T_LEAVE[[#This Row],[EMPLOYEE]]="","",MATCH(T_LEAVE[[#This Row],[LEAVE TYPE]],L_LEAVETYPES,0))</f>
        <v>7</v>
      </c>
      <c r="J802" t="str" cm="1">
        <f t="array" aca="1" ref="J802" ca="1">IFERROR(INDEX(T_LEAVE_TYPES[SYMBOL],T_LEAVE[[#This Row],[LEAVE TYPE SYS ID]]),"")</f>
        <v>C</v>
      </c>
      <c r="K802">
        <f ca="1">IF(T_LEAVE[[#This Row],[EMPLOYEE]]="","",IF(T_LEAVE[[#This Row],[ERROR]]="",0,1))</f>
        <v>0</v>
      </c>
      <c r="L802" t="str" cm="1">
        <f t="array" aca="1" ref="L802" ca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</sheetData>
  <sheetProtection formatCells="0" formatColumns="0" formatRows="0" autoFilter="0"/>
  <dataValidations count="4">
    <dataValidation type="decimal" allowBlank="1" showInputMessage="1" showErrorMessage="1" sqref="E4:E506" xr:uid="{4F54E598-CF2F-462F-B3D3-72802FD7D2D5}">
      <formula1>-1</formula1>
      <formula2>100</formula2>
    </dataValidation>
    <dataValidation type="whole" allowBlank="1" showInputMessage="1" showErrorMessage="1" sqref="E507:E754" xr:uid="{539E2955-90E0-48DF-9694-02E94AE42B64}">
      <formula1>-1</formula1>
      <formula2>1</formula2>
    </dataValidation>
    <dataValidation type="list" allowBlank="1" showInputMessage="1" showErrorMessage="1" sqref="A4:A802" xr:uid="{A2E5B101-A11E-475E-B21F-52E4D8775053}">
      <formula1>L_EMPLABELS</formula1>
    </dataValidation>
    <dataValidation type="list" allowBlank="1" showInputMessage="1" showErrorMessage="1" sqref="D4:D802" xr:uid="{7BBA3C06-936E-43E8-8E46-BA719EE4809E}">
      <formula1>L_LEAVETYPES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85A0F60B1E4C45ACE2D8AB71AB084F" ma:contentTypeVersion="17" ma:contentTypeDescription="Create a new document." ma:contentTypeScope="" ma:versionID="a06739d8911383f654b4063525bf3808">
  <xsd:schema xmlns:xsd="http://www.w3.org/2001/XMLSchema" xmlns:xs="http://www.w3.org/2001/XMLSchema" xmlns:p="http://schemas.microsoft.com/office/2006/metadata/properties" xmlns:ns2="900c757b-331e-4bb0-9822-f3d0ad22e95d" xmlns:ns3="adf53bc9-6b04-484c-8622-1b1d0c30fd35" targetNamespace="http://schemas.microsoft.com/office/2006/metadata/properties" ma:root="true" ma:fieldsID="6d5d56d9b668d13e7bd11546c8d47c7e" ns2:_="" ns3:_="">
    <xsd:import namespace="900c757b-331e-4bb0-9822-f3d0ad22e95d"/>
    <xsd:import namespace="adf53bc9-6b04-484c-8622-1b1d0c30f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c757b-331e-4bb0-9822-f3d0ad22e9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9d814c0-9b3f-4c78-9577-1f6435586d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53bc9-6b04-484c-8622-1b1d0c30fd3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ea078d5-3af0-4e4c-98b7-23f4ebc0eb52}" ma:internalName="TaxCatchAll" ma:showField="CatchAllData" ma:web="adf53bc9-6b04-484c-8622-1b1d0c30f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f53bc9-6b04-484c-8622-1b1d0c30fd35" xsi:nil="true"/>
    <lcf76f155ced4ddcb4097134ff3c332f xmlns="900c757b-331e-4bb0-9822-f3d0ad22e9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5ED6D8-DE51-4436-9575-09EAE8437A14}"/>
</file>

<file path=customXml/itemProps2.xml><?xml version="1.0" encoding="utf-8"?>
<ds:datastoreItem xmlns:ds="http://schemas.openxmlformats.org/officeDocument/2006/customXml" ds:itemID="{260DE0A7-D92B-48C5-8B11-2111B32C9B67}"/>
</file>

<file path=customXml/itemProps3.xml><?xml version="1.0" encoding="utf-8"?>
<ds:datastoreItem xmlns:ds="http://schemas.openxmlformats.org/officeDocument/2006/customXml" ds:itemID="{B474741B-DD33-4F90-8417-8B7E44763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indzara</dc:creator>
  <cp:keywords/>
  <dc:description/>
  <cp:lastModifiedBy>Pavan Kumar</cp:lastModifiedBy>
  <cp:revision/>
  <dcterms:created xsi:type="dcterms:W3CDTF">2019-08-13T02:06:43Z</dcterms:created>
  <dcterms:modified xsi:type="dcterms:W3CDTF">2026-04-16T05:08:48Z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0x0101007B85A0F60B1E4C45ACE2D8AB71AB084F</vt:lpwstr>
  </property>
  <property fmtid="{D5CDD505-2E9C-101B-9397-08002B2CF9AE}" pid="3" name="MediaServiceImageTags">
    <vt:lpwstr/>
  </property>
</Properties>
</file>